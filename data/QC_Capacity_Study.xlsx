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terview" sheetId="2" state="visible" r:id="rId4"/>
    <sheet name="Settings" sheetId="3" state="visible" r:id="rId5"/>
    <sheet name="Instruments" sheetId="4" state="visible" r:id="rId6"/>
    <sheet name="Personnel" sheetId="5" state="visible" r:id="rId7"/>
    <sheet name="Products" sheetId="6" state="visible" r:id="rId8"/>
    <sheet name="RM_Lots" sheetId="7" state="visible" r:id="rId9"/>
    <sheet name="Test_Times" sheetId="8" state="visible" r:id="rId10"/>
    <sheet name="CDS_Log" sheetId="9" state="visible" r:id="rId11"/>
    <sheet name="Evidence" sheetId="10" state="visible" r:id="rId12"/>
    <sheet name="Load_by_Item" sheetId="11" state="visible" r:id="rId13"/>
    <sheet name="Capacity" sheetId="12" state="visible" r:id="rId14"/>
    <sheet name="Report_Outline" sheetId="13" state="visible" r:id="rId15"/>
  </sheets>
  <definedNames>
    <definedName function="false" hidden="true" localSheetId="10" name="_xlnm._FilterDatabase" vbProcedure="false">Load_by_Item!$A$4:$J$248</definedName>
    <definedName function="false" hidden="true" localSheetId="5" name="_xlnm._FilterDatabase" vbProcedure="false">Products!$A$4:$M$154</definedName>
    <definedName function="false" hidden="true" localSheetId="6" name="_xlnm._FilterDatabase" vbProcedure="false">RM_Lots!$A$4:$H$224</definedName>
    <definedName function="false" hidden="true" localSheetId="7" name="_xlnm._FilterDatabase" vbProcedure="false">Test_Times!$A$4:$AO$863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<sst xmlns="http://schemas.openxmlformats.org/spreadsheetml/2006/main" count="7430" uniqueCount="851">
  <si>
    <t xml:space="preserve">QC Laboratory Capacity Study – Guide</t>
  </si>
  <si>
    <t xml:space="preserve">Purpose: quantify current &amp; future HPLC / analyst workload vs. capacity to justify instruments and personnel</t>
  </si>
  <si>
    <t xml:space="preserve">HOW THE WORKBOOK WORKS</t>
  </si>
  <si>
    <t xml:space="preserve">Yellow cells, blue text</t>
  </si>
  <si>
    <t xml:space="preserve">You type here. Grey cells = automatic formulas, do not overwrite.</t>
  </si>
  <si>
    <t xml:space="preserve">Settings</t>
  </si>
  <si>
    <t xml:space="preserve">Working days, hours/day per instrument type, downtime %, target utilisation, growth %.</t>
  </si>
  <si>
    <t xml:space="preserve">Instruments</t>
  </si>
  <si>
    <t xml:space="preserve">One row per physical instrument (HPLC-01, HPLC-02, Dissolution-01 ...). Status = Active counts toward capacity.</t>
  </si>
  <si>
    <t xml:space="preserve">Personnel</t>
  </si>
  <si>
    <t xml:space="preserve">One row per person: hours/week, leave, % time on testing and on review, current overtime.</t>
  </si>
  <si>
    <t xml:space="preserve">Products</t>
  </si>
  <si>
    <t xml:space="preserve">106 products from your database, grouped into 64 method FAMILIES (same actives = same method, strengths share it). Enter batches/yr and stability samples/yr.</t>
  </si>
  <si>
    <t xml:space="preserve">RM_Lots</t>
  </si>
  <si>
    <t xml:space="preserve">180 raw materials from your database. Enter lots received per year.</t>
  </si>
  <si>
    <t xml:space="preserve">Test_Times</t>
  </si>
  <si>
    <t xml:space="preserve">THE INTERVIEW SHEET. One row per family/material x test. Fill times from interviews. Rows are pre-filled; set Applicable = N where a test does not exist.</t>
  </si>
  <si>
    <t xml:space="preserve">CDS_Log</t>
  </si>
  <si>
    <t xml:space="preserve">Validation: copy 4–8 weeks of real sequences from the HPLC software audit trail (Empower/Chromeleon/OpenLab). Compares actual vs. estimated hours and gives a calibration factor.</t>
  </si>
  <si>
    <t xml:space="preserve">Evidence</t>
  </si>
  <si>
    <t xml:space="preserve">Monthly KPIs for the last 12 months (backlog, turnaround, overtime, delayed releases). This is what management believes most.</t>
  </si>
  <si>
    <t xml:space="preserve">Load_by_Item</t>
  </si>
  <si>
    <t xml:space="preserve">Automatic: hours per family/material, for Pareto (which products consume the HPLCs).</t>
  </si>
  <si>
    <t xml:space="preserve">Capacity</t>
  </si>
  <si>
    <t xml:space="preserve">Automatic result: demand vs. capacity, utilisation %, instruments and FTE required now and in the future scenario.</t>
  </si>
  <si>
    <t xml:space="preserve">Report_Outline</t>
  </si>
  <si>
    <t xml:space="preserve">Suggested structure of the report to management, with the table/chart that feeds each section.</t>
  </si>
  <si>
    <t xml:space="preserve">PROCEDURE (6 steps, ~3–4 weeks)</t>
  </si>
  <si>
    <t xml:space="preserve">1. Prepare (week 1)</t>
  </si>
  <si>
    <t xml:space="preserve">Confirm product families in Products!E (merge/split if methods differ). Fill Instruments, Personnel, Settings. Collect batch plan (Production/Planning) and stability protocol schedule (QA).</t>
  </si>
  <si>
    <t xml:space="preserve">2. Interview (week 1–2)</t>
  </si>
  <si>
    <t xml:space="preserve">Interview 2–3 analysts per technique separately (30–45 min each, using sheet "Interview"). For each family/test ask MIN, MOST LIKELY, MAX hands-on time (3-point estimate). Ask what can be run in the same sequence (campaign group).</t>
  </si>
  <si>
    <t xml:space="preserve">3. Reconcile</t>
  </si>
  <si>
    <t xml:space="preserve">Where analysts disagree &gt;30%, hold a short group session (Delphi round): show anonymous answers, agree final values. Record respondents &amp; confidence in columns X–Y.</t>
  </si>
  <si>
    <t xml:space="preserve">4. Validate (week 2–4)</t>
  </si>
  <si>
    <t xml:space="preserve">Export real sequence start/end times from the CDS audit trail into CDS_Log. Use the average Actual/Estimated ratio as calibration factor (Settings). Optionally time-and-motion 3–5 sample preparations with a stopwatch.</t>
  </si>
  <si>
    <t xml:space="preserve">5. Analyse</t>
  </si>
  <si>
    <t xml:space="preserve">Check Capacity sheet: utilisation &gt; target = proven shortage. Use Load_by_Item for Pareto. Run the future scenario (growth %, pipeline products, future batches).</t>
  </si>
  <si>
    <t xml:space="preserve">6. Report</t>
  </si>
  <si>
    <t xml:space="preserve">Follow Report_Outline. Lead with the gap (h/yr, units), back it with measured evidence (CDS + Evidence sheet), finish with the cost of NOT investing (delayed releases, overtime, compliance risk).</t>
  </si>
  <si>
    <t xml:space="preserve">TIME MODEL (how overlap is handled)</t>
  </si>
  <si>
    <t xml:space="preserve">Fixed per sequence</t>
  </si>
  <si>
    <t xml:space="preserve">Setup (mobile phase, standards, column equilibration, system suitability, bracketing, wash). Counted once per SEQUENCE, then divided by samples per sequence.</t>
  </si>
  <si>
    <t xml:space="preserve">Per sample</t>
  </si>
  <si>
    <t xml:space="preserve">Sample prep (3-point: (Min+4×ML+Max)/6), instrument run, data processing/documentation, review.</t>
  </si>
  <si>
    <t xml:space="preserve">Campaign group</t>
  </si>
  <si>
    <t xml:space="preserve">Give the same code (e.g. G-EMPA) to tests that run in the same sequence with the same column/mobile phase (e.g. Empagliflozin assay of several families). The fixed setup is then SHARED: divided by the number of tests in the group.</t>
  </si>
  <si>
    <t xml:space="preserve">No. of methods</t>
  </si>
  <si>
    <t xml:space="preserve">Products needing several separate HPLC methods (e.g. multivitamins: water-soluble, fat-soluble vitamins) → enter 2, 3...; the whole time is multiplied.</t>
  </si>
  <si>
    <t xml:space="preserve">Complexity</t>
  </si>
  <si>
    <t xml:space="preserve">Pre-suggested (Low: 1 active; Medium: 2–3 actives; High: ≥4 actives, ER, nasal spray). Confirm in interview; it explains time differences in the report.</t>
  </si>
  <si>
    <t xml:space="preserve">EXAMPLE of a filled Test_Times row (illustration only, not real data)</t>
  </si>
  <si>
    <t xml:space="preserve">Example</t>
  </si>
  <si>
    <t xml:space="preserve">F04 Telmisartan | Assay | Y | HPLC | Low | 1 method | group G-TEL | setup analyst 1.5 h | setup instrument 2.0 h | prep min/ML/max 0.5/0.75/1.5 h | run 0.6 h/sample | data+doc 0.3 h | review 0.2 h | 6 samples/sequence | retest 5% | stability Y | Ali, Sara | High</t>
  </si>
  <si>
    <t xml:space="preserve">Interview questionnaire (per analyst, per technique)</t>
  </si>
  <si>
    <t xml:space="preserve">Ask the same questions to 2–3 people; record answers directly in the sheet named in column E</t>
  </si>
  <si>
    <t xml:space="preserve">#</t>
  </si>
  <si>
    <t xml:space="preserve">Section</t>
  </si>
  <si>
    <t xml:space="preserve">Question</t>
  </si>
  <si>
    <t xml:space="preserve">Why it matters</t>
  </si>
  <si>
    <t xml:space="preserve">Where the answer goes</t>
  </si>
  <si>
    <t xml:space="preserve">A. Respondent</t>
  </si>
  <si>
    <t xml:space="preserve">Name, role, years of experience, which techniques/instruments you are qualified on?</t>
  </si>
  <si>
    <t xml:space="preserve">Weights the estimate; shows single-person dependency</t>
  </si>
  <si>
    <t xml:space="preserve">Personnel; Test_Times X</t>
  </si>
  <si>
    <t xml:space="preserve">In a normal week, what % of your time is real testing vs. documentation, meetings, training, cleaning, investigations?</t>
  </si>
  <si>
    <t xml:space="preserve">Productive capacity per FTE</t>
  </si>
  <si>
    <t xml:space="preserve">Personnel G–H</t>
  </si>
  <si>
    <t xml:space="preserve">How many overtime hours did you work per month in the last 6 months? Why?</t>
  </si>
  <si>
    <t xml:space="preserve">Hidden capacity shortage</t>
  </si>
  <si>
    <t xml:space="preserve">Personnel J; Evidence</t>
  </si>
  <si>
    <t xml:space="preserve">B. Per family &amp; test</t>
  </si>
  <si>
    <t xml:space="preserve">For [family/test]: how long does sample preparation take you – fastest realistic, usual, and worst case (hours)?</t>
  </si>
  <si>
    <t xml:space="preserve">3-point estimate, reduces bias</t>
  </si>
  <si>
    <t xml:space="preserve">Test_Times M–O</t>
  </si>
  <si>
    <t xml:space="preserve">How long is the setup that is done once per sequence: mobile phase, standard prep, equilibration, system suitability?</t>
  </si>
  <si>
    <t xml:space="preserve">Fixed time shared by samples</t>
  </si>
  <si>
    <t xml:space="preserve">Test_Times K–L</t>
  </si>
  <si>
    <t xml:space="preserve">Run time per injection and number of injections per sample (incl. duplicates, brackets)? → instrument hours per sample</t>
  </si>
  <si>
    <t xml:space="preserve">Instrument occupation</t>
  </si>
  <si>
    <t xml:space="preserve">Test_Times Q</t>
  </si>
  <si>
    <t xml:space="preserve">How many samples do you usually put in one sequence? What limits it (stability of solutions, autosampler capacity)?</t>
  </si>
  <si>
    <t xml:space="preserve">Batching efficiency</t>
  </si>
  <si>
    <t xml:space="preserve">Test_Times U</t>
  </si>
  <si>
    <t xml:space="preserve">Which other products/tests can run in the same sequence with the same column &amp; mobile phase, without much extra preparation?</t>
  </si>
  <si>
    <t xml:space="preserve">Overlap / campaign groups</t>
  </si>
  <si>
    <t xml:space="preserve">Test_Times J</t>
  </si>
  <si>
    <t xml:space="preserve">Is a separate method needed for some actives (e.g. vitamins, impurities, preservatives)? How many?</t>
  </si>
  <si>
    <t xml:space="preserve">Multi-method products</t>
  </si>
  <si>
    <t xml:space="preserve">Test_Times I</t>
  </si>
  <si>
    <t xml:space="preserve">Dissolution: how many hours is the bath occupied per sample (6 or 12 vessels, time points)? HPLC or UV finish?</t>
  </si>
  <si>
    <t xml:space="preserve">Dissolution bath capacity</t>
  </si>
  <si>
    <t xml:space="preserve">Test_Times R, G</t>
  </si>
  <si>
    <t xml:space="preserve">Time for integration, calculation, worksheet/LIMS entry per sample? And reviewer time?</t>
  </si>
  <si>
    <t xml:space="preserve">Analyst + reviewer load</t>
  </si>
  <si>
    <t xml:space="preserve">Test_Times S–T</t>
  </si>
  <si>
    <t xml:space="preserve">How often must you repeat (SST failure, OOS, column problem, re-injection)? %</t>
  </si>
  <si>
    <t xml:space="preserve">Rework load</t>
  </si>
  <si>
    <t xml:space="preserve">Test_Times V</t>
  </si>
  <si>
    <t xml:space="preserve">What makes this product difficult (complex matrix, extraction, low dose, many peaks, long run, unstable solutions)?</t>
  </si>
  <si>
    <t xml:space="preserve">Explains Complexity</t>
  </si>
  <si>
    <t xml:space="preserve">Test_Times H, Z</t>
  </si>
  <si>
    <t xml:space="preserve">C. Instruments</t>
  </si>
  <si>
    <t xml:space="preserve">How many days per month is each HPLC down (breakdown, maintenance, calibration/PQ, waiting for parts/columns)?</t>
  </si>
  <si>
    <t xml:space="preserve">Real availability</t>
  </si>
  <si>
    <t xml:space="preserve">Settings downtime; Instruments</t>
  </si>
  <si>
    <t xml:space="preserve">Do you run overnight/weekends unattended? What prevents it (no autosampler, no staff to start, power, safety)?</t>
  </si>
  <si>
    <t xml:space="preserve">Usable hours/day</t>
  </si>
  <si>
    <t xml:space="preserve">Settings hours/day</t>
  </si>
  <si>
    <t xml:space="preserve">Do you ever wait for a free HPLC? How often and how long?</t>
  </si>
  <si>
    <t xml:space="preserve">Direct evidence of bottleneck</t>
  </si>
  <si>
    <t xml:space="preserve">Evidence; Z notes</t>
  </si>
  <si>
    <t xml:space="preserve">D. Workload</t>
  </si>
  <si>
    <t xml:space="preserve">How many samples are typically waiting (backlog) at the end of a month? What is the turnaround now vs. target?</t>
  </si>
  <si>
    <t xml:space="preserve">Service level</t>
  </si>
  <si>
    <t xml:space="preserve">Which non-routine work takes HPLC time: method validation, transfer, investigations, cleaning validation, R&amp;D support? Hours/yr?</t>
  </si>
  <si>
    <t xml:space="preserve">Non-routine demand</t>
  </si>
  <si>
    <t xml:space="preserve">Capacity column C</t>
  </si>
  <si>
    <t xml:space="preserve">What new products/methods are coming in the next 2–3 years?</t>
  </si>
  <si>
    <t xml:space="preserve">Future scenario</t>
  </si>
  <si>
    <t xml:space="preserve">Products J–K; Settings growth</t>
  </si>
  <si>
    <t xml:space="preserve">E. Closing</t>
  </si>
  <si>
    <t xml:space="preserve">If you had one more HPLC / one more analyst, what would change? What risk exists today (e.g. one person qualified on a method)?</t>
  </si>
  <si>
    <t xml:space="preserve">Quotes and risks for the report</t>
  </si>
  <si>
    <t xml:space="preserve">Settings &amp; assumptions</t>
  </si>
  <si>
    <t xml:space="preserve">Default values are ASSUMPTIONS – replace with your own (yellow cells)</t>
  </si>
  <si>
    <t xml:space="preserve">General</t>
  </si>
  <si>
    <t xml:space="preserve">Working days per year (lab)</t>
  </si>
  <si>
    <t xml:space="preserve">Assumption: 5 days x ~50 weeks minus public holidays; adjust to your calendar</t>
  </si>
  <si>
    <t xml:space="preserve">Public holiday weeks per year (personnel)</t>
  </si>
  <si>
    <t xml:space="preserve">Assumption</t>
  </si>
  <si>
    <t xml:space="preserve">Growth of demand for future scenario (applied where future batches are blank)</t>
  </si>
  <si>
    <t xml:space="preserve">Assumption – use production/business plan</t>
  </si>
  <si>
    <t xml:space="preserve">Calibration factor for instrument time (from CDS_Log, 1 = no correction)</t>
  </si>
  <si>
    <t xml:space="preserve">Set = average Actual/Estimated in CDS_Log</t>
  </si>
  <si>
    <t xml:space="preserve">Calibration factor for analyst time (from time-and-motion, 1 = none)</t>
  </si>
  <si>
    <t xml:space="preserve">Optional stopwatch study</t>
  </si>
  <si>
    <t xml:space="preserve">Target utilisation – analysts</t>
  </si>
  <si>
    <t xml:space="preserve">Typical lab planning value 80–85%</t>
  </si>
  <si>
    <t xml:space="preserve">Target utilisation – reviewers</t>
  </si>
  <si>
    <t xml:space="preserve">Per instrument type</t>
  </si>
  <si>
    <t xml:space="preserve">Instrument type</t>
  </si>
  <si>
    <t xml:space="preserve">Usable hours / day</t>
  </si>
  <si>
    <t xml:space="preserve">Downtime % (maint., calib., breakdown)</t>
  </si>
  <si>
    <t xml:space="preserve">Target utilisation</t>
  </si>
  <si>
    <t xml:space="preserve">Capacity h/yr per unit (auto)</t>
  </si>
  <si>
    <t xml:space="preserve">Note</t>
  </si>
  <si>
    <t xml:space="preserve">HPLC</t>
  </si>
  <si>
    <t xml:space="preserve">20 h = unattended overnight runs with autosampler; use 8 if not</t>
  </si>
  <si>
    <t xml:space="preserve">GC</t>
  </si>
  <si>
    <t xml:space="preserve">UV-Vis</t>
  </si>
  <si>
    <t xml:space="preserve">AAS / ICP</t>
  </si>
  <si>
    <t xml:space="preserve">KF titrator</t>
  </si>
  <si>
    <t xml:space="preserve">Dissolution bath</t>
  </si>
  <si>
    <t xml:space="preserve">Attended work only</t>
  </si>
  <si>
    <t xml:space="preserve">Instrument register</t>
  </si>
  <si>
    <t xml:space="preserve">One row per physical instrument</t>
  </si>
  <si>
    <t xml:space="preserve">Instrument ID</t>
  </si>
  <si>
    <t xml:space="preserve">Type</t>
  </si>
  <si>
    <t xml:space="preserve">Manufacturer / model</t>
  </si>
  <si>
    <t xml:space="preserve">Year installed</t>
  </si>
  <si>
    <t xml:space="preserve">Age (yrs)</t>
  </si>
  <si>
    <t xml:space="preserve">Status</t>
  </si>
  <si>
    <t xml:space="preserve">% time used by other depts (R&amp;D etc.)</t>
  </si>
  <si>
    <t xml:space="preserve">Effective units (auto)</t>
  </si>
  <si>
    <t xml:space="preserve">Autosampler / detector</t>
  </si>
  <si>
    <t xml:space="preserve">Notes (breakdowns, obsolete parts...)</t>
  </si>
  <si>
    <t xml:space="preserve">One row per person in QC testing/review</t>
  </si>
  <si>
    <t xml:space="preserve">Name / ID</t>
  </si>
  <si>
    <t xml:space="preserve">Role</t>
  </si>
  <si>
    <t xml:space="preserve">HPLC qualified (Y/N)</t>
  </si>
  <si>
    <t xml:space="preserve">Years experience</t>
  </si>
  <si>
    <t xml:space="preserve">Contract hours / week</t>
  </si>
  <si>
    <t xml:space="preserve">Annual leave weeks</t>
  </si>
  <si>
    <t xml:space="preserve">% time on testing</t>
  </si>
  <si>
    <t xml:space="preserve">% time on review</t>
  </si>
  <si>
    <t xml:space="preserve">Available h/yr (auto)</t>
  </si>
  <si>
    <t xml:space="preserve">Overtime h / month (current avg)</t>
  </si>
  <si>
    <t xml:space="preserve">Notes</t>
  </si>
  <si>
    <t xml:space="preserve">Finished products &amp; annual workload</t>
  </si>
  <si>
    <t xml:space="preserve">Family = group of strengths/variants tested with the same methods. Edit column E if a variant needs its own method.</t>
  </si>
  <si>
    <t xml:space="preserve">Product</t>
  </si>
  <si>
    <t xml:space="preserve">Active(s) (from database)</t>
  </si>
  <si>
    <t xml:space="preserve"># Actives</t>
  </si>
  <si>
    <t xml:space="preserve">Dosage form (verify)</t>
  </si>
  <si>
    <t xml:space="preserve">Family ID</t>
  </si>
  <si>
    <t xml:space="preserve">Release batches / yr (now)</t>
  </si>
  <si>
    <t xml:space="preserve">Stability samples / yr (now)</t>
  </si>
  <si>
    <t xml:space="preserve">Release batches / yr (future, blank = growth %)</t>
  </si>
  <si>
    <t xml:space="preserve">Stability samples / yr (future)</t>
  </si>
  <si>
    <t xml:space="preserve">Release used future (auto)</t>
  </si>
  <si>
    <t xml:space="preserve">Stability used future (auto)</t>
  </si>
  <si>
    <t xml:space="preserve">Ezetimibe-Rosuvastatin 10-10</t>
  </si>
  <si>
    <t xml:space="preserve">Ezetimibe, Rosuvastatin Calcium</t>
  </si>
  <si>
    <t xml:space="preserve">Tablet</t>
  </si>
  <si>
    <t xml:space="preserve">F01</t>
  </si>
  <si>
    <t xml:space="preserve">Marketed</t>
  </si>
  <si>
    <t xml:space="preserve">Ezetimibe-Rosuvastatin 10-20</t>
  </si>
  <si>
    <t xml:space="preserve">Ezetimibe-Rosuvastatin 10-40</t>
  </si>
  <si>
    <t xml:space="preserve">Resmitrom (Resffera) 60</t>
  </si>
  <si>
    <t xml:space="preserve">Resmetirom</t>
  </si>
  <si>
    <t xml:space="preserve">F02</t>
  </si>
  <si>
    <t xml:space="preserve">Resmitrom (Resffera) 80</t>
  </si>
  <si>
    <t xml:space="preserve">Resmitrom (Resffera) 100</t>
  </si>
  <si>
    <t xml:space="preserve">Finerodyd 10</t>
  </si>
  <si>
    <t xml:space="preserve">Finerenone</t>
  </si>
  <si>
    <t xml:space="preserve">F03</t>
  </si>
  <si>
    <t xml:space="preserve">Finerodyd 20</t>
  </si>
  <si>
    <t xml:space="preserve">Cardyd 20</t>
  </si>
  <si>
    <t xml:space="preserve">Telmisartan</t>
  </si>
  <si>
    <t xml:space="preserve">F04</t>
  </si>
  <si>
    <t xml:space="preserve">Cardyd 40</t>
  </si>
  <si>
    <t xml:space="preserve">Cardyd 80</t>
  </si>
  <si>
    <t xml:space="preserve">Cardyd-AM 80/5</t>
  </si>
  <si>
    <t xml:space="preserve">Telmisartan, Amlodipine Besylate</t>
  </si>
  <si>
    <t xml:space="preserve">F05</t>
  </si>
  <si>
    <t xml:space="preserve">Cardyd-AM 80/10</t>
  </si>
  <si>
    <t xml:space="preserve">Cardyd-AM 40/5</t>
  </si>
  <si>
    <t xml:space="preserve">Cardyd-AM 40/10</t>
  </si>
  <si>
    <t xml:space="preserve">Cardyd-H 40/12.5</t>
  </si>
  <si>
    <t xml:space="preserve">Telmisartan, Hydrochlorothiazide</t>
  </si>
  <si>
    <t xml:space="preserve">F06</t>
  </si>
  <si>
    <t xml:space="preserve">Cardyd-H 80/12.5</t>
  </si>
  <si>
    <t xml:space="preserve">Cardyd-H 80/25</t>
  </si>
  <si>
    <t xml:space="preserve">Dexlansoprazole 60</t>
  </si>
  <si>
    <t xml:space="preserve">Dexlansoprazole Pellets 20%</t>
  </si>
  <si>
    <t xml:space="preserve">Capsule</t>
  </si>
  <si>
    <t xml:space="preserve">F07</t>
  </si>
  <si>
    <t xml:space="preserve">Dexlansoprazole 30</t>
  </si>
  <si>
    <t xml:space="preserve">Prucalopride 1</t>
  </si>
  <si>
    <t xml:space="preserve">Prucalopride Succinate</t>
  </si>
  <si>
    <t xml:space="preserve">F08</t>
  </si>
  <si>
    <t xml:space="preserve">Prucalopride 2</t>
  </si>
  <si>
    <t xml:space="preserve">Ranulo 500</t>
  </si>
  <si>
    <t xml:space="preserve">Ranolazine</t>
  </si>
  <si>
    <t xml:space="preserve">F09</t>
  </si>
  <si>
    <t xml:space="preserve">Bempedoic Acid 180</t>
  </si>
  <si>
    <t xml:space="preserve">Bempedoic Acid</t>
  </si>
  <si>
    <t xml:space="preserve">F10</t>
  </si>
  <si>
    <t xml:space="preserve">Bempedoic Ezetimibe 180/10</t>
  </si>
  <si>
    <t xml:space="preserve">Bempedoic Acid, Ezetimibe</t>
  </si>
  <si>
    <t xml:space="preserve">F11</t>
  </si>
  <si>
    <t xml:space="preserve">loperamide 2</t>
  </si>
  <si>
    <t xml:space="preserve">Loperamide HCl</t>
  </si>
  <si>
    <t xml:space="preserve">F12</t>
  </si>
  <si>
    <t xml:space="preserve">Naproxen 750</t>
  </si>
  <si>
    <t xml:space="preserve">Naproxen</t>
  </si>
  <si>
    <t xml:space="preserve">F13</t>
  </si>
  <si>
    <t xml:space="preserve">Azelastin+Fluticasone (Nasal Spray)</t>
  </si>
  <si>
    <t xml:space="preserve">Azelastine Hydrochloride, Fluticasone Propionate</t>
  </si>
  <si>
    <t xml:space="preserve">Nasal spray</t>
  </si>
  <si>
    <t xml:space="preserve">F14</t>
  </si>
  <si>
    <t xml:space="preserve">Scadia 50</t>
  </si>
  <si>
    <t xml:space="preserve">Sacubitril/Valsartan 3Sodium 2.5H2O Co-crystal</t>
  </si>
  <si>
    <t xml:space="preserve">F15</t>
  </si>
  <si>
    <t xml:space="preserve">Scadia 100</t>
  </si>
  <si>
    <t xml:space="preserve">Scadia 200</t>
  </si>
  <si>
    <t xml:space="preserve">Taglida 5</t>
  </si>
  <si>
    <t xml:space="preserve">Linagliptin</t>
  </si>
  <si>
    <t xml:space="preserve">F16</t>
  </si>
  <si>
    <t xml:space="preserve">Dapaglose 10</t>
  </si>
  <si>
    <t xml:space="preserve">Dapagliflozin Propanediol Monohydrate</t>
  </si>
  <si>
    <t xml:space="preserve">F17</t>
  </si>
  <si>
    <t xml:space="preserve">Dapaglose 5</t>
  </si>
  <si>
    <t xml:space="preserve">Taglida Duo 2.5/1000</t>
  </si>
  <si>
    <t xml:space="preserve">Metformin Hydrochloride, Linagliptin (+1 more)</t>
  </si>
  <si>
    <t xml:space="preserve">F18</t>
  </si>
  <si>
    <t xml:space="preserve">Taglida Duo 2.5/500</t>
  </si>
  <si>
    <t xml:space="preserve">Ozanimod 0.23/0.46</t>
  </si>
  <si>
    <t xml:space="preserve">Ozanimod Hydrochloride</t>
  </si>
  <si>
    <t xml:space="preserve">F19</t>
  </si>
  <si>
    <t xml:space="preserve">Ozanimod 0.92 mg</t>
  </si>
  <si>
    <t xml:space="preserve">Flusip Cold and cough-Day</t>
  </si>
  <si>
    <t xml:space="preserve">Acetaminophen, Phenylephrine HCl (+2 more)</t>
  </si>
  <si>
    <t xml:space="preserve">F20</t>
  </si>
  <si>
    <t xml:space="preserve">Flusip Cold and Cough-Day (Sugar Free)</t>
  </si>
  <si>
    <t xml:space="preserve">Flusip Cold and Cough-Night</t>
  </si>
  <si>
    <t xml:space="preserve">Flusip Cold &amp; Cough Night (Sugar Free)</t>
  </si>
  <si>
    <t xml:space="preserve">Flusip Cold and Flu</t>
  </si>
  <si>
    <t xml:space="preserve">Acetaminophen, Phenylephrine HCl (+1 more)</t>
  </si>
  <si>
    <t xml:space="preserve">F21</t>
  </si>
  <si>
    <t xml:space="preserve">Flusip Cold and Flu (Sugar Free)</t>
  </si>
  <si>
    <t xml:space="preserve">Flusip-C</t>
  </si>
  <si>
    <t xml:space="preserve">Not in source file – define</t>
  </si>
  <si>
    <t xml:space="preserve">F22</t>
  </si>
  <si>
    <t xml:space="preserve">Pipeline / no formula</t>
  </si>
  <si>
    <t xml:space="preserve">Empagliflozin 10 mg</t>
  </si>
  <si>
    <t xml:space="preserve">Empagliflozin</t>
  </si>
  <si>
    <t xml:space="preserve">F23</t>
  </si>
  <si>
    <t xml:space="preserve">Empaglose 25</t>
  </si>
  <si>
    <t xml:space="preserve">Lixiban 2.5</t>
  </si>
  <si>
    <t xml:space="preserve">Apixaban</t>
  </si>
  <si>
    <t xml:space="preserve">F24</t>
  </si>
  <si>
    <t xml:space="preserve">Lixiban 5</t>
  </si>
  <si>
    <t xml:space="preserve">Glose-lin 10/5</t>
  </si>
  <si>
    <t xml:space="preserve">Empagliflozin, Linagliptin</t>
  </si>
  <si>
    <t xml:space="preserve">F25</t>
  </si>
  <si>
    <t xml:space="preserve">Glose-lin 25/5</t>
  </si>
  <si>
    <t xml:space="preserve">TRILEMO ER 5-2.5-1000</t>
  </si>
  <si>
    <t xml:space="preserve">Metformin Hydrochloride, Empagliflozin (+1 more)</t>
  </si>
  <si>
    <t xml:space="preserve">F26</t>
  </si>
  <si>
    <t xml:space="preserve">TRILEMO ER 10-5-1000</t>
  </si>
  <si>
    <t xml:space="preserve">TRILEMO ER 12.5-2.5-1000</t>
  </si>
  <si>
    <t xml:space="preserve">TRILEMO ER 25-5-1000</t>
  </si>
  <si>
    <t xml:space="preserve">Emet-Duo 5/1000 ER</t>
  </si>
  <si>
    <t xml:space="preserve">Metformin Hydrochloride, Empagliflozin</t>
  </si>
  <si>
    <t xml:space="preserve">F27</t>
  </si>
  <si>
    <t xml:space="preserve">Emet-Duo 10/1000 ER</t>
  </si>
  <si>
    <t xml:space="preserve">Emet-Duo 12.5/1000 ER</t>
  </si>
  <si>
    <t xml:space="preserve">Emet-Duo 25/1000 ER</t>
  </si>
  <si>
    <t xml:space="preserve">Emet-Duo 12.5/1000</t>
  </si>
  <si>
    <t xml:space="preserve">F28</t>
  </si>
  <si>
    <t xml:space="preserve">Emet-Duo 5/1000</t>
  </si>
  <si>
    <t xml:space="preserve">Empagliflozin, Metformin Hydrochloride</t>
  </si>
  <si>
    <t xml:space="preserve">Emet-Duo 12.5/500</t>
  </si>
  <si>
    <t xml:space="preserve">Emet-Duo 5/500</t>
  </si>
  <si>
    <t xml:space="preserve">Citicoline 500</t>
  </si>
  <si>
    <t xml:space="preserve">Citicoline Sodium</t>
  </si>
  <si>
    <t xml:space="preserve">F29</t>
  </si>
  <si>
    <t xml:space="preserve">NMN</t>
  </si>
  <si>
    <t xml:space="preserve">Nicotinamide Mononucleotide (NMN) Granule</t>
  </si>
  <si>
    <t xml:space="preserve">F30</t>
  </si>
  <si>
    <t xml:space="preserve">L-Arginine 1000</t>
  </si>
  <si>
    <t xml:space="preserve">L-Arginine</t>
  </si>
  <si>
    <t xml:space="preserve">F31</t>
  </si>
  <si>
    <t xml:space="preserve">L-Arginine 2000</t>
  </si>
  <si>
    <t xml:space="preserve">L-Carnitine 1000/10</t>
  </si>
  <si>
    <t xml:space="preserve">L-Carnitine (Base)</t>
  </si>
  <si>
    <t xml:space="preserve">F32</t>
  </si>
  <si>
    <t xml:space="preserve">L-Carnitine 2000/10</t>
  </si>
  <si>
    <t xml:space="preserve">L-Carnitine Caffeine</t>
  </si>
  <si>
    <t xml:space="preserve">L-Carnitine (Base), Caffeine (Base) (+3 more)</t>
  </si>
  <si>
    <t xml:space="preserve">F33</t>
  </si>
  <si>
    <t xml:space="preserve">B-Complex</t>
  </si>
  <si>
    <t xml:space="preserve">Cyanocobalamin (Vitamin B12), Thiamine Hydrochloride (Vitamin B1) (+6 more)</t>
  </si>
  <si>
    <t xml:space="preserve">F34</t>
  </si>
  <si>
    <t xml:space="preserve">Sachet Vitamin B12</t>
  </si>
  <si>
    <t xml:space="preserve">Cyanocobalamin (Vitamin B12)</t>
  </si>
  <si>
    <t xml:space="preserve">Sachet</t>
  </si>
  <si>
    <t xml:space="preserve">F35</t>
  </si>
  <si>
    <t xml:space="preserve">Ca+k+D3</t>
  </si>
  <si>
    <t xml:space="preserve">Calcium Carbonate, Vitamin D3 (+1 more)</t>
  </si>
  <si>
    <t xml:space="preserve">F36</t>
  </si>
  <si>
    <t xml:space="preserve">Zinc+Vitamin C</t>
  </si>
  <si>
    <t xml:space="preserve">F37</t>
  </si>
  <si>
    <t xml:space="preserve">Vitamin C 1000 mg</t>
  </si>
  <si>
    <t xml:space="preserve">Ascorbic Acid Coated 97%</t>
  </si>
  <si>
    <t xml:space="preserve">F38</t>
  </si>
  <si>
    <t xml:space="preserve">Magnesium Oxide</t>
  </si>
  <si>
    <t xml:space="preserve">Magnesium Oxide Heavy</t>
  </si>
  <si>
    <t xml:space="preserve">F39</t>
  </si>
  <si>
    <t xml:space="preserve">Magni D</t>
  </si>
  <si>
    <t xml:space="preserve">Magnesium Oxide Heavy, Thiamine Hydrochloride (Vitamin B1) (+2 more)</t>
  </si>
  <si>
    <t xml:space="preserve">F40</t>
  </si>
  <si>
    <t xml:space="preserve">Sweet Sleep</t>
  </si>
  <si>
    <t xml:space="preserve">F41</t>
  </si>
  <si>
    <t xml:space="preserve">Ferrikid</t>
  </si>
  <si>
    <t xml:space="preserve">F42</t>
  </si>
  <si>
    <t xml:space="preserve">Painlys</t>
  </si>
  <si>
    <t xml:space="preserve">Ginger Dry Extract 5:1, Devil's Claw Dry Extract 6:1 (+1 more)</t>
  </si>
  <si>
    <t xml:space="preserve">F43</t>
  </si>
  <si>
    <t xml:space="preserve">Feroral Premium</t>
  </si>
  <si>
    <t xml:space="preserve">Ferrous Bisglycinate, Folic Acid (Vitamin B9) (+2 more)</t>
  </si>
  <si>
    <t xml:space="preserve">F44</t>
  </si>
  <si>
    <t xml:space="preserve">Ginc Active</t>
  </si>
  <si>
    <t xml:space="preserve">Ginkgo Biloba Leaf Dry Extract 50:1, Calcium Carbonate Heavy</t>
  </si>
  <si>
    <t xml:space="preserve">F45</t>
  </si>
  <si>
    <t xml:space="preserve">URomax</t>
  </si>
  <si>
    <t xml:space="preserve">Cranberry Dry Extract 25:1, Ascorbic Acid Coated 97%</t>
  </si>
  <si>
    <t xml:space="preserve">F46</t>
  </si>
  <si>
    <t xml:space="preserve">Uromax Sachet</t>
  </si>
  <si>
    <t xml:space="preserve">Healthy Liver</t>
  </si>
  <si>
    <t xml:space="preserve">Milk Thistle Dry Extract 70:1, Artichoke Dry Extract 25:1 (+4 more)</t>
  </si>
  <si>
    <t xml:space="preserve">F47</t>
  </si>
  <si>
    <t xml:space="preserve">Kamasotra premium</t>
  </si>
  <si>
    <t xml:space="preserve">Cyanocobalamin (Vitamin B12), Ginseng Panax (+3 more)</t>
  </si>
  <si>
    <t xml:space="preserve">F48</t>
  </si>
  <si>
    <t xml:space="preserve">Prostica</t>
  </si>
  <si>
    <t xml:space="preserve">Saw Palmetto Dry Extract 4:1, Sodium Selenite (+1 more)</t>
  </si>
  <si>
    <t xml:space="preserve">F49</t>
  </si>
  <si>
    <t xml:space="preserve">Vitacal Forte</t>
  </si>
  <si>
    <t xml:space="preserve">Calcium Carbonate Heavy, Vitamin D3 (+7 more)</t>
  </si>
  <si>
    <t xml:space="preserve">F50</t>
  </si>
  <si>
    <t xml:space="preserve">Burning Fat</t>
  </si>
  <si>
    <t xml:space="preserve">Coleus Forskohlii Root Dry Extract 10:1, Chromium Picolinate (+5 more)</t>
  </si>
  <si>
    <t xml:space="preserve">F51</t>
  </si>
  <si>
    <t xml:space="preserve">Co-Enzyme Q10 (30mg)</t>
  </si>
  <si>
    <t xml:space="preserve">Ubidecarenone (Co-Q10)</t>
  </si>
  <si>
    <t xml:space="preserve">F52</t>
  </si>
  <si>
    <t xml:space="preserve">Co-Enzyme Q10 (100mg)</t>
  </si>
  <si>
    <t xml:space="preserve">Digestive Aid (30)</t>
  </si>
  <si>
    <t xml:space="preserve">Marshmallow Dry Extract 3:1, Liquorice Dry Extract 8:1 (+4 more)</t>
  </si>
  <si>
    <t xml:space="preserve">F53</t>
  </si>
  <si>
    <t xml:space="preserve">Digestive Aid (60)</t>
  </si>
  <si>
    <t xml:space="preserve">Celer-X Forte</t>
  </si>
  <si>
    <t xml:space="preserve">Apium Graveolens Seed Dry Extract 6:1, Juniper Communis Fruit Dry Extract 2:1 (+1 more)</t>
  </si>
  <si>
    <t xml:space="preserve">F54</t>
  </si>
  <si>
    <t xml:space="preserve">Opti Woman 30 Cap</t>
  </si>
  <si>
    <t xml:space="preserve">Biotin (Vitamin B7), Folic Acid (Vitamin B9) (+22 more)</t>
  </si>
  <si>
    <t xml:space="preserve">F55</t>
  </si>
  <si>
    <t xml:space="preserve">Opti Woman 60 Cap</t>
  </si>
  <si>
    <t xml:space="preserve">Pregnalife</t>
  </si>
  <si>
    <t xml:space="preserve">D-Alpha Tocopheryl Acetate 50% (Vitamin E), Magnesium Oxide Heavy (+13 more)</t>
  </si>
  <si>
    <t xml:space="preserve">F56</t>
  </si>
  <si>
    <t xml:space="preserve">Immune AID</t>
  </si>
  <si>
    <t xml:space="preserve">Cyanocobalamin (Vitamin B12), Folic Acid (Vitamin B9) (+13 more)</t>
  </si>
  <si>
    <t xml:space="preserve">F57</t>
  </si>
  <si>
    <t xml:space="preserve">Immune AID Direct</t>
  </si>
  <si>
    <t xml:space="preserve">Cyanocobalamin (Vitamin B12), Thiamine Hydrochloride (Vitamin B1) (+14 more)</t>
  </si>
  <si>
    <t xml:space="preserve">F58</t>
  </si>
  <si>
    <t xml:space="preserve">X-Ade (Blister 15 pcs)</t>
  </si>
  <si>
    <t xml:space="preserve">Zinc Gluconate, Magnesium Oxide Heavy (+8 more)</t>
  </si>
  <si>
    <t xml:space="preserve">F59</t>
  </si>
  <si>
    <t xml:space="preserve">X-Ade (Bottle 30 pcs)</t>
  </si>
  <si>
    <t xml:space="preserve">Energe-X</t>
  </si>
  <si>
    <t xml:space="preserve">F60</t>
  </si>
  <si>
    <t xml:space="preserve">Dermo bella Permium 30 Cap</t>
  </si>
  <si>
    <t xml:space="preserve">Premix Dermo Bella, L-Cystine (+1 more)</t>
  </si>
  <si>
    <t xml:space="preserve">F61</t>
  </si>
  <si>
    <t xml:space="preserve">Zylicut 180</t>
  </si>
  <si>
    <t xml:space="preserve">F62</t>
  </si>
  <si>
    <t xml:space="preserve">Zylicut-Duo 180/10</t>
  </si>
  <si>
    <t xml:space="preserve">F63</t>
  </si>
  <si>
    <t xml:space="preserve">Hair and Skin</t>
  </si>
  <si>
    <t xml:space="preserve">Biotin (Vitamin B7), Folic Acid (Vitamin B9) (+7 more)</t>
  </si>
  <si>
    <t xml:space="preserve">F64</t>
  </si>
  <si>
    <t xml:space="preserve">Stability samples/yr = number of stability studies running x time points pulled per year (each pull = 1 sample).</t>
  </si>
  <si>
    <t xml:space="preserve">Raw materials &amp; lots per year</t>
  </si>
  <si>
    <t xml:space="preserve">Enter number of lots received (tested) per year</t>
  </si>
  <si>
    <t xml:space="preserve">Material</t>
  </si>
  <si>
    <t xml:space="preserve">Category</t>
  </si>
  <si>
    <t xml:space="preserve"># products using (from database)</t>
  </si>
  <si>
    <t xml:space="preserve">Lots / yr (now)</t>
  </si>
  <si>
    <t xml:space="preserve">Lots / yr (future, blank = growth %)</t>
  </si>
  <si>
    <t xml:space="preserve">Lots used future (auto)</t>
  </si>
  <si>
    <t xml:space="preserve">Supplier / pharmacopoeia</t>
  </si>
  <si>
    <t xml:space="preserve">Acetaminophen</t>
  </si>
  <si>
    <t xml:space="preserve">Active</t>
  </si>
  <si>
    <t xml:space="preserve">Amlodipine Besylate</t>
  </si>
  <si>
    <t xml:space="preserve">Apium Graveolens Seed Dry Extract 6:1</t>
  </si>
  <si>
    <t xml:space="preserve">Artichoke Dry Extract 25:1</t>
  </si>
  <si>
    <t xml:space="preserve">Ascorbic Acid (Vitamin C)</t>
  </si>
  <si>
    <t xml:space="preserve">Azelastine Hydrochloride</t>
  </si>
  <si>
    <t xml:space="preserve">Beet Root</t>
  </si>
  <si>
    <t xml:space="preserve">Beta-Carotene</t>
  </si>
  <si>
    <t xml:space="preserve">Biotin (Vitamin B7)</t>
  </si>
  <si>
    <t xml:space="preserve">Borax</t>
  </si>
  <si>
    <t xml:space="preserve">Caffeine (Base)</t>
  </si>
  <si>
    <t xml:space="preserve">Calcium Carbonate</t>
  </si>
  <si>
    <t xml:space="preserve">Calcium Carbonate Heavy</t>
  </si>
  <si>
    <t xml:space="preserve">Calcium Pantothenate (Vitamin B5)</t>
  </si>
  <si>
    <t xml:space="preserve">Choline Bitartrate</t>
  </si>
  <si>
    <t xml:space="preserve">Chromium Picolinate</t>
  </si>
  <si>
    <t xml:space="preserve">Coleus Forskohlii Root Dry Extract 10:1</t>
  </si>
  <si>
    <t xml:space="preserve">Copper Gluconate</t>
  </si>
  <si>
    <t xml:space="preserve">Cranberry Dry Extract 25:1</t>
  </si>
  <si>
    <t xml:space="preserve">D-Alpha Tocopheryl Acetate 50% (Vitamin E)</t>
  </si>
  <si>
    <t xml:space="preserve">Devil's Claw Dry Extract 6:1</t>
  </si>
  <si>
    <t xml:space="preserve">Dextromethorphan HBr</t>
  </si>
  <si>
    <t xml:space="preserve">Diphenhydramine HCl</t>
  </si>
  <si>
    <t xml:space="preserve">dl-Alpha Tocopheryl Acetate 50% (Vitamin E)</t>
  </si>
  <si>
    <t xml:space="preserve">Echinacea Purpurea Dry Extract</t>
  </si>
  <si>
    <t xml:space="preserve">Epimedium Grandiflorum (Horny Goat Weed) Dry Extract 20:1</t>
  </si>
  <si>
    <t xml:space="preserve">Ezetimibe</t>
  </si>
  <si>
    <t xml:space="preserve">Fennel Dry Extract 5:1</t>
  </si>
  <si>
    <t xml:space="preserve">Ferrous Bisglycinate</t>
  </si>
  <si>
    <t xml:space="preserve">Ferrous Fumarate</t>
  </si>
  <si>
    <t xml:space="preserve">Fluticasone Propionate</t>
  </si>
  <si>
    <t xml:space="preserve">Folic Acid (Vitamin B9)</t>
  </si>
  <si>
    <t xml:space="preserve">Garcinia Cambogia Fruit Dry Extract 6:1</t>
  </si>
  <si>
    <t xml:space="preserve">Gentian Dry Extract 4:1</t>
  </si>
  <si>
    <t xml:space="preserve">Ginger Dry Extract 10:1</t>
  </si>
  <si>
    <t xml:space="preserve">Ginger Dry Extract 5:1</t>
  </si>
  <si>
    <t xml:space="preserve">Ginkgo Biloba Leaf Dry Extract 50:1</t>
  </si>
  <si>
    <t xml:space="preserve">Ginseng Panax</t>
  </si>
  <si>
    <t xml:space="preserve">Gymnema Sylvestre Leaf Dry Extract 10:1</t>
  </si>
  <si>
    <t xml:space="preserve">Hydrochlorothiazide</t>
  </si>
  <si>
    <t xml:space="preserve">Inositol (Vitamin B8)</t>
  </si>
  <si>
    <t xml:space="preserve">Juniper Communis Fruit Dry Extract 2:1</t>
  </si>
  <si>
    <t xml:space="preserve">L-Citrulline</t>
  </si>
  <si>
    <t xml:space="preserve">L-Cystine</t>
  </si>
  <si>
    <t xml:space="preserve">Liquorice Dry Extract 8:1</t>
  </si>
  <si>
    <t xml:space="preserve">Manganese Sulfate Monohydrate</t>
  </si>
  <si>
    <t xml:space="preserve">Marshmallow Dry Extract 3:1</t>
  </si>
  <si>
    <t xml:space="preserve">Metformin Hydrochloride</t>
  </si>
  <si>
    <t xml:space="preserve">Methionine</t>
  </si>
  <si>
    <t xml:space="preserve">Methyl Sulphonyl Methane (MSM)</t>
  </si>
  <si>
    <t xml:space="preserve">Milk Thistle Dry Extract 70:1</t>
  </si>
  <si>
    <t xml:space="preserve">Nicotinamide (Vitamin B3)</t>
  </si>
  <si>
    <t xml:space="preserve">Omega 3 Powder (from Flax Seed Dry Extract)</t>
  </si>
  <si>
    <t xml:space="preserve">Panax Ginseng (Asian Ginseng) Dry Extract 3:1</t>
  </si>
  <si>
    <t xml:space="preserve">Peppermint Dry Extract</t>
  </si>
  <si>
    <t xml:space="preserve">Phenylephrine HCl</t>
  </si>
  <si>
    <t xml:space="preserve">Potassium Iodide</t>
  </si>
  <si>
    <t xml:space="preserve">Premix Dermo Bella</t>
  </si>
  <si>
    <t xml:space="preserve">Pyridoxine Hydrochloride (Vitamin B6)</t>
  </si>
  <si>
    <t xml:space="preserve">Riboflavin (Vitamin B2)</t>
  </si>
  <si>
    <t xml:space="preserve">Rosuvastatin Calcium</t>
  </si>
  <si>
    <t xml:space="preserve">Saw Palmetto Dry Extract 4:1</t>
  </si>
  <si>
    <t xml:space="preserve">Siberian Ginseng Dry Extract 5:1</t>
  </si>
  <si>
    <t xml:space="preserve">Sodium Selenate Anhydrous</t>
  </si>
  <si>
    <t xml:space="preserve">Sodium Selenite</t>
  </si>
  <si>
    <t xml:space="preserve">Taurine</t>
  </si>
  <si>
    <t xml:space="preserve">Thiamine Hydrochloride (Vitamin B1)</t>
  </si>
  <si>
    <t xml:space="preserve">Tribulus Terrestris Dry Extract 50:1</t>
  </si>
  <si>
    <t xml:space="preserve">Vitamin D3</t>
  </si>
  <si>
    <t xml:space="preserve">Vitamin K1</t>
  </si>
  <si>
    <t xml:space="preserve">Zinc Gluconate</t>
  </si>
  <si>
    <t xml:space="preserve">Meglumine</t>
  </si>
  <si>
    <t xml:space="preserve">Alkalizer / Solubilizer</t>
  </si>
  <si>
    <t xml:space="preserve">Sodium Hydroxide</t>
  </si>
  <si>
    <t xml:space="preserve">PVP K30</t>
  </si>
  <si>
    <t xml:space="preserve">Binder</t>
  </si>
  <si>
    <t xml:space="preserve">PVP K90</t>
  </si>
  <si>
    <t xml:space="preserve">HPMC 15cps (Hypromellose)</t>
  </si>
  <si>
    <t xml:space="preserve">Binder / Coating Polymer</t>
  </si>
  <si>
    <t xml:space="preserve">HPMC 6cps (Hypromellose)</t>
  </si>
  <si>
    <t xml:space="preserve">Hard Gelatin Capsule</t>
  </si>
  <si>
    <t xml:space="preserve">Capsule Shell</t>
  </si>
  <si>
    <t xml:space="preserve">Edetate Disodium</t>
  </si>
  <si>
    <t xml:space="preserve">Chelating Agent</t>
  </si>
  <si>
    <t xml:space="preserve">Allura Red</t>
  </si>
  <si>
    <t xml:space="preserve">Colorant</t>
  </si>
  <si>
    <t xml:space="preserve">Apple Green Color</t>
  </si>
  <si>
    <t xml:space="preserve">Apple Green Lake</t>
  </si>
  <si>
    <t xml:space="preserve">Blue Color No.2</t>
  </si>
  <si>
    <t xml:space="preserve">Brilliant Blue</t>
  </si>
  <si>
    <t xml:space="preserve">Brown Color</t>
  </si>
  <si>
    <t xml:space="preserve">Caramel Colour</t>
  </si>
  <si>
    <t xml:space="preserve">Erythrosine Pink</t>
  </si>
  <si>
    <t xml:space="preserve">Exacol Brown HT</t>
  </si>
  <si>
    <t xml:space="preserve">Ferric Oxide Black</t>
  </si>
  <si>
    <t xml:space="preserve">Ferric Oxide Red</t>
  </si>
  <si>
    <t xml:space="preserve">Ferric Oxide Yellow</t>
  </si>
  <si>
    <t xml:space="preserve">Sunset Yellow</t>
  </si>
  <si>
    <t xml:space="preserve">Croscarmellose Sodium</t>
  </si>
  <si>
    <t xml:space="preserve">Disintegrant</t>
  </si>
  <si>
    <t xml:space="preserve">Crospovidone</t>
  </si>
  <si>
    <t xml:space="preserve">Sodium Starch Glycolate</t>
  </si>
  <si>
    <t xml:space="preserve">Calcium Hydrogen Phosphate (Dicalcium Phosphate)</t>
  </si>
  <si>
    <t xml:space="preserve">Filler / Diluent</t>
  </si>
  <si>
    <t xml:space="preserve">Corn Starch</t>
  </si>
  <si>
    <t xml:space="preserve">Dibasic Calcium Phosphate Dihydrate</t>
  </si>
  <si>
    <t xml:space="preserve">Lactose Monohydrate</t>
  </si>
  <si>
    <t xml:space="preserve">Maltodextrin</t>
  </si>
  <si>
    <t xml:space="preserve">Mannitol</t>
  </si>
  <si>
    <t xml:space="preserve">Microcrystalline Cellulose PH 101</t>
  </si>
  <si>
    <t xml:space="preserve">Microcrystalline Cellulose PH 102</t>
  </si>
  <si>
    <t xml:space="preserve">Pregelatinized Starch</t>
  </si>
  <si>
    <t xml:space="preserve">Cola Flavour</t>
  </si>
  <si>
    <t xml:space="preserve">Flavour</t>
  </si>
  <si>
    <t xml:space="preserve">Honey Flavour</t>
  </si>
  <si>
    <t xml:space="preserve">L-Menthol</t>
  </si>
  <si>
    <t xml:space="preserve">Lemon Essence</t>
  </si>
  <si>
    <t xml:space="preserve">Lemon Flavour</t>
  </si>
  <si>
    <t xml:space="preserve">Mint Essence</t>
  </si>
  <si>
    <t xml:space="preserve">Mint Flavour</t>
  </si>
  <si>
    <t xml:space="preserve">Orange Flavour</t>
  </si>
  <si>
    <t xml:space="preserve">Sour Cherry Flavour</t>
  </si>
  <si>
    <t xml:space="preserve">Strawberry Flavour</t>
  </si>
  <si>
    <t xml:space="preserve">Colloidal Silicon Dioxide</t>
  </si>
  <si>
    <t xml:space="preserve">Glidant</t>
  </si>
  <si>
    <t xml:space="preserve">Talc</t>
  </si>
  <si>
    <t xml:space="preserve">Glidant / Anti-tacking</t>
  </si>
  <si>
    <t xml:space="preserve">Magnesium Stearate</t>
  </si>
  <si>
    <t xml:space="preserve">Lubricant</t>
  </si>
  <si>
    <t xml:space="preserve">Sodium Stearyl Fumarate</t>
  </si>
  <si>
    <t xml:space="preserve">Titanium Dioxide</t>
  </si>
  <si>
    <t xml:space="preserve">Opacifier</t>
  </si>
  <si>
    <t xml:space="preserve">Phenylethyl Alcohol</t>
  </si>
  <si>
    <t xml:space="preserve">Other Excipient</t>
  </si>
  <si>
    <t xml:space="preserve">Sodium Chloride</t>
  </si>
  <si>
    <t xml:space="preserve">Polyethylene Glycol (grade not stated)</t>
  </si>
  <si>
    <t xml:space="preserve">Plasticizer</t>
  </si>
  <si>
    <t xml:space="preserve">Polyethylene Glycol 4000 (PEG 4000)</t>
  </si>
  <si>
    <t xml:space="preserve">Triacetin</t>
  </si>
  <si>
    <t xml:space="preserve">Glycerine</t>
  </si>
  <si>
    <t xml:space="preserve">Plasticizer / Humectant</t>
  </si>
  <si>
    <t xml:space="preserve">Propylene Glycol</t>
  </si>
  <si>
    <t xml:space="preserve">Benzalkonium Alcohol 50%</t>
  </si>
  <si>
    <t xml:space="preserve">Preservative</t>
  </si>
  <si>
    <t xml:space="preserve">Methyl Paraben</t>
  </si>
  <si>
    <t xml:space="preserve">Propyl Paraben</t>
  </si>
  <si>
    <t xml:space="preserve">Sodium Benzoate</t>
  </si>
  <si>
    <t xml:space="preserve">Glyceryl Behenate (Compritol 888 ATO)</t>
  </si>
  <si>
    <t xml:space="preserve">Release / Matrix Polymer</t>
  </si>
  <si>
    <t xml:space="preserve">HPMC K100M (100,000 cps CR)</t>
  </si>
  <si>
    <t xml:space="preserve">HPMC K15M (15,000 cps CR)</t>
  </si>
  <si>
    <t xml:space="preserve">HPMC K4M</t>
  </si>
  <si>
    <t xml:space="preserve">Methacrylic Acid Copolymer (Eudragit L100-55)</t>
  </si>
  <si>
    <t xml:space="preserve">Deionized Water</t>
  </si>
  <si>
    <t xml:space="preserve">Solvent</t>
  </si>
  <si>
    <t xml:space="preserve">Ethanol (% not stated)</t>
  </si>
  <si>
    <t xml:space="preserve">Ethanol 96%</t>
  </si>
  <si>
    <t xml:space="preserve">Isopropyl Alcohol</t>
  </si>
  <si>
    <t xml:space="preserve">Purified Water</t>
  </si>
  <si>
    <t xml:space="preserve">Water</t>
  </si>
  <si>
    <t xml:space="preserve">Water for Injection (WFI)</t>
  </si>
  <si>
    <t xml:space="preserve">Polysorbate 80</t>
  </si>
  <si>
    <t xml:space="preserve">Surfactant</t>
  </si>
  <si>
    <t xml:space="preserve">Sodium Lauryl Sulfate</t>
  </si>
  <si>
    <t xml:space="preserve">Microcrystalline Cellulose RC591</t>
  </si>
  <si>
    <t xml:space="preserve">Suspending Agent</t>
  </si>
  <si>
    <t xml:space="preserve">Sodium Carboxymethyl Cellulose (Medium Viscosity)</t>
  </si>
  <si>
    <t xml:space="preserve">Neotame</t>
  </si>
  <si>
    <t xml:space="preserve">Sweetener</t>
  </si>
  <si>
    <t xml:space="preserve">Sorbitol Solution 70%</t>
  </si>
  <si>
    <t xml:space="preserve">Sucralose</t>
  </si>
  <si>
    <t xml:space="preserve">Sorbitol</t>
  </si>
  <si>
    <t xml:space="preserve">Sweetener / Filler</t>
  </si>
  <si>
    <t xml:space="preserve">Sucrose</t>
  </si>
  <si>
    <t xml:space="preserve">Citric Acid</t>
  </si>
  <si>
    <t xml:space="preserve">pH Modifier / Buffer</t>
  </si>
  <si>
    <t xml:space="preserve">Citric Acid Anhydrous</t>
  </si>
  <si>
    <t xml:space="preserve">Hydrochloric Acid Solution 37%</t>
  </si>
  <si>
    <t xml:space="preserve">Sodium Bicarbonate</t>
  </si>
  <si>
    <t xml:space="preserve">Sodium Citrate</t>
  </si>
  <si>
    <t xml:space="preserve">Sodium Citrate Dihydrate</t>
  </si>
  <si>
    <t xml:space="preserve">Test times catalogue (fill from interviews)</t>
  </si>
  <si>
    <t xml:space="preserve">Times in HOURS. One row per family/material x test. Set Applicable = N to exclude. Columns AA onward are automatic.</t>
  </si>
  <si>
    <t xml:space="preserve">Key (Family ID / Material)</t>
  </si>
  <si>
    <t xml:space="preserve">Description</t>
  </si>
  <si>
    <t xml:space="preserve">Test</t>
  </si>
  <si>
    <t xml:space="preserve">Lookup key (auto)</t>
  </si>
  <si>
    <t xml:space="preserve">Applicable (Y/N)</t>
  </si>
  <si>
    <t xml:space="preserve">Instrument</t>
  </si>
  <si>
    <t xml:space="preserve">No. of separate methods</t>
  </si>
  <si>
    <t xml:space="preserve">Campaign group code</t>
  </si>
  <si>
    <t xml:space="preserve">Setup analyst h / sequence</t>
  </si>
  <si>
    <t xml:space="preserve">Setup instrument h / sequence</t>
  </si>
  <si>
    <t xml:space="preserve">Prep analyst h/sample – MIN</t>
  </si>
  <si>
    <t xml:space="preserve">Prep – MOST LIKELY</t>
  </si>
  <si>
    <t xml:space="preserve">Prep – MAX</t>
  </si>
  <si>
    <t xml:space="preserve">Prep PERT (auto)</t>
  </si>
  <si>
    <t xml:space="preserve">Instrument run h / sample</t>
  </si>
  <si>
    <t xml:space="preserve">Dissolution bath h / sample</t>
  </si>
  <si>
    <t xml:space="preserve">Data processing + doc h / sample</t>
  </si>
  <si>
    <t xml:space="preserve">Review h / sample</t>
  </si>
  <si>
    <t xml:space="preserve">Samples per sequence</t>
  </si>
  <si>
    <t xml:space="preserve">Retest / OOS %</t>
  </si>
  <si>
    <t xml:space="preserve">Applies to stability (Y/N)</t>
  </si>
  <si>
    <t xml:space="preserve">Respondent(s) / source</t>
  </si>
  <si>
    <t xml:space="preserve">Confidence</t>
  </si>
  <si>
    <t xml:space="preserve">Notes / difficulty</t>
  </si>
  <si>
    <t xml:space="preserve">Samples/yr now (auto)</t>
  </si>
  <si>
    <t xml:space="preserve">Samples/yr future (auto)</t>
  </si>
  <si>
    <t xml:space="preserve">Tests sharing group (auto)</t>
  </si>
  <si>
    <t xml:space="preserve">Analyst h / sample all-in (auto)</t>
  </si>
  <si>
    <t xml:space="preserve">Instrument h / sample all-in (auto)</t>
  </si>
  <si>
    <t xml:space="preserve">Review h / sample (auto)</t>
  </si>
  <si>
    <t xml:space="preserve">Analyst h/yr NOW</t>
  </si>
  <si>
    <t xml:space="preserve">Instrument h/yr NOW</t>
  </si>
  <si>
    <t xml:space="preserve">Review h/yr NOW</t>
  </si>
  <si>
    <t xml:space="preserve">Dissolution h/yr NOW</t>
  </si>
  <si>
    <t xml:space="preserve">Analyst h/yr FUTURE</t>
  </si>
  <si>
    <t xml:space="preserve">Instrument h/yr FUTURE</t>
  </si>
  <si>
    <t xml:space="preserve">Review h/yr FUTURE</t>
  </si>
  <si>
    <t xml:space="preserve">Dissolution h/yr FUTURE</t>
  </si>
  <si>
    <t xml:space="preserve">Data check</t>
  </si>
  <si>
    <t xml:space="preserve">FP</t>
  </si>
  <si>
    <t xml:space="preserve">Ezetimibe-Rosuvastatin 10-10; Ezetimibe-Rosuvastatin 10-20; Ezetimibe-Rosuvastatin 10-40  |  Ezetimibe, Rosuvastatin Calcium</t>
  </si>
  <si>
    <t xml:space="preserve">Assay</t>
  </si>
  <si>
    <t xml:space="preserve">Y</t>
  </si>
  <si>
    <t xml:space="preserve">Medium</t>
  </si>
  <si>
    <t xml:space="preserve">Related substances / impurities</t>
  </si>
  <si>
    <t xml:space="preserve">Dissolution</t>
  </si>
  <si>
    <t xml:space="preserve">Content uniformity</t>
  </si>
  <si>
    <t xml:space="preserve">N</t>
  </si>
  <si>
    <t xml:space="preserve">Identification (if separate from assay)</t>
  </si>
  <si>
    <t xml:space="preserve">Other tests (non-HPLC: physical, LOD/KF, disintegration, pH, micro...)</t>
  </si>
  <si>
    <t xml:space="preserve">Other / bench</t>
  </si>
  <si>
    <t xml:space="preserve">Resmitrom (Resffera) 60; Resmitrom (Resffera) 80; Resmitrom (Resffera) 100  |  Resmetirom</t>
  </si>
  <si>
    <t xml:space="preserve">Low</t>
  </si>
  <si>
    <t xml:space="preserve">Finerodyd 10; Finerodyd 20  |  Finerenone</t>
  </si>
  <si>
    <t xml:space="preserve">Cardyd 20; Cardyd 40; Cardyd 80  |  Telmisartan</t>
  </si>
  <si>
    <t xml:space="preserve">Cardyd-AM 80/5; Cardyd-AM 80/10; Cardyd-AM 40/5; Cardyd-AM 40/10  |  Telmisartan, Amlodipine Besylate</t>
  </si>
  <si>
    <t xml:space="preserve">Cardyd-H 40/12.5; Cardyd-H 80/12.5; Cardyd-H 80/25  |  Telmisartan, Hydrochlorothiazide</t>
  </si>
  <si>
    <t xml:space="preserve">Dexlansoprazole 60; Dexlansoprazole 30  |  Dexlansoprazole Pellets 20%</t>
  </si>
  <si>
    <t xml:space="preserve">Prucalopride 1; Prucalopride 2  |  Prucalopride Succinate</t>
  </si>
  <si>
    <t xml:space="preserve">Ranulo 500  |  Ranolazine</t>
  </si>
  <si>
    <t xml:space="preserve">Bempedoic Acid 180  |  Bempedoic Acid</t>
  </si>
  <si>
    <t xml:space="preserve">Bempedoic Ezetimibe 180/10  |  Bempedoic Acid, Ezetimibe</t>
  </si>
  <si>
    <t xml:space="preserve">loperamide 2  |  Loperamide HCl</t>
  </si>
  <si>
    <t xml:space="preserve">Naproxen 750  |  Naproxen</t>
  </si>
  <si>
    <t xml:space="preserve">Azelastin+Fluticasone (Nasal Spray)  |  Azelastine Hydrochloride, Fluticasone Propionate</t>
  </si>
  <si>
    <t xml:space="preserve">High</t>
  </si>
  <si>
    <t xml:space="preserve">Spray pattern / droplet / delivered dose</t>
  </si>
  <si>
    <t xml:space="preserve">Scadia 50; Scadia 100; Scadia 200  |  Sacubitril/Valsartan 3Sodium 2.5H2O Co-crystal</t>
  </si>
  <si>
    <t xml:space="preserve">Taglida 5  |  Linagliptin</t>
  </si>
  <si>
    <t xml:space="preserve">Dapaglose 10; Dapaglose 5  |  Dapagliflozin Propanediol Monohydrate</t>
  </si>
  <si>
    <t xml:space="preserve">Taglida Duo 2.5/1000; Taglida Duo 2.5/500  |  Metformin Hydrochloride, Linagliptin (+1 more)</t>
  </si>
  <si>
    <t xml:space="preserve">Ozanimod 0.23/0.46; Ozanimod 0.92 mg  |  Ozanimod Hydrochloride</t>
  </si>
  <si>
    <t xml:space="preserve">Flusip Cold and cough-Day; Flusip Cold and Cough-Day (Sugar Free); Flusip Cold and Cough-N  |  Acetaminophen, Phenylephrine HCl (+2 more)</t>
  </si>
  <si>
    <t xml:space="preserve">Multi-active product: enter number of separate HPLC/AAS methods in col I</t>
  </si>
  <si>
    <t xml:space="preserve">Flusip Cold and Flu; Flusip Cold and Flu (Sugar Free)  |  Acetaminophen, Phenylephrine HCl (+1 more)</t>
  </si>
  <si>
    <t xml:space="preserve">Flusip-C  |  actives TBD: Flusip-C</t>
  </si>
  <si>
    <t xml:space="preserve">Actives not in source file – confirm tests</t>
  </si>
  <si>
    <t xml:space="preserve">Empagliflozin 10 mg; Empaglose 25  |  Empagliflozin</t>
  </si>
  <si>
    <t xml:space="preserve">Lixiban 2.5; Lixiban 5  |  Apixaban</t>
  </si>
  <si>
    <t xml:space="preserve">Glose-lin 10/5; Glose-lin 25/5  |  Empagliflozin, Linagliptin</t>
  </si>
  <si>
    <t xml:space="preserve">TRILEMO ER 5-2.5-1000; TRILEMO ER 10-5-1000; TRILEMO ER 12.5-2.5-1000; TRILEMO ER 25-5-100  |  Metformin Hydrochloride, Empagliflozin (+1 more) [ER]</t>
  </si>
  <si>
    <t xml:space="preserve">Dissolution (multi-point, ER)</t>
  </si>
  <si>
    <t xml:space="preserve">Emet-Duo 5/1000 ER; Emet-Duo 10/1000 ER; Emet-Duo 12.5/1000 ER; Emet-Duo 25/1000 ER  |  Metformin Hydrochloride, Empagliflozin [ER]</t>
  </si>
  <si>
    <t xml:space="preserve">Emet-Duo 12.5/1000; Emet-Duo 5/1000; Emet-Duo 12.5/500; Emet-Duo 5/500  |  Empagliflozin, Metformin Hydrochloride</t>
  </si>
  <si>
    <t xml:space="preserve">Citicoline 500  |  Citicoline Sodium</t>
  </si>
  <si>
    <t xml:space="preserve">NMN  |  Nicotinamide Mononucleotide (NMN) Granule</t>
  </si>
  <si>
    <t xml:space="preserve">L-Arginine 1000; L-Arginine 2000  |  L-Arginine</t>
  </si>
  <si>
    <t xml:space="preserve">L-Carnitine 1000/10; L-Carnitine 2000/10  |  L-Carnitine (Base)</t>
  </si>
  <si>
    <t xml:space="preserve">L-Carnitine Caffeine  |  L-Carnitine (Base), Caffeine (Base) (+3 more)</t>
  </si>
  <si>
    <t xml:space="preserve">B-Complex  |  Cyanocobalamin (Vitamin B12), Thiamine Hydrochloride (Vitamin B1) (+6 more)</t>
  </si>
  <si>
    <t xml:space="preserve">Sachet Vitamin B12  |  Cyanocobalamin (Vitamin B12)</t>
  </si>
  <si>
    <t xml:space="preserve">Ca+k+D3  |  Calcium Carbonate, Vitamin D3 (+1 more)</t>
  </si>
  <si>
    <t xml:space="preserve">Zinc+Vitamin C  |  actives TBD: Zinc+Vitamin C</t>
  </si>
  <si>
    <t xml:space="preserve">Vitamin C 1000 mg  |  Ascorbic Acid Coated 97%</t>
  </si>
  <si>
    <t xml:space="preserve">Magnesium Oxide  |  Magnesium Oxide Heavy</t>
  </si>
  <si>
    <t xml:space="preserve">Magni D  |  Magnesium Oxide Heavy, Thiamine Hydrochloride (Vitamin B1) (+2 more)</t>
  </si>
  <si>
    <t xml:space="preserve">Sweet Sleep  |  actives TBD: Sweet Sleep</t>
  </si>
  <si>
    <t xml:space="preserve">Ferrikid  |  actives TBD: Ferrikid</t>
  </si>
  <si>
    <t xml:space="preserve">Painlys  |  Ginger Dry Extract 5:1, Devil's Claw Dry Extract 6:1 (+1 more)</t>
  </si>
  <si>
    <t xml:space="preserve">Feroral Premium  |  Ferrous Bisglycinate, Folic Acid (Vitamin B9) (+2 more)</t>
  </si>
  <si>
    <t xml:space="preserve">Ginc Active  |  Ginkgo Biloba Leaf Dry Extract 50:1, Calcium Carbonate Heavy</t>
  </si>
  <si>
    <t xml:space="preserve">URomax; Uromax Sachet  |  Cranberry Dry Extract 25:1, Ascorbic Acid Coated 97%</t>
  </si>
  <si>
    <t xml:space="preserve">Healthy Liver  |  Milk Thistle Dry Extract 70:1, Artichoke Dry Extract 25:1 (+4 more)</t>
  </si>
  <si>
    <t xml:space="preserve">Kamasotra premium  |  Cyanocobalamin (Vitamin B12), Ginseng Panax (+3 more)</t>
  </si>
  <si>
    <t xml:space="preserve">Prostica  |  Saw Palmetto Dry Extract 4:1, Sodium Selenite (+1 more)</t>
  </si>
  <si>
    <t xml:space="preserve">Vitacal Forte  |  Calcium Carbonate Heavy, Vitamin D3 (+7 more)</t>
  </si>
  <si>
    <t xml:space="preserve">Burning Fat  |  Coleus Forskohlii Root Dry Extract 10:1, Chromium Picolinate (+5 more)</t>
  </si>
  <si>
    <t xml:space="preserve">Co-Enzyme Q10 (30mg); Co-Enzyme Q10 (100mg)  |  Ubidecarenone (Co-Q10)</t>
  </si>
  <si>
    <t xml:space="preserve">Digestive Aid (30); Digestive Aid (60)  |  Marshmallow Dry Extract 3:1, Liquorice Dry Extract 8:1 (+4 more)</t>
  </si>
  <si>
    <t xml:space="preserve">Celer-X Forte  |  Apium Graveolens Seed Dry Extract 6:1, Juniper Communis Fruit Dry Extract 2:1 (+1 more)</t>
  </si>
  <si>
    <t xml:space="preserve">Opti Woman 30 Cap; Opti Woman 60 Cap  |  Biotin (Vitamin B7), Folic Acid (Vitamin B9) (+22 more)</t>
  </si>
  <si>
    <t xml:space="preserve">Pregnalife  |  D-Alpha Tocopheryl Acetate 50% (Vitamin E), Magnesium Oxide Heavy (+13 more)</t>
  </si>
  <si>
    <t xml:space="preserve">Immune AID  |  Cyanocobalamin (Vitamin B12), Folic Acid (Vitamin B9) (+13 more)</t>
  </si>
  <si>
    <t xml:space="preserve">Immune AID Direct  |  Cyanocobalamin (Vitamin B12), Thiamine Hydrochloride (Vitamin B1) (+14 more)</t>
  </si>
  <si>
    <t xml:space="preserve">X-Ade (Blister 15 pcs); X-Ade (Bottle 30 pcs)  |  Zinc Gluconate, Magnesium Oxide Heavy (+8 more)</t>
  </si>
  <si>
    <t xml:space="preserve">Energe-X  |  actives TBD: Energe-X</t>
  </si>
  <si>
    <t xml:space="preserve">Dermo bella Permium 30 Cap  |  Premix Dermo Bella, L-Cystine (+1 more)</t>
  </si>
  <si>
    <t xml:space="preserve">Zylicut 180  |  actives TBD: Zylicut 180</t>
  </si>
  <si>
    <t xml:space="preserve">Zylicut-Duo 180/10  |  actives TBD: Zylicut-Duo 180/10</t>
  </si>
  <si>
    <t xml:space="preserve">Hair and Skin  |  Biotin (Vitamin B7), Folic Acid (Vitamin B9) (+7 more)</t>
  </si>
  <si>
    <t xml:space="preserve">RM</t>
  </si>
  <si>
    <t xml:space="preserve">Assay + related substances</t>
  </si>
  <si>
    <t xml:space="preserve">Other compendial tests (ID, LOD/KF, heavy metals...)</t>
  </si>
  <si>
    <t xml:space="preserve">Compendial tests</t>
  </si>
  <si>
    <t xml:space="preserve">Change instrument to HPLC/GC if applicable (e.g. residual solvents, ethanol by GC)</t>
  </si>
  <si>
    <t xml:space="preserve">CDS audit-trail log (validation of estimates)</t>
  </si>
  <si>
    <t xml:space="preserve">Copy real sequences from the HPLC software for 4–8 weeks. Start/End as date-time (e.g. 2026-10-12 08:30).</t>
  </si>
  <si>
    <t xml:space="preserve">Date</t>
  </si>
  <si>
    <t xml:space="preserve">Test (exactly as in Test_Times)</t>
  </si>
  <si>
    <t xml:space="preserve">Samples in sequence</t>
  </si>
  <si>
    <t xml:space="preserve">Sequence start</t>
  </si>
  <si>
    <t xml:space="preserve">Sequence end</t>
  </si>
  <si>
    <t xml:space="preserve">Actual h (auto)</t>
  </si>
  <si>
    <t xml:space="preserve">Estimated h (auto)</t>
  </si>
  <si>
    <t xml:space="preserve">Actual / Estimated (auto)</t>
  </si>
  <si>
    <t xml:space="preserve">Summary</t>
  </si>
  <si>
    <t xml:space="preserve">Sequences logged</t>
  </si>
  <si>
    <t xml:space="preserve">Average Actual/Estimated → copy to Settings!B8</t>
  </si>
  <si>
    <t xml:space="preserve">Log period start</t>
  </si>
  <si>
    <t xml:space="preserve">Log period end</t>
  </si>
  <si>
    <t xml:space="preserve">Total actual instrument h in period</t>
  </si>
  <si>
    <t xml:space="preserve">Active HPLC units</t>
  </si>
  <si>
    <t xml:space="preserve">Measured HPLC utilisation in period (24 h basis)</t>
  </si>
  <si>
    <t xml:space="preserve">Note: if only HPLC sequences are logged, row 15 gives the measured HPLC load – the strongest evidence for management.</t>
  </si>
  <si>
    <t xml:space="preserve">Service-level evidence – last 12 months</t>
  </si>
  <si>
    <t xml:space="preserve">From LIMS/logbooks/HR. These numbers show the CONSEQUENCE of the capacity gap.</t>
  </si>
  <si>
    <t xml:space="preserve">Month</t>
  </si>
  <si>
    <t xml:space="preserve">Samples received</t>
  </si>
  <si>
    <t xml:space="preserve">Samples released</t>
  </si>
  <si>
    <t xml:space="preserve">Backlog at month end</t>
  </si>
  <si>
    <t xml:space="preserve">Avg turnaround (days)</t>
  </si>
  <si>
    <t xml:space="preserve">Target turnaround (days)</t>
  </si>
  <si>
    <t xml:space="preserve">Batches released late</t>
  </si>
  <si>
    <t xml:space="preserve">Total overtime h (all staff)</t>
  </si>
  <si>
    <t xml:space="preserve">HPLC down days</t>
  </si>
  <si>
    <t xml:space="preserve">Lab investigations / errors</t>
  </si>
  <si>
    <t xml:space="preserve">Stability pulls tested late</t>
  </si>
  <si>
    <t xml:space="preserve">Total / avg</t>
  </si>
  <si>
    <t xml:space="preserve">Overtime as FTE equivalent</t>
  </si>
  <si>
    <t xml:space="preserve">Turnaround vs target (x)</t>
  </si>
  <si>
    <t xml:space="preserve">Workload per family / material (auto)</t>
  </si>
  <si>
    <t xml:space="preserve">Sort or filter freely. Feeds the Pareto (Top 15) on Capacity.</t>
  </si>
  <si>
    <t xml:space="preserve">Key</t>
  </si>
  <si>
    <t xml:space="preserve">HPLC instrument h/yr NOW</t>
  </si>
  <si>
    <t xml:space="preserve">All instruments h/yr NOW</t>
  </si>
  <si>
    <t xml:space="preserve">HPLC h/yr FUTURE</t>
  </si>
  <si>
    <t xml:space="preserve">% of total HPLC now</t>
  </si>
  <si>
    <t xml:space="preserve">Rank helper</t>
  </si>
  <si>
    <t xml:space="preserve">Capacity vs. demand – RESULT</t>
  </si>
  <si>
    <t xml:space="preserve">All automatic except column C (non-routine hours, yellow). Utilisation above target = documented shortage.</t>
  </si>
  <si>
    <t xml:space="preserve">Resource</t>
  </si>
  <si>
    <t xml:space="preserve">Routine demand h/yr NOW</t>
  </si>
  <si>
    <t xml:space="preserve">Non-routine h/yr (validation, transfer, investigations, R&amp;D)</t>
  </si>
  <si>
    <t xml:space="preserve">Total demand h/yr NOW</t>
  </si>
  <si>
    <t xml:space="preserve">Current units (instruments / FTE)</t>
  </si>
  <si>
    <t xml:space="preserve">Capacity h/yr per unit</t>
  </si>
  <si>
    <t xml:space="preserve">Available h/yr</t>
  </si>
  <si>
    <t xml:space="preserve">Utilisation NOW</t>
  </si>
  <si>
    <t xml:space="preserve">Units required NOW</t>
  </si>
  <si>
    <t xml:space="preserve">GAP NOW (units to add)</t>
  </si>
  <si>
    <t xml:space="preserve">Total demand h/yr FUTURE</t>
  </si>
  <si>
    <t xml:space="preserve">Units required FUTURE</t>
  </si>
  <si>
    <t xml:space="preserve">GAP FUTURE (units to add)</t>
  </si>
  <si>
    <t xml:space="preserve">Analysts (FTE)</t>
  </si>
  <si>
    <t xml:space="preserve">Reviewers (FTE)</t>
  </si>
  <si>
    <t xml:space="preserve">Analyst "units" = sum of % testing time (FTE-equivalent); capacity per unit = available testing h per FTE.</t>
  </si>
  <si>
    <t xml:space="preserve">Overtime (Personnel J, Evidence H) is NOT counted as capacity – it is evidence that demand already exceeds normal hours.</t>
  </si>
  <si>
    <t xml:space="preserve">Test_Times rows still "Missing" data:</t>
  </si>
  <si>
    <t xml:space="preserve">Test_Times rows complete ("OK"):</t>
  </si>
  <si>
    <t xml:space="preserve">TOP 15 HPLC consumers (Pareto) – from Load_by_Item</t>
  </si>
  <si>
    <t xml:space="preserve">Rank</t>
  </si>
  <si>
    <t xml:space="preserve">HPLC h/yr NOW</t>
  </si>
  <si>
    <t xml:space="preserve">% of HPLC total</t>
  </si>
  <si>
    <t xml:space="preserve">Cumulative %</t>
  </si>
  <si>
    <t xml:space="preserve">Report to management – outline and data sources</t>
  </si>
  <si>
    <t xml:space="preserve">Content / key message</t>
  </si>
  <si>
    <t xml:space="preserve">Data source in this workbook</t>
  </si>
  <si>
    <t xml:space="preserve">1. Executive summary</t>
  </si>
  <si>
    <t xml:space="preserve">One page: current HPLC utilisation X% vs target 80%; gap = N HPLCs and M analysts now, N2/M2 in 3 years; consequences (turnaround, overtime, late releases); the request and its payback.</t>
  </si>
  <si>
    <t xml:space="preserve">Capacity K, N; Evidence row 17</t>
  </si>
  <si>
    <t xml:space="preserve">2. Scope &amp; method</t>
  </si>
  <si>
    <t xml:space="preserve">106 products in 64 method families + 180 raw materials; structured interviews (3-point estimates, Delphi reconciliation) validated with CDS audit-trail data.</t>
  </si>
  <si>
    <t xml:space="preserve">Guide; Interview; CDS_Log</t>
  </si>
  <si>
    <t xml:space="preserve">3. Current resources</t>
  </si>
  <si>
    <t xml:space="preserve">Instrument register (count, age, downtime), personnel (FTE, qualification, single-person dependencies).</t>
  </si>
  <si>
    <t xml:space="preserve">Instruments; Personnel</t>
  </si>
  <si>
    <t xml:space="preserve">4. Workload</t>
  </si>
  <si>
    <t xml:space="preserve">Annual samples (release, stability, RM lots), test times by complexity; Pareto of top HPLC consumers.</t>
  </si>
  <si>
    <t xml:space="preserve">Products; RM_Lots; Load_by_Item; Capacity Top 15</t>
  </si>
  <si>
    <t xml:space="preserve">5. Capacity analysis</t>
  </si>
  <si>
    <t xml:space="preserve">Demand vs available hours per resource, utilisation, required units. State assumptions (hours/day, downtime, targets).</t>
  </si>
  <si>
    <t xml:space="preserve">Capacity table + charts; Settings</t>
  </si>
  <si>
    <t xml:space="preserve">6. Validation of estimates</t>
  </si>
  <si>
    <t xml:space="preserve">Actual vs estimated ratio from CDS; measured HPLC utilisation over the logged period.</t>
  </si>
  <si>
    <t xml:space="preserve">CDS_Log summary</t>
  </si>
  <si>
    <t xml:space="preserve">7. Consequences today</t>
  </si>
  <si>
    <t xml:space="preserve">Backlog trend, turnaround vs target, overtime FTE-equivalent, late batch releases, investigations linked to workload, GMP risk (data integrity under time pressure).</t>
  </si>
  <si>
    <t xml:space="preserve">8. Future scenario</t>
  </si>
  <si>
    <t xml:space="preserve">Pipeline products (Zylicut, Energe-X, Flusip-C...), growth %, new methods – future gap.</t>
  </si>
  <si>
    <t xml:space="preserve">Capacity L–N; Products I–J</t>
  </si>
  <si>
    <t xml:space="preserve">9. Options</t>
  </si>
  <si>
    <t xml:space="preserve">A) more HPLCs only; B) more analysts only (shifts to use 24 h); C) both; D) outsourcing cost. Show that HPLC and analyst gaps must be closed together (an extra shift needs people, an extra HPLC needs operators).</t>
  </si>
  <si>
    <t xml:space="preserve">10. Cost &amp; benefit</t>
  </si>
  <si>
    <t xml:space="preserve">Investment (instrument + columns + qualification, salaries) vs. cost of delay (late release value, overtime cost, outsourcing fees). Payback period.</t>
  </si>
  <si>
    <t xml:space="preserve">Finance input + Evidence</t>
  </si>
  <si>
    <t xml:space="preserve">11. Request &amp; plan</t>
  </si>
  <si>
    <t xml:space="preserve">Exact request (e.g. 2 HPLC + 2 analysts), timeline, KPIs to track after investment.</t>
  </si>
  <si>
    <t xml:space="preserve">—</t>
  </si>
  <si>
    <t xml:space="preserve">Annex</t>
  </si>
  <si>
    <t xml:space="preserve">Full Test_Times table, interview list (names/dates), assumptions.</t>
  </si>
  <si>
    <t xml:space="preserve">Test_Times; Settings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</si>
</sst>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"/>
    <numFmt numFmtId="167" formatCode="0%"/>
    <numFmt numFmtId="168" formatCode="0.00"/>
    <numFmt numFmtId="169" formatCode="#,##0"/>
    <numFmt numFmtId="170" formatCode="#,##0.0"/>
    <numFmt numFmtId="171" formatCode="yyyy\-mm\-dd"/>
    <numFmt numFmtId="172" formatCode="yyyy\-mm\-dd\ hh:mm"/>
    <numFmt numFmtId="173" formatCode="mmm\-yyyy"/>
    <numFmt numFmtId="174" formatCode="0.0%"/>
    <numFmt numFmtId="175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000"/>
      <rgbColor rgb="FFFF9900"/>
      <rgbColor rgb="FFFF6600"/>
      <rgbColor rgb="FF595959"/>
      <rgbColor rgb="FF878787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Utilisation now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Capacity!H4</c:f>
              <c:strCache>
                <c:ptCount val="1"/>
                <c:pt idx="0">
                  <c:v>Utilisation NOW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Capacity!$A$5:$A$12</c:f>
              <c:strCache>
                <c:ptCount val="8"/>
                <c:pt idx="0">
                  <c:v>HPLC</c:v>
                </c:pt>
                <c:pt idx="1">
                  <c:v>GC</c:v>
                </c:pt>
                <c:pt idx="2">
                  <c:v>UV-Vis</c:v>
                </c:pt>
                <c:pt idx="3">
                  <c:v>AAS / ICP</c:v>
                </c:pt>
                <c:pt idx="4">
                  <c:v>KF titrator</c:v>
                </c:pt>
                <c:pt idx="5">
                  <c:v>Dissolution bath</c:v>
                </c:pt>
                <c:pt idx="6">
                  <c:v>Analysts (FTE)</c:v>
                </c:pt>
                <c:pt idx="7">
                  <c:v>Reviewers (FTE)</c:v>
                </c:pt>
              </c:strCache>
            </c:strRef>
          </c:cat>
          <c:val>
            <c:numRef>
              <c:f>Capacity!$H$5:$H$12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Capacity!I4</c:f>
              <c:strCache>
                <c:ptCount val="1"/>
                <c:pt idx="0">
                  <c:v>Target utilisation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Capacity!$A$5:$A$12</c:f>
              <c:strCache>
                <c:ptCount val="8"/>
                <c:pt idx="0">
                  <c:v>HPLC</c:v>
                </c:pt>
                <c:pt idx="1">
                  <c:v>GC</c:v>
                </c:pt>
                <c:pt idx="2">
                  <c:v>UV-Vis</c:v>
                </c:pt>
                <c:pt idx="3">
                  <c:v>AAS / ICP</c:v>
                </c:pt>
                <c:pt idx="4">
                  <c:v>KF titrator</c:v>
                </c:pt>
                <c:pt idx="5">
                  <c:v>Dissolution bath</c:v>
                </c:pt>
                <c:pt idx="6">
                  <c:v>Analysts (FTE)</c:v>
                </c:pt>
                <c:pt idx="7">
                  <c:v>Reviewers (FTE)</c:v>
                </c:pt>
              </c:strCache>
            </c:strRef>
          </c:cat>
          <c:val>
            <c:numRef>
              <c:f>Capacity!$I$5:$I$12</c:f>
              <c:numCache>
                <c:formatCode>0%</c:formatCode>
                <c:ptCount val="8"/>
                <c:pt idx="0">
                  <c:v>0.8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0.85</c:v>
                </c:pt>
              </c:numCache>
            </c:numRef>
          </c:val>
        </c:ser>
        <c:gapWidth val="150"/>
        <c:overlap val="0"/>
        <c:axId val="46192665"/>
        <c:axId val="56593590"/>
      </c:barChart>
      <c:catAx>
        <c:axId val="46192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593590"/>
        <c:crosses val="autoZero"/>
        <c:auto val="1"/>
        <c:lblAlgn val="ctr"/>
        <c:lblOffset val="100"/>
        <c:noMultiLvlLbl val="0"/>
      </c:catAx>
      <c:valAx>
        <c:axId val="5659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926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Demand h/yr: now vs future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Capacity!D4</c:f>
              <c:strCache>
                <c:ptCount val="1"/>
                <c:pt idx="0">
                  <c:v>Total demand h/yr NOW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Capacity!$A$5:$A$12</c:f>
              <c:strCache>
                <c:ptCount val="8"/>
                <c:pt idx="0">
                  <c:v>HPLC</c:v>
                </c:pt>
                <c:pt idx="1">
                  <c:v>GC</c:v>
                </c:pt>
                <c:pt idx="2">
                  <c:v>UV-Vis</c:v>
                </c:pt>
                <c:pt idx="3">
                  <c:v>AAS / ICP</c:v>
                </c:pt>
                <c:pt idx="4">
                  <c:v>KF titrator</c:v>
                </c:pt>
                <c:pt idx="5">
                  <c:v>Dissolution bath</c:v>
                </c:pt>
                <c:pt idx="6">
                  <c:v>Analysts (FTE)</c:v>
                </c:pt>
                <c:pt idx="7">
                  <c:v>Reviewers (FTE)</c:v>
                </c:pt>
              </c:strCache>
            </c:strRef>
          </c:cat>
          <c:val>
            <c:numRef>
              <c:f>Capacity!$D$5:$D$12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Capacity!L4</c:f>
              <c:strCache>
                <c:ptCount val="1"/>
                <c:pt idx="0">
                  <c:v>Total demand h/yr FUTURE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Capacity!$A$5:$A$12</c:f>
              <c:strCache>
                <c:ptCount val="8"/>
                <c:pt idx="0">
                  <c:v>HPLC</c:v>
                </c:pt>
                <c:pt idx="1">
                  <c:v>GC</c:v>
                </c:pt>
                <c:pt idx="2">
                  <c:v>UV-Vis</c:v>
                </c:pt>
                <c:pt idx="3">
                  <c:v>AAS / ICP</c:v>
                </c:pt>
                <c:pt idx="4">
                  <c:v>KF titrator</c:v>
                </c:pt>
                <c:pt idx="5">
                  <c:v>Dissolution bath</c:v>
                </c:pt>
                <c:pt idx="6">
                  <c:v>Analysts (FTE)</c:v>
                </c:pt>
                <c:pt idx="7">
                  <c:v>Reviewers (FTE)</c:v>
                </c:pt>
              </c:strCache>
            </c:strRef>
          </c:cat>
          <c:val>
            <c:numRef>
              <c:f>Capacity!$L$5:$L$12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49462899"/>
        <c:axId val="33945418"/>
      </c:barChart>
      <c:catAx>
        <c:axId val="494628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45418"/>
        <c:crosses val="autoZero"/>
        <c:auto val="1"/>
        <c:lblAlgn val="ctr"/>
        <c:lblOffset val="100"/>
        <c:noMultiLvlLbl val="0"/>
      </c:catAx>
      <c:valAx>
        <c:axId val="339454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62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HPLC consumers (h/yr)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Capacity!D20</c:f>
              <c:strCache>
                <c:ptCount val="1"/>
                <c:pt idx="0">
                  <c:v>HPLC h/yr NOW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Capacity!$B$21:$B$35</c:f>
              <c:strCache>
                <c:ptCount val="15"/>
                <c:pt idx="0">
                  <c:v>Sodium Citrate Dihydrate</c:v>
                </c:pt>
                <c:pt idx="1">
                  <c:v>Sodium Citrate</c:v>
                </c:pt>
                <c:pt idx="2">
                  <c:v>Sodium Bicarbonate</c:v>
                </c:pt>
                <c:pt idx="3">
                  <c:v>Hydrochloric Acid Solution 37%</c:v>
                </c:pt>
                <c:pt idx="4">
                  <c:v>Citric Acid Anhydrous</c:v>
                </c:pt>
                <c:pt idx="5">
                  <c:v>Citric Acid</c:v>
                </c:pt>
                <c:pt idx="6">
                  <c:v>Sucrose</c:v>
                </c:pt>
                <c:pt idx="7">
                  <c:v>Sorbitol</c:v>
                </c:pt>
                <c:pt idx="8">
                  <c:v>Sucralose</c:v>
                </c:pt>
                <c:pt idx="9">
                  <c:v>Sorbitol Solution 70%</c:v>
                </c:pt>
                <c:pt idx="10">
                  <c:v>Neotame</c:v>
                </c:pt>
                <c:pt idx="11">
                  <c:v>Sodium Carboxymethyl Cellulose (Medium Viscosity)</c:v>
                </c:pt>
                <c:pt idx="12">
                  <c:v>Microcrystalline Cellulose RC591</c:v>
                </c:pt>
                <c:pt idx="13">
                  <c:v>Sodium Lauryl Sulfate</c:v>
                </c:pt>
                <c:pt idx="14">
                  <c:v>Polysorbate 80</c:v>
                </c:pt>
              </c:strCache>
            </c:strRef>
          </c:cat>
          <c:val>
            <c:numRef>
              <c:f>Capacity!$D$21:$D$35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41098435"/>
        <c:axId val="48671997"/>
      </c:barChart>
      <c:catAx>
        <c:axId val="410984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71997"/>
        <c:crosses val="autoZero"/>
        <c:auto val="1"/>
        <c:lblAlgn val="ctr"/>
        <c:lblOffset val="100"/>
        <c:noMultiLvlLbl val="0"/>
      </c:catAx>
      <c:valAx>
        <c:axId val="48671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984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2</xdr:row>
      <xdr:rowOff>160920</xdr:rowOff>
    </xdr:from>
    <xdr:to>
      <xdr:col>24</xdr:col>
      <xdr:colOff>255960</xdr:colOff>
      <xdr:row>15</xdr:row>
      <xdr:rowOff>182880</xdr:rowOff>
    </xdr:to>
    <xdr:graphicFrame>
      <xdr:nvGraphicFramePr>
        <xdr:cNvPr id="0" name="Chart 1"/>
        <xdr:cNvGraphicFramePr/>
      </xdr:nvGraphicFramePr>
      <xdr:xfrm>
        <a:off x="132987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20</xdr:row>
      <xdr:rowOff>160560</xdr:rowOff>
    </xdr:from>
    <xdr:to>
      <xdr:col>24</xdr:col>
      <xdr:colOff>255960</xdr:colOff>
      <xdr:row>35</xdr:row>
      <xdr:rowOff>182880</xdr:rowOff>
    </xdr:to>
    <xdr:graphicFrame>
      <xdr:nvGraphicFramePr>
        <xdr:cNvPr id="1" name="Chart 2"/>
        <xdr:cNvGraphicFramePr/>
      </xdr:nvGraphicFramePr>
      <xdr:xfrm>
        <a:off x="13298760" y="4572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38</xdr:row>
      <xdr:rowOff>160560</xdr:rowOff>
    </xdr:from>
    <xdr:to>
      <xdr:col>24</xdr:col>
      <xdr:colOff>255960</xdr:colOff>
      <xdr:row>55</xdr:row>
      <xdr:rowOff>161640</xdr:rowOff>
    </xdr:to>
    <xdr:graphicFrame>
      <xdr:nvGraphicFramePr>
        <xdr:cNvPr id="2" name="Chart 3"/>
        <xdr:cNvGraphicFramePr/>
      </xdr:nvGraphicFramePr>
      <xdr:xfrm>
        <a:off x="13298760" y="8001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23.8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23.85" hidden="false" customHeight="false" outlineLevel="0" collapsed="false">
      <c r="A11" s="5" t="s">
        <v>15</v>
      </c>
      <c r="B11" s="6" t="s">
        <v>16</v>
      </c>
    </row>
    <row r="12" customFormat="false" ht="23.85" hidden="false" customHeight="false" outlineLevel="0" collapsed="false">
      <c r="A12" s="5" t="s">
        <v>17</v>
      </c>
      <c r="B12" s="6" t="s">
        <v>18</v>
      </c>
    </row>
    <row r="13" customFormat="false" ht="15" hidden="false" customHeight="false" outlineLevel="0" collapsed="false">
      <c r="A13" s="5" t="s">
        <v>19</v>
      </c>
      <c r="B13" s="6" t="s">
        <v>20</v>
      </c>
    </row>
    <row r="14" customFormat="false" ht="15" hidden="false" customHeight="false" outlineLevel="0" collapsed="false">
      <c r="A14" s="5" t="s">
        <v>21</v>
      </c>
      <c r="B14" s="6" t="s">
        <v>22</v>
      </c>
    </row>
    <row r="15" customFormat="false" ht="15" hidden="false" customHeight="false" outlineLevel="0" collapsed="false">
      <c r="A15" s="5" t="s">
        <v>23</v>
      </c>
      <c r="B15" s="6" t="s">
        <v>24</v>
      </c>
    </row>
    <row r="16" customFormat="false" ht="15" hidden="false" customHeight="false" outlineLevel="0" collapsed="false">
      <c r="A16" s="5" t="s">
        <v>25</v>
      </c>
      <c r="B16" s="6" t="s">
        <v>26</v>
      </c>
    </row>
    <row r="17" customFormat="false" ht="15" hidden="false" customHeight="false" outlineLevel="0" collapsed="false">
      <c r="A17" s="5"/>
      <c r="B17" s="6"/>
    </row>
    <row r="18" customFormat="false" ht="15" hidden="false" customHeight="false" outlineLevel="0" collapsed="false">
      <c r="A18" s="3" t="s">
        <v>27</v>
      </c>
      <c r="B18" s="4"/>
    </row>
    <row r="19" customFormat="false" ht="23.85" hidden="false" customHeight="false" outlineLevel="0" collapsed="false">
      <c r="A19" s="5" t="s">
        <v>28</v>
      </c>
      <c r="B19" s="6" t="s">
        <v>29</v>
      </c>
    </row>
    <row r="20" customFormat="false" ht="23.85" hidden="false" customHeight="false" outlineLevel="0" collapsed="false">
      <c r="A20" s="5" t="s">
        <v>30</v>
      </c>
      <c r="B20" s="6" t="s">
        <v>31</v>
      </c>
    </row>
    <row r="21" customFormat="false" ht="23.85" hidden="false" customHeight="false" outlineLevel="0" collapsed="false">
      <c r="A21" s="5" t="s">
        <v>32</v>
      </c>
      <c r="B21" s="6" t="s">
        <v>33</v>
      </c>
    </row>
    <row r="22" customFormat="false" ht="23.85" hidden="false" customHeight="false" outlineLevel="0" collapsed="false">
      <c r="A22" s="5" t="s">
        <v>34</v>
      </c>
      <c r="B22" s="6" t="s">
        <v>35</v>
      </c>
    </row>
    <row r="23" customFormat="false" ht="23.85" hidden="false" customHeight="false" outlineLevel="0" collapsed="false">
      <c r="A23" s="5" t="s">
        <v>36</v>
      </c>
      <c r="B23" s="6" t="s">
        <v>37</v>
      </c>
    </row>
    <row r="24" customFormat="false" ht="23.85" hidden="false" customHeight="false" outlineLevel="0" collapsed="false">
      <c r="A24" s="5" t="s">
        <v>38</v>
      </c>
      <c r="B24" s="6" t="s">
        <v>39</v>
      </c>
    </row>
    <row r="25" customFormat="false" ht="15" hidden="false" customHeight="false" outlineLevel="0" collapsed="false">
      <c r="A25" s="5"/>
      <c r="B25" s="6"/>
    </row>
    <row r="26" customFormat="false" ht="15" hidden="false" customHeight="false" outlineLevel="0" collapsed="false">
      <c r="A26" s="3" t="s">
        <v>40</v>
      </c>
      <c r="B26" s="4"/>
    </row>
    <row r="27" customFormat="false" ht="23.85" hidden="false" customHeight="false" outlineLevel="0" collapsed="false">
      <c r="A27" s="5" t="s">
        <v>41</v>
      </c>
      <c r="B27" s="6" t="s">
        <v>42</v>
      </c>
    </row>
    <row r="28" customFormat="false" ht="15" hidden="false" customHeight="false" outlineLevel="0" collapsed="false">
      <c r="A28" s="5" t="s">
        <v>43</v>
      </c>
      <c r="B28" s="6" t="s">
        <v>44</v>
      </c>
    </row>
    <row r="29" customFormat="false" ht="23.85" hidden="false" customHeight="false" outlineLevel="0" collapsed="false">
      <c r="A29" s="5" t="s">
        <v>45</v>
      </c>
      <c r="B29" s="6" t="s">
        <v>46</v>
      </c>
    </row>
    <row r="30" customFormat="false" ht="23.85" hidden="false" customHeight="false" outlineLevel="0" collapsed="false">
      <c r="A30" s="5" t="s">
        <v>47</v>
      </c>
      <c r="B30" s="6" t="s">
        <v>48</v>
      </c>
    </row>
    <row r="31" customFormat="false" ht="15" hidden="false" customHeight="false" outlineLevel="0" collapsed="false">
      <c r="A31" s="5" t="s">
        <v>49</v>
      </c>
      <c r="B31" s="6" t="s">
        <v>50</v>
      </c>
    </row>
    <row r="32" customFormat="false" ht="15" hidden="false" customHeight="false" outlineLevel="0" collapsed="false">
      <c r="A32" s="5"/>
      <c r="B32" s="6"/>
    </row>
    <row r="33" customFormat="false" ht="15" hidden="false" customHeight="false" outlineLevel="0" collapsed="false">
      <c r="A33" s="3" t="s">
        <v>51</v>
      </c>
      <c r="B33" s="4"/>
    </row>
    <row r="34" customFormat="false" ht="23.85" hidden="false" customHeight="false" outlineLevel="0" collapsed="false">
      <c r="A34" s="5" t="s">
        <v>52</v>
      </c>
      <c r="B34" s="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80"/>
    <col collapsed="false" customWidth="true" hidden="false" outlineLevel="0" max="4" min="4" style="0" width="45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45" hidden="false" customHeight="true" outlineLevel="0" collapsed="false">
      <c r="A4" s="7" t="s">
        <v>56</v>
      </c>
      <c r="B4" s="7" t="s">
        <v>57</v>
      </c>
      <c r="C4" s="7" t="s">
        <v>58</v>
      </c>
      <c r="D4" s="7" t="s">
        <v>59</v>
      </c>
      <c r="E4" s="7" t="s">
        <v>60</v>
      </c>
    </row>
    <row r="5" customFormat="false" ht="23.85" hidden="false" customHeight="false" outlineLevel="0" collapsed="false">
      <c r="A5" s="8" t="n">
        <v>1</v>
      </c>
      <c r="B5" s="8" t="s">
        <v>61</v>
      </c>
      <c r="C5" s="8" t="s">
        <v>62</v>
      </c>
      <c r="D5" s="8" t="s">
        <v>63</v>
      </c>
      <c r="E5" s="8" t="s">
        <v>64</v>
      </c>
    </row>
    <row r="6" customFormat="false" ht="23.85" hidden="false" customHeight="false" outlineLevel="0" collapsed="false">
      <c r="A6" s="8" t="n">
        <v>2</v>
      </c>
      <c r="B6" s="8" t="s">
        <v>61</v>
      </c>
      <c r="C6" s="8" t="s">
        <v>65</v>
      </c>
      <c r="D6" s="8" t="s">
        <v>66</v>
      </c>
      <c r="E6" s="8" t="s">
        <v>67</v>
      </c>
    </row>
    <row r="7" customFormat="false" ht="15" hidden="false" customHeight="false" outlineLevel="0" collapsed="false">
      <c r="A7" s="8" t="n">
        <v>3</v>
      </c>
      <c r="B7" s="8" t="s">
        <v>61</v>
      </c>
      <c r="C7" s="8" t="s">
        <v>68</v>
      </c>
      <c r="D7" s="8" t="s">
        <v>69</v>
      </c>
      <c r="E7" s="8" t="s">
        <v>70</v>
      </c>
    </row>
    <row r="8" customFormat="false" ht="23.85" hidden="false" customHeight="false" outlineLevel="0" collapsed="false">
      <c r="A8" s="8" t="n">
        <v>4</v>
      </c>
      <c r="B8" s="8" t="s">
        <v>71</v>
      </c>
      <c r="C8" s="8" t="s">
        <v>72</v>
      </c>
      <c r="D8" s="8" t="s">
        <v>73</v>
      </c>
      <c r="E8" s="8" t="s">
        <v>74</v>
      </c>
    </row>
    <row r="9" customFormat="false" ht="23.85" hidden="false" customHeight="false" outlineLevel="0" collapsed="false">
      <c r="A9" s="8" t="n">
        <v>5</v>
      </c>
      <c r="B9" s="8" t="s">
        <v>71</v>
      </c>
      <c r="C9" s="8" t="s">
        <v>75</v>
      </c>
      <c r="D9" s="8" t="s">
        <v>76</v>
      </c>
      <c r="E9" s="8" t="s">
        <v>77</v>
      </c>
    </row>
    <row r="10" customFormat="false" ht="23.85" hidden="false" customHeight="false" outlineLevel="0" collapsed="false">
      <c r="A10" s="8" t="n">
        <v>6</v>
      </c>
      <c r="B10" s="8" t="s">
        <v>71</v>
      </c>
      <c r="C10" s="8" t="s">
        <v>78</v>
      </c>
      <c r="D10" s="8" t="s">
        <v>79</v>
      </c>
      <c r="E10" s="8" t="s">
        <v>80</v>
      </c>
    </row>
    <row r="11" customFormat="false" ht="23.85" hidden="false" customHeight="false" outlineLevel="0" collapsed="false">
      <c r="A11" s="8" t="n">
        <v>7</v>
      </c>
      <c r="B11" s="8" t="s">
        <v>71</v>
      </c>
      <c r="C11" s="8" t="s">
        <v>81</v>
      </c>
      <c r="D11" s="8" t="s">
        <v>82</v>
      </c>
      <c r="E11" s="8" t="s">
        <v>83</v>
      </c>
    </row>
    <row r="12" customFormat="false" ht="23.85" hidden="false" customHeight="false" outlineLevel="0" collapsed="false">
      <c r="A12" s="8" t="n">
        <v>8</v>
      </c>
      <c r="B12" s="8" t="s">
        <v>71</v>
      </c>
      <c r="C12" s="8" t="s">
        <v>84</v>
      </c>
      <c r="D12" s="8" t="s">
        <v>85</v>
      </c>
      <c r="E12" s="8" t="s">
        <v>86</v>
      </c>
    </row>
    <row r="13" customFormat="false" ht="23.85" hidden="false" customHeight="false" outlineLevel="0" collapsed="false">
      <c r="A13" s="8" t="n">
        <v>9</v>
      </c>
      <c r="B13" s="8" t="s">
        <v>71</v>
      </c>
      <c r="C13" s="8" t="s">
        <v>87</v>
      </c>
      <c r="D13" s="8" t="s">
        <v>88</v>
      </c>
      <c r="E13" s="8" t="s">
        <v>89</v>
      </c>
    </row>
    <row r="14" customFormat="false" ht="23.85" hidden="false" customHeight="false" outlineLevel="0" collapsed="false">
      <c r="A14" s="8" t="n">
        <v>10</v>
      </c>
      <c r="B14" s="8" t="s">
        <v>71</v>
      </c>
      <c r="C14" s="8" t="s">
        <v>90</v>
      </c>
      <c r="D14" s="8" t="s">
        <v>91</v>
      </c>
      <c r="E14" s="8" t="s">
        <v>92</v>
      </c>
    </row>
    <row r="15" customFormat="false" ht="15" hidden="false" customHeight="false" outlineLevel="0" collapsed="false">
      <c r="A15" s="8" t="n">
        <v>11</v>
      </c>
      <c r="B15" s="8" t="s">
        <v>71</v>
      </c>
      <c r="C15" s="8" t="s">
        <v>93</v>
      </c>
      <c r="D15" s="8" t="s">
        <v>94</v>
      </c>
      <c r="E15" s="8" t="s">
        <v>95</v>
      </c>
    </row>
    <row r="16" customFormat="false" ht="15" hidden="false" customHeight="false" outlineLevel="0" collapsed="false">
      <c r="A16" s="8" t="n">
        <v>12</v>
      </c>
      <c r="B16" s="8" t="s">
        <v>71</v>
      </c>
      <c r="C16" s="8" t="s">
        <v>96</v>
      </c>
      <c r="D16" s="8" t="s">
        <v>97</v>
      </c>
      <c r="E16" s="8" t="s">
        <v>98</v>
      </c>
    </row>
    <row r="17" customFormat="false" ht="23.85" hidden="false" customHeight="false" outlineLevel="0" collapsed="false">
      <c r="A17" s="8" t="n">
        <v>13</v>
      </c>
      <c r="B17" s="8" t="s">
        <v>71</v>
      </c>
      <c r="C17" s="8" t="s">
        <v>99</v>
      </c>
      <c r="D17" s="8" t="s">
        <v>100</v>
      </c>
      <c r="E17" s="8" t="s">
        <v>101</v>
      </c>
    </row>
    <row r="18" customFormat="false" ht="23.85" hidden="false" customHeight="false" outlineLevel="0" collapsed="false">
      <c r="A18" s="8" t="n">
        <v>14</v>
      </c>
      <c r="B18" s="8" t="s">
        <v>102</v>
      </c>
      <c r="C18" s="8" t="s">
        <v>103</v>
      </c>
      <c r="D18" s="8" t="s">
        <v>104</v>
      </c>
      <c r="E18" s="8" t="s">
        <v>105</v>
      </c>
    </row>
    <row r="19" customFormat="false" ht="23.85" hidden="false" customHeight="false" outlineLevel="0" collapsed="false">
      <c r="A19" s="8" t="n">
        <v>15</v>
      </c>
      <c r="B19" s="8" t="s">
        <v>102</v>
      </c>
      <c r="C19" s="8" t="s">
        <v>106</v>
      </c>
      <c r="D19" s="8" t="s">
        <v>107</v>
      </c>
      <c r="E19" s="8" t="s">
        <v>108</v>
      </c>
    </row>
    <row r="20" customFormat="false" ht="15" hidden="false" customHeight="false" outlineLevel="0" collapsed="false">
      <c r="A20" s="8" t="n">
        <v>16</v>
      </c>
      <c r="B20" s="8" t="s">
        <v>102</v>
      </c>
      <c r="C20" s="8" t="s">
        <v>109</v>
      </c>
      <c r="D20" s="8" t="s">
        <v>110</v>
      </c>
      <c r="E20" s="8" t="s">
        <v>111</v>
      </c>
    </row>
    <row r="21" customFormat="false" ht="23.85" hidden="false" customHeight="false" outlineLevel="0" collapsed="false">
      <c r="A21" s="8" t="n">
        <v>17</v>
      </c>
      <c r="B21" s="8" t="s">
        <v>112</v>
      </c>
      <c r="C21" s="8" t="s">
        <v>113</v>
      </c>
      <c r="D21" s="8" t="s">
        <v>114</v>
      </c>
      <c r="E21" s="8" t="s">
        <v>19</v>
      </c>
    </row>
    <row r="22" customFormat="false" ht="23.85" hidden="false" customHeight="false" outlineLevel="0" collapsed="false">
      <c r="A22" s="8" t="n">
        <v>18</v>
      </c>
      <c r="B22" s="8" t="s">
        <v>112</v>
      </c>
      <c r="C22" s="8" t="s">
        <v>115</v>
      </c>
      <c r="D22" s="8" t="s">
        <v>116</v>
      </c>
      <c r="E22" s="8" t="s">
        <v>117</v>
      </c>
    </row>
    <row r="23" customFormat="false" ht="15" hidden="false" customHeight="false" outlineLevel="0" collapsed="false">
      <c r="A23" s="8" t="n">
        <v>19</v>
      </c>
      <c r="B23" s="8" t="s">
        <v>112</v>
      </c>
      <c r="C23" s="8" t="s">
        <v>118</v>
      </c>
      <c r="D23" s="8" t="s">
        <v>119</v>
      </c>
      <c r="E23" s="8" t="s">
        <v>120</v>
      </c>
    </row>
    <row r="24" customFormat="false" ht="23.85" hidden="false" customHeight="false" outlineLevel="0" collapsed="false">
      <c r="A24" s="8" t="n">
        <v>20</v>
      </c>
      <c r="B24" s="8" t="s">
        <v>121</v>
      </c>
      <c r="C24" s="8" t="s">
        <v>122</v>
      </c>
      <c r="D24" s="8" t="s">
        <v>123</v>
      </c>
      <c r="E24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9" t="s">
        <v>126</v>
      </c>
    </row>
    <row r="5" customFormat="false" ht="15" hidden="false" customHeight="false" outlineLevel="0" collapsed="false">
      <c r="A5" s="10" t="s">
        <v>127</v>
      </c>
      <c r="B5" s="11" t="n">
        <v>250</v>
      </c>
      <c r="C5" s="2" t="s">
        <v>128</v>
      </c>
    </row>
    <row r="6" customFormat="false" ht="15" hidden="false" customHeight="false" outlineLevel="0" collapsed="false">
      <c r="A6" s="10" t="s">
        <v>129</v>
      </c>
      <c r="B6" s="12" t="n">
        <v>4</v>
      </c>
      <c r="C6" s="2" t="s">
        <v>130</v>
      </c>
    </row>
    <row r="7" customFormat="false" ht="15" hidden="false" customHeight="false" outlineLevel="0" collapsed="false">
      <c r="A7" s="10" t="s">
        <v>131</v>
      </c>
      <c r="B7" s="13" t="n">
        <v>0.15</v>
      </c>
      <c r="C7" s="2" t="s">
        <v>132</v>
      </c>
    </row>
    <row r="8" customFormat="false" ht="15" hidden="false" customHeight="false" outlineLevel="0" collapsed="false">
      <c r="A8" s="10" t="s">
        <v>133</v>
      </c>
      <c r="B8" s="14" t="n">
        <v>1</v>
      </c>
      <c r="C8" s="2" t="s">
        <v>134</v>
      </c>
    </row>
    <row r="9" customFormat="false" ht="15" hidden="false" customHeight="false" outlineLevel="0" collapsed="false">
      <c r="A9" s="10" t="s">
        <v>135</v>
      </c>
      <c r="B9" s="14" t="n">
        <v>1</v>
      </c>
      <c r="C9" s="2" t="s">
        <v>136</v>
      </c>
    </row>
    <row r="10" customFormat="false" ht="15" hidden="false" customHeight="false" outlineLevel="0" collapsed="false">
      <c r="A10" s="10" t="s">
        <v>137</v>
      </c>
      <c r="B10" s="13" t="n">
        <v>0.85</v>
      </c>
      <c r="C10" s="2" t="s">
        <v>138</v>
      </c>
    </row>
    <row r="11" customFormat="false" ht="15" hidden="false" customHeight="false" outlineLevel="0" collapsed="false">
      <c r="A11" s="10" t="s">
        <v>139</v>
      </c>
      <c r="B11" s="13" t="n">
        <v>0.85</v>
      </c>
      <c r="C11" s="2"/>
    </row>
    <row r="13" customFormat="false" ht="15" hidden="false" customHeight="false" outlineLevel="0" collapsed="false">
      <c r="A13" s="9" t="s">
        <v>140</v>
      </c>
    </row>
    <row r="14" customFormat="false" ht="45" hidden="false" customHeight="true" outlineLevel="0" collapsed="false">
      <c r="A14" s="7" t="s">
        <v>141</v>
      </c>
      <c r="B14" s="7" t="s">
        <v>142</v>
      </c>
      <c r="C14" s="7" t="s">
        <v>143</v>
      </c>
      <c r="D14" s="7" t="s">
        <v>144</v>
      </c>
      <c r="E14" s="7" t="s">
        <v>145</v>
      </c>
      <c r="F14" s="7" t="s">
        <v>146</v>
      </c>
    </row>
    <row r="15" customFormat="false" ht="15" hidden="false" customHeight="false" outlineLevel="0" collapsed="false">
      <c r="A15" s="10" t="s">
        <v>147</v>
      </c>
      <c r="B15" s="12" t="n">
        <v>20</v>
      </c>
      <c r="C15" s="13" t="n">
        <v>0.12</v>
      </c>
      <c r="D15" s="13" t="n">
        <v>0.8</v>
      </c>
      <c r="E15" s="15" t="n">
        <f aca="false">Settings!$B$5*B15*(1-C15)</f>
        <v>4400</v>
      </c>
      <c r="F15" s="2" t="s">
        <v>148</v>
      </c>
    </row>
    <row r="16" customFormat="false" ht="15" hidden="false" customHeight="false" outlineLevel="0" collapsed="false">
      <c r="A16" s="10" t="s">
        <v>149</v>
      </c>
      <c r="B16" s="12" t="n">
        <v>16</v>
      </c>
      <c r="C16" s="13" t="n">
        <v>0.1</v>
      </c>
      <c r="D16" s="13" t="n">
        <v>0.75</v>
      </c>
      <c r="E16" s="15" t="n">
        <f aca="false">Settings!$B$5*B16*(1-C16)</f>
        <v>3600</v>
      </c>
      <c r="F16" s="2"/>
    </row>
    <row r="17" customFormat="false" ht="15" hidden="false" customHeight="false" outlineLevel="0" collapsed="false">
      <c r="A17" s="10" t="s">
        <v>150</v>
      </c>
      <c r="B17" s="12" t="n">
        <v>8</v>
      </c>
      <c r="C17" s="13" t="n">
        <v>0.05</v>
      </c>
      <c r="D17" s="13" t="n">
        <v>0.75</v>
      </c>
      <c r="E17" s="15" t="n">
        <f aca="false">Settings!$B$5*B17*(1-C17)</f>
        <v>1900</v>
      </c>
      <c r="F17" s="2"/>
    </row>
    <row r="18" customFormat="false" ht="15" hidden="false" customHeight="false" outlineLevel="0" collapsed="false">
      <c r="A18" s="10" t="s">
        <v>151</v>
      </c>
      <c r="B18" s="12" t="n">
        <v>8</v>
      </c>
      <c r="C18" s="13" t="n">
        <v>0.1</v>
      </c>
      <c r="D18" s="13" t="n">
        <v>0.75</v>
      </c>
      <c r="E18" s="15" t="n">
        <f aca="false">Settings!$B$5*B18*(1-C18)</f>
        <v>1800</v>
      </c>
      <c r="F18" s="2"/>
    </row>
    <row r="19" customFormat="false" ht="15" hidden="false" customHeight="false" outlineLevel="0" collapsed="false">
      <c r="A19" s="10" t="s">
        <v>152</v>
      </c>
      <c r="B19" s="12" t="n">
        <v>8</v>
      </c>
      <c r="C19" s="13" t="n">
        <v>0.05</v>
      </c>
      <c r="D19" s="13" t="n">
        <v>0.75</v>
      </c>
      <c r="E19" s="15" t="n">
        <f aca="false">Settings!$B$5*B19*(1-C19)</f>
        <v>1900</v>
      </c>
      <c r="F19" s="2"/>
    </row>
    <row r="20" customFormat="false" ht="15" hidden="false" customHeight="false" outlineLevel="0" collapsed="false">
      <c r="A20" s="10" t="s">
        <v>153</v>
      </c>
      <c r="B20" s="12" t="n">
        <v>8</v>
      </c>
      <c r="C20" s="13" t="n">
        <v>0.08</v>
      </c>
      <c r="D20" s="13" t="n">
        <v>0.8</v>
      </c>
      <c r="E20" s="15" t="n">
        <f aca="false">Settings!$B$5*B20*(1-C20)</f>
        <v>1840</v>
      </c>
      <c r="F20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45" hidden="false" customHeight="true" outlineLevel="0" collapsed="false">
      <c r="A4" s="7" t="s">
        <v>157</v>
      </c>
      <c r="B4" s="7" t="s">
        <v>158</v>
      </c>
      <c r="C4" s="7" t="s">
        <v>159</v>
      </c>
      <c r="D4" s="7" t="s">
        <v>160</v>
      </c>
      <c r="E4" s="7" t="s">
        <v>161</v>
      </c>
      <c r="F4" s="7" t="s">
        <v>162</v>
      </c>
      <c r="G4" s="7" t="s">
        <v>163</v>
      </c>
      <c r="H4" s="7" t="s">
        <v>164</v>
      </c>
      <c r="I4" s="7" t="s">
        <v>165</v>
      </c>
      <c r="J4" s="7" t="s">
        <v>166</v>
      </c>
    </row>
    <row r="5" customFormat="false" ht="15" hidden="false" customHeight="false" outlineLevel="0" collapsed="false">
      <c r="A5" s="16"/>
      <c r="B5" s="16"/>
      <c r="C5" s="16"/>
      <c r="D5" s="11"/>
      <c r="E5" s="17" t="str">
        <f aca="false">IF(D5="","",2026-D5)</f>
        <v/>
      </c>
      <c r="F5" s="16"/>
      <c r="G5" s="13"/>
      <c r="H5" s="18" t="n">
        <f aca="false">IF(F5="Active",1-N(G5),0)</f>
        <v>0</v>
      </c>
      <c r="I5" s="16"/>
      <c r="J5" s="16"/>
    </row>
    <row r="6" customFormat="false" ht="15" hidden="false" customHeight="false" outlineLevel="0" collapsed="false">
      <c r="A6" s="16"/>
      <c r="B6" s="16"/>
      <c r="C6" s="16"/>
      <c r="D6" s="11"/>
      <c r="E6" s="17" t="str">
        <f aca="false">IF(D6="","",2026-D6)</f>
        <v/>
      </c>
      <c r="F6" s="16"/>
      <c r="G6" s="13"/>
      <c r="H6" s="18" t="n">
        <f aca="false">IF(F6="Active",1-N(G6),0)</f>
        <v>0</v>
      </c>
      <c r="I6" s="16"/>
      <c r="J6" s="16"/>
    </row>
    <row r="7" customFormat="false" ht="15" hidden="false" customHeight="false" outlineLevel="0" collapsed="false">
      <c r="A7" s="16"/>
      <c r="B7" s="16"/>
      <c r="C7" s="16"/>
      <c r="D7" s="11"/>
      <c r="E7" s="17" t="str">
        <f aca="false">IF(D7="","",2026-D7)</f>
        <v/>
      </c>
      <c r="F7" s="16"/>
      <c r="G7" s="13"/>
      <c r="H7" s="18" t="n">
        <f aca="false">IF(F7="Active",1-N(G7),0)</f>
        <v>0</v>
      </c>
      <c r="I7" s="16"/>
      <c r="J7" s="16"/>
    </row>
    <row r="8" customFormat="false" ht="15" hidden="false" customHeight="false" outlineLevel="0" collapsed="false">
      <c r="A8" s="16"/>
      <c r="B8" s="16"/>
      <c r="C8" s="16"/>
      <c r="D8" s="11"/>
      <c r="E8" s="17" t="str">
        <f aca="false">IF(D8="","",2026-D8)</f>
        <v/>
      </c>
      <c r="F8" s="16"/>
      <c r="G8" s="13"/>
      <c r="H8" s="18" t="n">
        <f aca="false">IF(F8="Active",1-N(G8),0)</f>
        <v>0</v>
      </c>
      <c r="I8" s="16"/>
      <c r="J8" s="16"/>
    </row>
    <row r="9" customFormat="false" ht="15" hidden="false" customHeight="false" outlineLevel="0" collapsed="false">
      <c r="A9" s="16"/>
      <c r="B9" s="16"/>
      <c r="C9" s="16"/>
      <c r="D9" s="11"/>
      <c r="E9" s="17" t="str">
        <f aca="false">IF(D9="","",2026-D9)</f>
        <v/>
      </c>
      <c r="F9" s="16"/>
      <c r="G9" s="13"/>
      <c r="H9" s="18" t="n">
        <f aca="false">IF(F9="Active",1-N(G9),0)</f>
        <v>0</v>
      </c>
      <c r="I9" s="16"/>
      <c r="J9" s="16"/>
    </row>
    <row r="10" customFormat="false" ht="15" hidden="false" customHeight="false" outlineLevel="0" collapsed="false">
      <c r="A10" s="16"/>
      <c r="B10" s="16"/>
      <c r="C10" s="16"/>
      <c r="D10" s="11"/>
      <c r="E10" s="17" t="str">
        <f aca="false">IF(D10="","",2026-D10)</f>
        <v/>
      </c>
      <c r="F10" s="16"/>
      <c r="G10" s="13"/>
      <c r="H10" s="18" t="n">
        <f aca="false">IF(F10="Active",1-N(G10),0)</f>
        <v>0</v>
      </c>
      <c r="I10" s="16"/>
      <c r="J10" s="16"/>
    </row>
    <row r="11" customFormat="false" ht="15" hidden="false" customHeight="false" outlineLevel="0" collapsed="false">
      <c r="A11" s="16"/>
      <c r="B11" s="16"/>
      <c r="C11" s="16"/>
      <c r="D11" s="11"/>
      <c r="E11" s="17" t="str">
        <f aca="false">IF(D11="","",2026-D11)</f>
        <v/>
      </c>
      <c r="F11" s="16"/>
      <c r="G11" s="13"/>
      <c r="H11" s="18" t="n">
        <f aca="false">IF(F11="Active",1-N(G11),0)</f>
        <v>0</v>
      </c>
      <c r="I11" s="16"/>
      <c r="J11" s="16"/>
    </row>
    <row r="12" customFormat="false" ht="15" hidden="false" customHeight="false" outlineLevel="0" collapsed="false">
      <c r="A12" s="16"/>
      <c r="B12" s="16"/>
      <c r="C12" s="16"/>
      <c r="D12" s="11"/>
      <c r="E12" s="17" t="str">
        <f aca="false">IF(D12="","",2026-D12)</f>
        <v/>
      </c>
      <c r="F12" s="16"/>
      <c r="G12" s="13"/>
      <c r="H12" s="18" t="n">
        <f aca="false">IF(F12="Active",1-N(G12),0)</f>
        <v>0</v>
      </c>
      <c r="I12" s="16"/>
      <c r="J12" s="16"/>
    </row>
    <row r="13" customFormat="false" ht="15" hidden="false" customHeight="false" outlineLevel="0" collapsed="false">
      <c r="A13" s="16"/>
      <c r="B13" s="16"/>
      <c r="C13" s="16"/>
      <c r="D13" s="11"/>
      <c r="E13" s="17" t="str">
        <f aca="false">IF(D13="","",2026-D13)</f>
        <v/>
      </c>
      <c r="F13" s="16"/>
      <c r="G13" s="13"/>
      <c r="H13" s="18" t="n">
        <f aca="false">IF(F13="Active",1-N(G13),0)</f>
        <v>0</v>
      </c>
      <c r="I13" s="16"/>
      <c r="J13" s="16"/>
    </row>
    <row r="14" customFormat="false" ht="15" hidden="false" customHeight="false" outlineLevel="0" collapsed="false">
      <c r="A14" s="16"/>
      <c r="B14" s="16"/>
      <c r="C14" s="16"/>
      <c r="D14" s="11"/>
      <c r="E14" s="17" t="str">
        <f aca="false">IF(D14="","",2026-D14)</f>
        <v/>
      </c>
      <c r="F14" s="16"/>
      <c r="G14" s="13"/>
      <c r="H14" s="18" t="n">
        <f aca="false">IF(F14="Active",1-N(G14),0)</f>
        <v>0</v>
      </c>
      <c r="I14" s="16"/>
      <c r="J14" s="16"/>
    </row>
    <row r="15" customFormat="false" ht="15" hidden="false" customHeight="false" outlineLevel="0" collapsed="false">
      <c r="A15" s="16"/>
      <c r="B15" s="16"/>
      <c r="C15" s="16"/>
      <c r="D15" s="11"/>
      <c r="E15" s="17" t="str">
        <f aca="false">IF(D15="","",2026-D15)</f>
        <v/>
      </c>
      <c r="F15" s="16"/>
      <c r="G15" s="13"/>
      <c r="H15" s="18" t="n">
        <f aca="false">IF(F15="Active",1-N(G15),0)</f>
        <v>0</v>
      </c>
      <c r="I15" s="16"/>
      <c r="J15" s="16"/>
    </row>
    <row r="16" customFormat="false" ht="15" hidden="false" customHeight="false" outlineLevel="0" collapsed="false">
      <c r="A16" s="16"/>
      <c r="B16" s="16"/>
      <c r="C16" s="16"/>
      <c r="D16" s="11"/>
      <c r="E16" s="17" t="str">
        <f aca="false">IF(D16="","",2026-D16)</f>
        <v/>
      </c>
      <c r="F16" s="16"/>
      <c r="G16" s="13"/>
      <c r="H16" s="18" t="n">
        <f aca="false">IF(F16="Active",1-N(G16),0)</f>
        <v>0</v>
      </c>
      <c r="I16" s="16"/>
      <c r="J16" s="16"/>
    </row>
    <row r="17" customFormat="false" ht="15" hidden="false" customHeight="false" outlineLevel="0" collapsed="false">
      <c r="A17" s="16"/>
      <c r="B17" s="16"/>
      <c r="C17" s="16"/>
      <c r="D17" s="11"/>
      <c r="E17" s="17" t="str">
        <f aca="false">IF(D17="","",2026-D17)</f>
        <v/>
      </c>
      <c r="F17" s="16"/>
      <c r="G17" s="13"/>
      <c r="H17" s="18" t="n">
        <f aca="false">IF(F17="Active",1-N(G17),0)</f>
        <v>0</v>
      </c>
      <c r="I17" s="16"/>
      <c r="J17" s="16"/>
    </row>
    <row r="18" customFormat="false" ht="15" hidden="false" customHeight="false" outlineLevel="0" collapsed="false">
      <c r="A18" s="16"/>
      <c r="B18" s="16"/>
      <c r="C18" s="16"/>
      <c r="D18" s="11"/>
      <c r="E18" s="17" t="str">
        <f aca="false">IF(D18="","",2026-D18)</f>
        <v/>
      </c>
      <c r="F18" s="16"/>
      <c r="G18" s="13"/>
      <c r="H18" s="18" t="n">
        <f aca="false">IF(F18="Active",1-N(G18),0)</f>
        <v>0</v>
      </c>
      <c r="I18" s="16"/>
      <c r="J18" s="16"/>
    </row>
    <row r="19" customFormat="false" ht="15" hidden="false" customHeight="false" outlineLevel="0" collapsed="false">
      <c r="A19" s="16"/>
      <c r="B19" s="16"/>
      <c r="C19" s="16"/>
      <c r="D19" s="11"/>
      <c r="E19" s="17" t="str">
        <f aca="false">IF(D19="","",2026-D19)</f>
        <v/>
      </c>
      <c r="F19" s="16"/>
      <c r="G19" s="13"/>
      <c r="H19" s="18" t="n">
        <f aca="false">IF(F19="Active",1-N(G19),0)</f>
        <v>0</v>
      </c>
      <c r="I19" s="16"/>
      <c r="J19" s="16"/>
    </row>
    <row r="20" customFormat="false" ht="15" hidden="false" customHeight="false" outlineLevel="0" collapsed="false">
      <c r="A20" s="16"/>
      <c r="B20" s="16"/>
      <c r="C20" s="16"/>
      <c r="D20" s="11"/>
      <c r="E20" s="17" t="str">
        <f aca="false">IF(D20="","",2026-D20)</f>
        <v/>
      </c>
      <c r="F20" s="16"/>
      <c r="G20" s="13"/>
      <c r="H20" s="18" t="n">
        <f aca="false">IF(F20="Active",1-N(G20),0)</f>
        <v>0</v>
      </c>
      <c r="I20" s="16"/>
      <c r="J20" s="16"/>
    </row>
    <row r="21" customFormat="false" ht="15" hidden="false" customHeight="false" outlineLevel="0" collapsed="false">
      <c r="A21" s="16"/>
      <c r="B21" s="16"/>
      <c r="C21" s="16"/>
      <c r="D21" s="11"/>
      <c r="E21" s="17" t="str">
        <f aca="false">IF(D21="","",2026-D21)</f>
        <v/>
      </c>
      <c r="F21" s="16"/>
      <c r="G21" s="13"/>
      <c r="H21" s="18" t="n">
        <f aca="false">IF(F21="Active",1-N(G21),0)</f>
        <v>0</v>
      </c>
      <c r="I21" s="16"/>
      <c r="J21" s="16"/>
    </row>
    <row r="22" customFormat="false" ht="15" hidden="false" customHeight="false" outlineLevel="0" collapsed="false">
      <c r="A22" s="16"/>
      <c r="B22" s="16"/>
      <c r="C22" s="16"/>
      <c r="D22" s="11"/>
      <c r="E22" s="17" t="str">
        <f aca="false">IF(D22="","",2026-D22)</f>
        <v/>
      </c>
      <c r="F22" s="16"/>
      <c r="G22" s="13"/>
      <c r="H22" s="18" t="n">
        <f aca="false">IF(F22="Active",1-N(G22),0)</f>
        <v>0</v>
      </c>
      <c r="I22" s="16"/>
      <c r="J22" s="16"/>
    </row>
    <row r="23" customFormat="false" ht="15" hidden="false" customHeight="false" outlineLevel="0" collapsed="false">
      <c r="A23" s="16"/>
      <c r="B23" s="16"/>
      <c r="C23" s="16"/>
      <c r="D23" s="11"/>
      <c r="E23" s="17" t="str">
        <f aca="false">IF(D23="","",2026-D23)</f>
        <v/>
      </c>
      <c r="F23" s="16"/>
      <c r="G23" s="13"/>
      <c r="H23" s="18" t="n">
        <f aca="false">IF(F23="Active",1-N(G23),0)</f>
        <v>0</v>
      </c>
      <c r="I23" s="16"/>
      <c r="J23" s="16"/>
    </row>
    <row r="24" customFormat="false" ht="15" hidden="false" customHeight="false" outlineLevel="0" collapsed="false">
      <c r="A24" s="16"/>
      <c r="B24" s="16"/>
      <c r="C24" s="16"/>
      <c r="D24" s="11"/>
      <c r="E24" s="17" t="str">
        <f aca="false">IF(D24="","",2026-D24)</f>
        <v/>
      </c>
      <c r="F24" s="16"/>
      <c r="G24" s="13"/>
      <c r="H24" s="18" t="n">
        <f aca="false">IF(F24="Active",1-N(G24),0)</f>
        <v>0</v>
      </c>
      <c r="I24" s="16"/>
      <c r="J24" s="16"/>
    </row>
    <row r="25" customFormat="false" ht="15" hidden="false" customHeight="false" outlineLevel="0" collapsed="false">
      <c r="A25" s="16"/>
      <c r="B25" s="16"/>
      <c r="C25" s="16"/>
      <c r="D25" s="11"/>
      <c r="E25" s="17" t="str">
        <f aca="false">IF(D25="","",2026-D25)</f>
        <v/>
      </c>
      <c r="F25" s="16"/>
      <c r="G25" s="13"/>
      <c r="H25" s="18" t="n">
        <f aca="false">IF(F25="Active",1-N(G25),0)</f>
        <v>0</v>
      </c>
      <c r="I25" s="16"/>
      <c r="J25" s="16"/>
    </row>
    <row r="26" customFormat="false" ht="15" hidden="false" customHeight="false" outlineLevel="0" collapsed="false">
      <c r="A26" s="16"/>
      <c r="B26" s="16"/>
      <c r="C26" s="16"/>
      <c r="D26" s="11"/>
      <c r="E26" s="17" t="str">
        <f aca="false">IF(D26="","",2026-D26)</f>
        <v/>
      </c>
      <c r="F26" s="16"/>
      <c r="G26" s="13"/>
      <c r="H26" s="18" t="n">
        <f aca="false">IF(F26="Active",1-N(G26),0)</f>
        <v>0</v>
      </c>
      <c r="I26" s="16"/>
      <c r="J26" s="16"/>
    </row>
    <row r="27" customFormat="false" ht="15" hidden="false" customHeight="false" outlineLevel="0" collapsed="false">
      <c r="A27" s="16"/>
      <c r="B27" s="16"/>
      <c r="C27" s="16"/>
      <c r="D27" s="11"/>
      <c r="E27" s="17" t="str">
        <f aca="false">IF(D27="","",2026-D27)</f>
        <v/>
      </c>
      <c r="F27" s="16"/>
      <c r="G27" s="13"/>
      <c r="H27" s="18" t="n">
        <f aca="false">IF(F27="Active",1-N(G27),0)</f>
        <v>0</v>
      </c>
      <c r="I27" s="16"/>
      <c r="J27" s="16"/>
    </row>
    <row r="28" customFormat="false" ht="15" hidden="false" customHeight="false" outlineLevel="0" collapsed="false">
      <c r="A28" s="16"/>
      <c r="B28" s="16"/>
      <c r="C28" s="16"/>
      <c r="D28" s="11"/>
      <c r="E28" s="17" t="str">
        <f aca="false">IF(D28="","",2026-D28)</f>
        <v/>
      </c>
      <c r="F28" s="16"/>
      <c r="G28" s="13"/>
      <c r="H28" s="18" t="n">
        <f aca="false">IF(F28="Active",1-N(G28),0)</f>
        <v>0</v>
      </c>
      <c r="I28" s="16"/>
      <c r="J28" s="16"/>
    </row>
    <row r="29" customFormat="false" ht="15" hidden="false" customHeight="false" outlineLevel="0" collapsed="false">
      <c r="A29" s="16"/>
      <c r="B29" s="16"/>
      <c r="C29" s="16"/>
      <c r="D29" s="11"/>
      <c r="E29" s="17" t="str">
        <f aca="false">IF(D29="","",2026-D29)</f>
        <v/>
      </c>
      <c r="F29" s="16"/>
      <c r="G29" s="13"/>
      <c r="H29" s="18" t="n">
        <f aca="false">IF(F29="Active",1-N(G29),0)</f>
        <v>0</v>
      </c>
      <c r="I29" s="16"/>
      <c r="J29" s="16"/>
    </row>
    <row r="30" customFormat="false" ht="15" hidden="false" customHeight="false" outlineLevel="0" collapsed="false">
      <c r="A30" s="16"/>
      <c r="B30" s="16"/>
      <c r="C30" s="16"/>
      <c r="D30" s="11"/>
      <c r="E30" s="17" t="str">
        <f aca="false">IF(D30="","",2026-D30)</f>
        <v/>
      </c>
      <c r="F30" s="16"/>
      <c r="G30" s="13"/>
      <c r="H30" s="18" t="n">
        <f aca="false">IF(F30="Active",1-N(G30),0)</f>
        <v>0</v>
      </c>
      <c r="I30" s="16"/>
      <c r="J30" s="16"/>
    </row>
    <row r="31" customFormat="false" ht="15" hidden="false" customHeight="false" outlineLevel="0" collapsed="false">
      <c r="A31" s="16"/>
      <c r="B31" s="16"/>
      <c r="C31" s="16"/>
      <c r="D31" s="11"/>
      <c r="E31" s="17" t="str">
        <f aca="false">IF(D31="","",2026-D31)</f>
        <v/>
      </c>
      <c r="F31" s="16"/>
      <c r="G31" s="13"/>
      <c r="H31" s="18" t="n">
        <f aca="false">IF(F31="Active",1-N(G31),0)</f>
        <v>0</v>
      </c>
      <c r="I31" s="16"/>
      <c r="J31" s="16"/>
    </row>
    <row r="32" customFormat="false" ht="15" hidden="false" customHeight="false" outlineLevel="0" collapsed="false">
      <c r="A32" s="16"/>
      <c r="B32" s="16"/>
      <c r="C32" s="16"/>
      <c r="D32" s="11"/>
      <c r="E32" s="17" t="str">
        <f aca="false">IF(D32="","",2026-D32)</f>
        <v/>
      </c>
      <c r="F32" s="16"/>
      <c r="G32" s="13"/>
      <c r="H32" s="18" t="n">
        <f aca="false">IF(F32="Active",1-N(G32),0)</f>
        <v>0</v>
      </c>
      <c r="I32" s="16"/>
      <c r="J32" s="16"/>
    </row>
    <row r="33" customFormat="false" ht="15" hidden="false" customHeight="false" outlineLevel="0" collapsed="false">
      <c r="A33" s="16"/>
      <c r="B33" s="16"/>
      <c r="C33" s="16"/>
      <c r="D33" s="11"/>
      <c r="E33" s="17" t="str">
        <f aca="false">IF(D33="","",2026-D33)</f>
        <v/>
      </c>
      <c r="F33" s="16"/>
      <c r="G33" s="13"/>
      <c r="H33" s="18" t="n">
        <f aca="false">IF(F33="Active",1-N(G33),0)</f>
        <v>0</v>
      </c>
      <c r="I33" s="16"/>
      <c r="J33" s="16"/>
    </row>
    <row r="34" customFormat="false" ht="15" hidden="false" customHeight="false" outlineLevel="0" collapsed="false">
      <c r="A34" s="16"/>
      <c r="B34" s="16"/>
      <c r="C34" s="16"/>
      <c r="D34" s="11"/>
      <c r="E34" s="17" t="str">
        <f aca="false">IF(D34="","",2026-D34)</f>
        <v/>
      </c>
      <c r="F34" s="16"/>
      <c r="G34" s="13"/>
      <c r="H34" s="18" t="n">
        <f aca="false">IF(F34="Active",1-N(G34),0)</f>
        <v>0</v>
      </c>
      <c r="I34" s="16"/>
      <c r="J34" s="16"/>
    </row>
    <row r="35" customFormat="false" ht="15" hidden="false" customHeight="false" outlineLevel="0" collapsed="false">
      <c r="A35" s="16"/>
      <c r="B35" s="16"/>
      <c r="C35" s="16"/>
      <c r="D35" s="11"/>
      <c r="E35" s="17" t="str">
        <f aca="false">IF(D35="","",2026-D35)</f>
        <v/>
      </c>
      <c r="F35" s="16"/>
      <c r="G35" s="13"/>
      <c r="H35" s="18" t="n">
        <f aca="false">IF(F35="Active",1-N(G35),0)</f>
        <v>0</v>
      </c>
      <c r="I35" s="16"/>
      <c r="J35" s="16"/>
    </row>
    <row r="36" customFormat="false" ht="15" hidden="false" customHeight="false" outlineLevel="0" collapsed="false">
      <c r="A36" s="16"/>
      <c r="B36" s="16"/>
      <c r="C36" s="16"/>
      <c r="D36" s="11"/>
      <c r="E36" s="17" t="str">
        <f aca="false">IF(D36="","",2026-D36)</f>
        <v/>
      </c>
      <c r="F36" s="16"/>
      <c r="G36" s="13"/>
      <c r="H36" s="18" t="n">
        <f aca="false">IF(F36="Active",1-N(G36),0)</f>
        <v>0</v>
      </c>
      <c r="I36" s="16"/>
      <c r="J36" s="16"/>
    </row>
    <row r="37" customFormat="false" ht="15" hidden="false" customHeight="false" outlineLevel="0" collapsed="false">
      <c r="A37" s="16"/>
      <c r="B37" s="16"/>
      <c r="C37" s="16"/>
      <c r="D37" s="11"/>
      <c r="E37" s="17" t="str">
        <f aca="false">IF(D37="","",2026-D37)</f>
        <v/>
      </c>
      <c r="F37" s="16"/>
      <c r="G37" s="13"/>
      <c r="H37" s="18" t="n">
        <f aca="false">IF(F37="Active",1-N(G37),0)</f>
        <v>0</v>
      </c>
      <c r="I37" s="16"/>
      <c r="J37" s="16"/>
    </row>
    <row r="38" customFormat="false" ht="15" hidden="false" customHeight="false" outlineLevel="0" collapsed="false">
      <c r="A38" s="16"/>
      <c r="B38" s="16"/>
      <c r="C38" s="16"/>
      <c r="D38" s="11"/>
      <c r="E38" s="17" t="str">
        <f aca="false">IF(D38="","",2026-D38)</f>
        <v/>
      </c>
      <c r="F38" s="16"/>
      <c r="G38" s="13"/>
      <c r="H38" s="18" t="n">
        <f aca="false">IF(F38="Active",1-N(G38),0)</f>
        <v>0</v>
      </c>
      <c r="I38" s="16"/>
      <c r="J38" s="16"/>
    </row>
    <row r="39" customFormat="false" ht="15" hidden="false" customHeight="false" outlineLevel="0" collapsed="false">
      <c r="A39" s="16"/>
      <c r="B39" s="16"/>
      <c r="C39" s="16"/>
      <c r="D39" s="11"/>
      <c r="E39" s="17" t="str">
        <f aca="false">IF(D39="","",2026-D39)</f>
        <v/>
      </c>
      <c r="F39" s="16"/>
      <c r="G39" s="13"/>
      <c r="H39" s="18" t="n">
        <f aca="false">IF(F39="Active",1-N(G39),0)</f>
        <v>0</v>
      </c>
      <c r="I39" s="16"/>
      <c r="J39" s="16"/>
    </row>
    <row r="40" customFormat="false" ht="15" hidden="false" customHeight="false" outlineLevel="0" collapsed="false">
      <c r="A40" s="16"/>
      <c r="B40" s="16"/>
      <c r="C40" s="16"/>
      <c r="D40" s="11"/>
      <c r="E40" s="17" t="str">
        <f aca="false">IF(D40="","",2026-D40)</f>
        <v/>
      </c>
      <c r="F40" s="16"/>
      <c r="G40" s="13"/>
      <c r="H40" s="18" t="n">
        <f aca="false">IF(F40="Active",1-N(G40),0)</f>
        <v>0</v>
      </c>
      <c r="I40" s="16"/>
      <c r="J40" s="16"/>
    </row>
    <row r="41" customFormat="false" ht="15" hidden="false" customHeight="false" outlineLevel="0" collapsed="false">
      <c r="A41" s="16"/>
      <c r="B41" s="16"/>
      <c r="C41" s="16"/>
      <c r="D41" s="11"/>
      <c r="E41" s="17" t="str">
        <f aca="false">IF(D41="","",2026-D41)</f>
        <v/>
      </c>
      <c r="F41" s="16"/>
      <c r="G41" s="13"/>
      <c r="H41" s="18" t="n">
        <f aca="false">IF(F41="Active",1-N(G41),0)</f>
        <v>0</v>
      </c>
      <c r="I41" s="16"/>
      <c r="J41" s="16"/>
    </row>
    <row r="42" customFormat="false" ht="15" hidden="false" customHeight="false" outlineLevel="0" collapsed="false">
      <c r="A42" s="16"/>
      <c r="B42" s="16"/>
      <c r="C42" s="16"/>
      <c r="D42" s="11"/>
      <c r="E42" s="17" t="str">
        <f aca="false">IF(D42="","",2026-D42)</f>
        <v/>
      </c>
      <c r="F42" s="16"/>
      <c r="G42" s="13"/>
      <c r="H42" s="18" t="n">
        <f aca="false">IF(F42="Active",1-N(G42),0)</f>
        <v>0</v>
      </c>
      <c r="I42" s="16"/>
      <c r="J42" s="16"/>
    </row>
    <row r="43" customFormat="false" ht="15" hidden="false" customHeight="false" outlineLevel="0" collapsed="false">
      <c r="A43" s="16"/>
      <c r="B43" s="16"/>
      <c r="C43" s="16"/>
      <c r="D43" s="11"/>
      <c r="E43" s="17" t="str">
        <f aca="false">IF(D43="","",2026-D43)</f>
        <v/>
      </c>
      <c r="F43" s="16"/>
      <c r="G43" s="13"/>
      <c r="H43" s="18" t="n">
        <f aca="false">IF(F43="Active",1-N(G43),0)</f>
        <v>0</v>
      </c>
      <c r="I43" s="16"/>
      <c r="J43" s="16"/>
    </row>
    <row r="44" customFormat="false" ht="15" hidden="false" customHeight="false" outlineLevel="0" collapsed="false">
      <c r="A44" s="16"/>
      <c r="B44" s="16"/>
      <c r="C44" s="16"/>
      <c r="D44" s="11"/>
      <c r="E44" s="17" t="str">
        <f aca="false">IF(D44="","",2026-D44)</f>
        <v/>
      </c>
      <c r="F44" s="16"/>
      <c r="G44" s="13"/>
      <c r="H44" s="18" t="n">
        <f aca="false">IF(F44="Active",1-N(G44),0)</f>
        <v>0</v>
      </c>
      <c r="I44" s="16"/>
      <c r="J44" s="16"/>
    </row>
    <row r="45" customFormat="false" ht="15" hidden="false" customHeight="false" outlineLevel="0" collapsed="false">
      <c r="A45" s="16"/>
      <c r="B45" s="16"/>
      <c r="C45" s="16"/>
      <c r="D45" s="11"/>
      <c r="E45" s="17" t="str">
        <f aca="false">IF(D45="","",2026-D45)</f>
        <v/>
      </c>
      <c r="F45" s="16"/>
      <c r="G45" s="13"/>
      <c r="H45" s="18" t="n">
        <f aca="false">IF(F45="Active",1-N(G45),0)</f>
        <v>0</v>
      </c>
      <c r="I45" s="16"/>
      <c r="J45" s="16"/>
    </row>
    <row r="46" customFormat="false" ht="15" hidden="false" customHeight="false" outlineLevel="0" collapsed="false">
      <c r="A46" s="16"/>
      <c r="B46" s="16"/>
      <c r="C46" s="16"/>
      <c r="D46" s="11"/>
      <c r="E46" s="17" t="str">
        <f aca="false">IF(D46="","",2026-D46)</f>
        <v/>
      </c>
      <c r="F46" s="16"/>
      <c r="G46" s="13"/>
      <c r="H46" s="18" t="n">
        <f aca="false">IF(F46="Active",1-N(G46),0)</f>
        <v>0</v>
      </c>
      <c r="I46" s="16"/>
      <c r="J46" s="16"/>
    </row>
    <row r="47" customFormat="false" ht="15" hidden="false" customHeight="false" outlineLevel="0" collapsed="false">
      <c r="A47" s="16"/>
      <c r="B47" s="16"/>
      <c r="C47" s="16"/>
      <c r="D47" s="11"/>
      <c r="E47" s="17" t="str">
        <f aca="false">IF(D47="","",2026-D47)</f>
        <v/>
      </c>
      <c r="F47" s="16"/>
      <c r="G47" s="13"/>
      <c r="H47" s="18" t="n">
        <f aca="false">IF(F47="Active",1-N(G47),0)</f>
        <v>0</v>
      </c>
      <c r="I47" s="16"/>
      <c r="J47" s="16"/>
    </row>
    <row r="48" customFormat="false" ht="15" hidden="false" customHeight="false" outlineLevel="0" collapsed="false">
      <c r="A48" s="16"/>
      <c r="B48" s="16"/>
      <c r="C48" s="16"/>
      <c r="D48" s="11"/>
      <c r="E48" s="17" t="str">
        <f aca="false">IF(D48="","",2026-D48)</f>
        <v/>
      </c>
      <c r="F48" s="16"/>
      <c r="G48" s="13"/>
      <c r="H48" s="18" t="n">
        <f aca="false">IF(F48="Active",1-N(G48),0)</f>
        <v>0</v>
      </c>
      <c r="I48" s="16"/>
      <c r="J48" s="16"/>
    </row>
    <row r="49" customFormat="false" ht="15" hidden="false" customHeight="false" outlineLevel="0" collapsed="false">
      <c r="A49" s="16"/>
      <c r="B49" s="16"/>
      <c r="C49" s="16"/>
      <c r="D49" s="11"/>
      <c r="E49" s="17" t="str">
        <f aca="false">IF(D49="","",2026-D49)</f>
        <v/>
      </c>
      <c r="F49" s="16"/>
      <c r="G49" s="13"/>
      <c r="H49" s="18" t="n">
        <f aca="false">IF(F49="Active",1-N(G49),0)</f>
        <v>0</v>
      </c>
      <c r="I49" s="16"/>
      <c r="J49" s="16"/>
    </row>
    <row r="50" customFormat="false" ht="15" hidden="false" customHeight="false" outlineLevel="0" collapsed="false">
      <c r="A50" s="16"/>
      <c r="B50" s="16"/>
      <c r="C50" s="16"/>
      <c r="D50" s="11"/>
      <c r="E50" s="17" t="str">
        <f aca="false">IF(D50="","",2026-D50)</f>
        <v/>
      </c>
      <c r="F50" s="16"/>
      <c r="G50" s="13"/>
      <c r="H50" s="18" t="n">
        <f aca="false">IF(F50="Active",1-N(G50),0)</f>
        <v>0</v>
      </c>
      <c r="I50" s="16"/>
      <c r="J50" s="16"/>
    </row>
    <row r="51" customFormat="false" ht="15" hidden="false" customHeight="false" outlineLevel="0" collapsed="false">
      <c r="A51" s="16"/>
      <c r="B51" s="16"/>
      <c r="C51" s="16"/>
      <c r="D51" s="11"/>
      <c r="E51" s="17" t="str">
        <f aca="false">IF(D51="","",2026-D51)</f>
        <v/>
      </c>
      <c r="F51" s="16"/>
      <c r="G51" s="13"/>
      <c r="H51" s="18" t="n">
        <f aca="false">IF(F51="Active",1-N(G51),0)</f>
        <v>0</v>
      </c>
      <c r="I51" s="16"/>
      <c r="J51" s="16"/>
    </row>
    <row r="52" customFormat="false" ht="15" hidden="false" customHeight="false" outlineLevel="0" collapsed="false">
      <c r="A52" s="16"/>
      <c r="B52" s="16"/>
      <c r="C52" s="16"/>
      <c r="D52" s="11"/>
      <c r="E52" s="17" t="str">
        <f aca="false">IF(D52="","",2026-D52)</f>
        <v/>
      </c>
      <c r="F52" s="16"/>
      <c r="G52" s="13"/>
      <c r="H52" s="18" t="n">
        <f aca="false">IF(F52="Active",1-N(G52),0)</f>
        <v>0</v>
      </c>
      <c r="I52" s="16"/>
      <c r="J52" s="16"/>
    </row>
    <row r="53" customFormat="false" ht="15" hidden="false" customHeight="false" outlineLevel="0" collapsed="false">
      <c r="A53" s="16"/>
      <c r="B53" s="16"/>
      <c r="C53" s="16"/>
      <c r="D53" s="11"/>
      <c r="E53" s="17" t="str">
        <f aca="false">IF(D53="","",2026-D53)</f>
        <v/>
      </c>
      <c r="F53" s="16"/>
      <c r="G53" s="13"/>
      <c r="H53" s="18" t="n">
        <f aca="false">IF(F53="Active",1-N(G53),0)</f>
        <v>0</v>
      </c>
      <c r="I53" s="16"/>
      <c r="J53" s="16"/>
    </row>
    <row r="54" customFormat="false" ht="15" hidden="false" customHeight="false" outlineLevel="0" collapsed="false">
      <c r="A54" s="16"/>
      <c r="B54" s="16"/>
      <c r="C54" s="16"/>
      <c r="D54" s="11"/>
      <c r="E54" s="17" t="str">
        <f aca="false">IF(D54="","",2026-D54)</f>
        <v/>
      </c>
      <c r="F54" s="16"/>
      <c r="G54" s="13"/>
      <c r="H54" s="18" t="n">
        <f aca="false">IF(F54="Active",1-N(G54),0)</f>
        <v>0</v>
      </c>
      <c r="I54" s="16"/>
      <c r="J54" s="16"/>
    </row>
    <row r="55" customFormat="false" ht="15" hidden="false" customHeight="false" outlineLevel="0" collapsed="false">
      <c r="A55" s="16"/>
      <c r="B55" s="16"/>
      <c r="C55" s="16"/>
      <c r="D55" s="11"/>
      <c r="E55" s="17" t="str">
        <f aca="false">IF(D55="","",2026-D55)</f>
        <v/>
      </c>
      <c r="F55" s="16"/>
      <c r="G55" s="13"/>
      <c r="H55" s="18" t="n">
        <f aca="false">IF(F55="Active",1-N(G55),0)</f>
        <v>0</v>
      </c>
      <c r="I55" s="16"/>
      <c r="J55" s="16"/>
    </row>
    <row r="56" customFormat="false" ht="15" hidden="false" customHeight="false" outlineLevel="0" collapsed="false">
      <c r="A56" s="16"/>
      <c r="B56" s="16"/>
      <c r="C56" s="16"/>
      <c r="D56" s="11"/>
      <c r="E56" s="17" t="str">
        <f aca="false">IF(D56="","",2026-D56)</f>
        <v/>
      </c>
      <c r="F56" s="16"/>
      <c r="G56" s="13"/>
      <c r="H56" s="18" t="n">
        <f aca="false">IF(F56="Active",1-N(G56),0)</f>
        <v>0</v>
      </c>
      <c r="I56" s="16"/>
      <c r="J56" s="16"/>
    </row>
    <row r="57" customFormat="false" ht="15" hidden="false" customHeight="false" outlineLevel="0" collapsed="false">
      <c r="A57" s="16"/>
      <c r="B57" s="16"/>
      <c r="C57" s="16"/>
      <c r="D57" s="11"/>
      <c r="E57" s="17" t="str">
        <f aca="false">IF(D57="","",2026-D57)</f>
        <v/>
      </c>
      <c r="F57" s="16"/>
      <c r="G57" s="13"/>
      <c r="H57" s="18" t="n">
        <f aca="false">IF(F57="Active",1-N(G57),0)</f>
        <v>0</v>
      </c>
      <c r="I57" s="16"/>
      <c r="J57" s="16"/>
    </row>
    <row r="58" customFormat="false" ht="15" hidden="false" customHeight="false" outlineLevel="0" collapsed="false">
      <c r="A58" s="16"/>
      <c r="B58" s="16"/>
      <c r="C58" s="16"/>
      <c r="D58" s="11"/>
      <c r="E58" s="17" t="str">
        <f aca="false">IF(D58="","",2026-D58)</f>
        <v/>
      </c>
      <c r="F58" s="16"/>
      <c r="G58" s="13"/>
      <c r="H58" s="18" t="n">
        <f aca="false">IF(F58="Active",1-N(G58),0)</f>
        <v>0</v>
      </c>
      <c r="I58" s="16"/>
      <c r="J58" s="16"/>
    </row>
    <row r="59" customFormat="false" ht="15" hidden="false" customHeight="false" outlineLevel="0" collapsed="false">
      <c r="A59" s="16"/>
      <c r="B59" s="16"/>
      <c r="C59" s="16"/>
      <c r="D59" s="11"/>
      <c r="E59" s="17" t="str">
        <f aca="false">IF(D59="","",2026-D59)</f>
        <v/>
      </c>
      <c r="F59" s="16"/>
      <c r="G59" s="13"/>
      <c r="H59" s="18" t="n">
        <f aca="false">IF(F59="Active",1-N(G59),0)</f>
        <v>0</v>
      </c>
      <c r="I59" s="16"/>
      <c r="J59" s="16"/>
    </row>
    <row r="60" customFormat="false" ht="15" hidden="false" customHeight="false" outlineLevel="0" collapsed="false">
      <c r="A60" s="16"/>
      <c r="B60" s="16"/>
      <c r="C60" s="16"/>
      <c r="D60" s="11"/>
      <c r="E60" s="17" t="str">
        <f aca="false">IF(D60="","",2026-D60)</f>
        <v/>
      </c>
      <c r="F60" s="16"/>
      <c r="G60" s="13"/>
      <c r="H60" s="18" t="n">
        <f aca="false">IF(F60="Active",1-N(G60),0)</f>
        <v>0</v>
      </c>
      <c r="I60" s="16"/>
      <c r="J60" s="16"/>
    </row>
    <row r="61" customFormat="false" ht="15" hidden="false" customHeight="false" outlineLevel="0" collapsed="false">
      <c r="A61" s="16"/>
      <c r="B61" s="16"/>
      <c r="C61" s="16"/>
      <c r="D61" s="11"/>
      <c r="E61" s="17" t="str">
        <f aca="false">IF(D61="","",2026-D61)</f>
        <v/>
      </c>
      <c r="F61" s="16"/>
      <c r="G61" s="13"/>
      <c r="H61" s="18" t="n">
        <f aca="false">IF(F61="Active",1-N(G61),0)</f>
        <v>0</v>
      </c>
      <c r="I61" s="16"/>
      <c r="J61" s="16"/>
    </row>
    <row r="62" customFormat="false" ht="15" hidden="false" customHeight="false" outlineLevel="0" collapsed="false">
      <c r="A62" s="16"/>
      <c r="B62" s="16"/>
      <c r="C62" s="16"/>
      <c r="D62" s="11"/>
      <c r="E62" s="17" t="str">
        <f aca="false">IF(D62="","",2026-D62)</f>
        <v/>
      </c>
      <c r="F62" s="16"/>
      <c r="G62" s="13"/>
      <c r="H62" s="18" t="n">
        <f aca="false">IF(F62="Active",1-N(G62),0)</f>
        <v>0</v>
      </c>
      <c r="I62" s="16"/>
      <c r="J62" s="16"/>
    </row>
    <row r="63" customFormat="false" ht="15" hidden="false" customHeight="false" outlineLevel="0" collapsed="false">
      <c r="A63" s="16"/>
      <c r="B63" s="16"/>
      <c r="C63" s="16"/>
      <c r="D63" s="11"/>
      <c r="E63" s="17" t="str">
        <f aca="false">IF(D63="","",2026-D63)</f>
        <v/>
      </c>
      <c r="F63" s="16"/>
      <c r="G63" s="13"/>
      <c r="H63" s="18" t="n">
        <f aca="false">IF(F63="Active",1-N(G63),0)</f>
        <v>0</v>
      </c>
      <c r="I63" s="16"/>
      <c r="J63" s="16"/>
    </row>
    <row r="64" customFormat="false" ht="15" hidden="false" customHeight="false" outlineLevel="0" collapsed="false">
      <c r="A64" s="16"/>
      <c r="B64" s="16"/>
      <c r="C64" s="16"/>
      <c r="D64" s="11"/>
      <c r="E64" s="17" t="str">
        <f aca="false">IF(D64="","",2026-D64)</f>
        <v/>
      </c>
      <c r="F64" s="16"/>
      <c r="G64" s="13"/>
      <c r="H64" s="18" t="n">
        <f aca="false">IF(F64="Active",1-N(G64),0)</f>
        <v>0</v>
      </c>
      <c r="I64" s="16"/>
      <c r="J64" s="16"/>
    </row>
    <row r="65" customFormat="false" ht="15" hidden="false" customHeight="false" outlineLevel="0" collapsed="false">
      <c r="A65" s="16"/>
      <c r="B65" s="16"/>
      <c r="C65" s="16"/>
      <c r="D65" s="11"/>
      <c r="E65" s="17" t="str">
        <f aca="false">IF(D65="","",2026-D65)</f>
        <v/>
      </c>
      <c r="F65" s="16"/>
      <c r="G65" s="13"/>
      <c r="H65" s="18" t="n">
        <f aca="false">IF(F65="Active",1-N(G65),0)</f>
        <v>0</v>
      </c>
      <c r="I65" s="16"/>
      <c r="J65" s="16"/>
    </row>
    <row r="66" customFormat="false" ht="15" hidden="false" customHeight="false" outlineLevel="0" collapsed="false">
      <c r="A66" s="16"/>
      <c r="B66" s="16"/>
      <c r="C66" s="16"/>
      <c r="D66" s="11"/>
      <c r="E66" s="17" t="str">
        <f aca="false">IF(D66="","",2026-D66)</f>
        <v/>
      </c>
      <c r="F66" s="16"/>
      <c r="G66" s="13"/>
      <c r="H66" s="18" t="n">
        <f aca="false">IF(F66="Active",1-N(G66),0)</f>
        <v>0</v>
      </c>
      <c r="I66" s="16"/>
      <c r="J66" s="16"/>
    </row>
    <row r="67" customFormat="false" ht="15" hidden="false" customHeight="false" outlineLevel="0" collapsed="false">
      <c r="A67" s="16"/>
      <c r="B67" s="16"/>
      <c r="C67" s="16"/>
      <c r="D67" s="11"/>
      <c r="E67" s="17" t="str">
        <f aca="false">IF(D67="","",2026-D67)</f>
        <v/>
      </c>
      <c r="F67" s="16"/>
      <c r="G67" s="13"/>
      <c r="H67" s="18" t="n">
        <f aca="false">IF(F67="Active",1-N(G67),0)</f>
        <v>0</v>
      </c>
      <c r="I67" s="16"/>
      <c r="J67" s="16"/>
    </row>
    <row r="68" customFormat="false" ht="15" hidden="false" customHeight="false" outlineLevel="0" collapsed="false">
      <c r="A68" s="16"/>
      <c r="B68" s="16"/>
      <c r="C68" s="16"/>
      <c r="D68" s="11"/>
      <c r="E68" s="17" t="str">
        <f aca="false">IF(D68="","",2026-D68)</f>
        <v/>
      </c>
      <c r="F68" s="16"/>
      <c r="G68" s="13"/>
      <c r="H68" s="18" t="n">
        <f aca="false">IF(F68="Active",1-N(G68),0)</f>
        <v>0</v>
      </c>
      <c r="I68" s="16"/>
      <c r="J68" s="16"/>
    </row>
    <row r="69" customFormat="false" ht="15" hidden="false" customHeight="false" outlineLevel="0" collapsed="false">
      <c r="A69" s="16"/>
      <c r="B69" s="16"/>
      <c r="C69" s="16"/>
      <c r="D69" s="11"/>
      <c r="E69" s="17" t="str">
        <f aca="false">IF(D69="","",2026-D69)</f>
        <v/>
      </c>
      <c r="F69" s="16"/>
      <c r="G69" s="13"/>
      <c r="H69" s="18" t="n">
        <f aca="false">IF(F69="Active",1-N(G69),0)</f>
        <v>0</v>
      </c>
      <c r="I69" s="16"/>
      <c r="J69" s="16"/>
    </row>
    <row r="70" customFormat="false" ht="15" hidden="false" customHeight="false" outlineLevel="0" collapsed="false">
      <c r="A70" s="16"/>
      <c r="B70" s="16"/>
      <c r="C70" s="16"/>
      <c r="D70" s="11"/>
      <c r="E70" s="17" t="str">
        <f aca="false">IF(D70="","",2026-D70)</f>
        <v/>
      </c>
      <c r="F70" s="16"/>
      <c r="G70" s="13"/>
      <c r="H70" s="18" t="n">
        <f aca="false">IF(F70="Active",1-N(G70),0)</f>
        <v>0</v>
      </c>
      <c r="I70" s="16"/>
      <c r="J70" s="16"/>
    </row>
    <row r="71" customFormat="false" ht="15" hidden="false" customHeight="false" outlineLevel="0" collapsed="false">
      <c r="A71" s="16"/>
      <c r="B71" s="16"/>
      <c r="C71" s="16"/>
      <c r="D71" s="11"/>
      <c r="E71" s="17" t="str">
        <f aca="false">IF(D71="","",2026-D71)</f>
        <v/>
      </c>
      <c r="F71" s="16"/>
      <c r="G71" s="13"/>
      <c r="H71" s="18" t="n">
        <f aca="false">IF(F71="Active",1-N(G71),0)</f>
        <v>0</v>
      </c>
      <c r="I71" s="16"/>
      <c r="J71" s="16"/>
    </row>
    <row r="72" customFormat="false" ht="15" hidden="false" customHeight="false" outlineLevel="0" collapsed="false">
      <c r="A72" s="16"/>
      <c r="B72" s="16"/>
      <c r="C72" s="16"/>
      <c r="D72" s="11"/>
      <c r="E72" s="17" t="str">
        <f aca="false">IF(D72="","",2026-D72)</f>
        <v/>
      </c>
      <c r="F72" s="16"/>
      <c r="G72" s="13"/>
      <c r="H72" s="18" t="n">
        <f aca="false">IF(F72="Active",1-N(G72),0)</f>
        <v>0</v>
      </c>
      <c r="I72" s="16"/>
      <c r="J72" s="16"/>
    </row>
    <row r="73" customFormat="false" ht="15" hidden="false" customHeight="false" outlineLevel="0" collapsed="false">
      <c r="A73" s="16"/>
      <c r="B73" s="16"/>
      <c r="C73" s="16"/>
      <c r="D73" s="11"/>
      <c r="E73" s="17" t="str">
        <f aca="false">IF(D73="","",2026-D73)</f>
        <v/>
      </c>
      <c r="F73" s="16"/>
      <c r="G73" s="13"/>
      <c r="H73" s="18" t="n">
        <f aca="false">IF(F73="Active",1-N(G73),0)</f>
        <v>0</v>
      </c>
      <c r="I73" s="16"/>
      <c r="J73" s="16"/>
    </row>
    <row r="74" customFormat="false" ht="15" hidden="false" customHeight="false" outlineLevel="0" collapsed="false">
      <c r="A74" s="16"/>
      <c r="B74" s="16"/>
      <c r="C74" s="16"/>
      <c r="D74" s="11"/>
      <c r="E74" s="17" t="str">
        <f aca="false">IF(D74="","",2026-D74)</f>
        <v/>
      </c>
      <c r="F74" s="16"/>
      <c r="G74" s="13"/>
      <c r="H74" s="18" t="n">
        <f aca="false">IF(F74="Active",1-N(G74),0)</f>
        <v>0</v>
      </c>
      <c r="I74" s="16"/>
      <c r="J74" s="16"/>
    </row>
    <row r="75" customFormat="false" ht="15" hidden="false" customHeight="false" outlineLevel="0" collapsed="false">
      <c r="A75" s="16"/>
      <c r="B75" s="16"/>
      <c r="C75" s="16"/>
      <c r="D75" s="11"/>
      <c r="E75" s="17" t="str">
        <f aca="false">IF(D75="","",2026-D75)</f>
        <v/>
      </c>
      <c r="F75" s="16"/>
      <c r="G75" s="13"/>
      <c r="H75" s="18" t="n">
        <f aca="false">IF(F75="Active",1-N(G75),0)</f>
        <v>0</v>
      </c>
      <c r="I75" s="16"/>
      <c r="J75" s="16"/>
    </row>
    <row r="76" customFormat="false" ht="15" hidden="false" customHeight="false" outlineLevel="0" collapsed="false">
      <c r="A76" s="16"/>
      <c r="B76" s="16"/>
      <c r="C76" s="16"/>
      <c r="D76" s="11"/>
      <c r="E76" s="17" t="str">
        <f aca="false">IF(D76="","",2026-D76)</f>
        <v/>
      </c>
      <c r="F76" s="16"/>
      <c r="G76" s="13"/>
      <c r="H76" s="18" t="n">
        <f aca="false">IF(F76="Active",1-N(G76),0)</f>
        <v>0</v>
      </c>
      <c r="I76" s="16"/>
      <c r="J76" s="16"/>
    </row>
    <row r="77" customFormat="false" ht="15" hidden="false" customHeight="false" outlineLevel="0" collapsed="false">
      <c r="A77" s="16"/>
      <c r="B77" s="16"/>
      <c r="C77" s="16"/>
      <c r="D77" s="11"/>
      <c r="E77" s="17" t="str">
        <f aca="false">IF(D77="","",2026-D77)</f>
        <v/>
      </c>
      <c r="F77" s="16"/>
      <c r="G77" s="13"/>
      <c r="H77" s="18" t="n">
        <f aca="false">IF(F77="Active",1-N(G77),0)</f>
        <v>0</v>
      </c>
      <c r="I77" s="16"/>
      <c r="J77" s="16"/>
    </row>
    <row r="78" customFormat="false" ht="15" hidden="false" customHeight="false" outlineLevel="0" collapsed="false">
      <c r="A78" s="16"/>
      <c r="B78" s="16"/>
      <c r="C78" s="16"/>
      <c r="D78" s="11"/>
      <c r="E78" s="17" t="str">
        <f aca="false">IF(D78="","",2026-D78)</f>
        <v/>
      </c>
      <c r="F78" s="16"/>
      <c r="G78" s="13"/>
      <c r="H78" s="18" t="n">
        <f aca="false">IF(F78="Active",1-N(G78),0)</f>
        <v>0</v>
      </c>
      <c r="I78" s="16"/>
      <c r="J78" s="16"/>
    </row>
    <row r="79" customFormat="false" ht="15" hidden="false" customHeight="false" outlineLevel="0" collapsed="false">
      <c r="A79" s="16"/>
      <c r="B79" s="16"/>
      <c r="C79" s="16"/>
      <c r="D79" s="11"/>
      <c r="E79" s="17" t="str">
        <f aca="false">IF(D79="","",2026-D79)</f>
        <v/>
      </c>
      <c r="F79" s="16"/>
      <c r="G79" s="13"/>
      <c r="H79" s="18" t="n">
        <f aca="false">IF(F79="Active",1-N(G79),0)</f>
        <v>0</v>
      </c>
      <c r="I79" s="16"/>
      <c r="J79" s="16"/>
    </row>
    <row r="80" customFormat="false" ht="15" hidden="false" customHeight="false" outlineLevel="0" collapsed="false">
      <c r="A80" s="16"/>
      <c r="B80" s="16"/>
      <c r="C80" s="16"/>
      <c r="D80" s="11"/>
      <c r="E80" s="17" t="str">
        <f aca="false">IF(D80="","",2026-D80)</f>
        <v/>
      </c>
      <c r="F80" s="16"/>
      <c r="G80" s="13"/>
      <c r="H80" s="18" t="n">
        <f aca="false">IF(F80="Active",1-N(G80),0)</f>
        <v>0</v>
      </c>
      <c r="I80" s="16"/>
      <c r="J80" s="16"/>
    </row>
    <row r="81" customFormat="false" ht="15" hidden="false" customHeight="false" outlineLevel="0" collapsed="false">
      <c r="A81" s="16"/>
      <c r="B81" s="16"/>
      <c r="C81" s="16"/>
      <c r="D81" s="11"/>
      <c r="E81" s="17" t="str">
        <f aca="false">IF(D81="","",2026-D81)</f>
        <v/>
      </c>
      <c r="F81" s="16"/>
      <c r="G81" s="13"/>
      <c r="H81" s="18" t="n">
        <f aca="false">IF(F81="Active",1-N(G81),0)</f>
        <v>0</v>
      </c>
      <c r="I81" s="16"/>
      <c r="J81" s="16"/>
    </row>
    <row r="82" customFormat="false" ht="15" hidden="false" customHeight="false" outlineLevel="0" collapsed="false">
      <c r="A82" s="16"/>
      <c r="B82" s="16"/>
      <c r="C82" s="16"/>
      <c r="D82" s="11"/>
      <c r="E82" s="17" t="str">
        <f aca="false">IF(D82="","",2026-D82)</f>
        <v/>
      </c>
      <c r="F82" s="16"/>
      <c r="G82" s="13"/>
      <c r="H82" s="18" t="n">
        <f aca="false">IF(F82="Active",1-N(G82),0)</f>
        <v>0</v>
      </c>
      <c r="I82" s="16"/>
      <c r="J82" s="16"/>
    </row>
    <row r="83" customFormat="false" ht="15" hidden="false" customHeight="false" outlineLevel="0" collapsed="false">
      <c r="A83" s="16"/>
      <c r="B83" s="16"/>
      <c r="C83" s="16"/>
      <c r="D83" s="11"/>
      <c r="E83" s="17" t="str">
        <f aca="false">IF(D83="","",2026-D83)</f>
        <v/>
      </c>
      <c r="F83" s="16"/>
      <c r="G83" s="13"/>
      <c r="H83" s="18" t="n">
        <f aca="false">IF(F83="Active",1-N(G83),0)</f>
        <v>0</v>
      </c>
      <c r="I83" s="16"/>
      <c r="J83" s="16"/>
    </row>
    <row r="84" customFormat="false" ht="15" hidden="false" customHeight="false" outlineLevel="0" collapsed="false">
      <c r="A84" s="16"/>
      <c r="B84" s="16"/>
      <c r="C84" s="16"/>
      <c r="D84" s="11"/>
      <c r="E84" s="17" t="str">
        <f aca="false">IF(D84="","",2026-D84)</f>
        <v/>
      </c>
      <c r="F84" s="16"/>
      <c r="G84" s="13"/>
      <c r="H84" s="18" t="n">
        <f aca="false">IF(F84="Active",1-N(G84),0)</f>
        <v>0</v>
      </c>
      <c r="I84" s="16"/>
      <c r="J84" s="16"/>
    </row>
    <row r="85" customFormat="false" ht="15" hidden="false" customHeight="false" outlineLevel="0" collapsed="false">
      <c r="A85" s="16"/>
      <c r="B85" s="16"/>
      <c r="C85" s="16"/>
      <c r="D85" s="11"/>
      <c r="E85" s="17" t="str">
        <f aca="false">IF(D85="","",2026-D85)</f>
        <v/>
      </c>
      <c r="F85" s="16"/>
      <c r="G85" s="13"/>
      <c r="H85" s="18" t="n">
        <f aca="false">IF(F85="Active",1-N(G85),0)</f>
        <v>0</v>
      </c>
      <c r="I85" s="16"/>
      <c r="J85" s="16"/>
    </row>
    <row r="86" customFormat="false" ht="15" hidden="false" customHeight="false" outlineLevel="0" collapsed="false">
      <c r="A86" s="16"/>
      <c r="B86" s="16"/>
      <c r="C86" s="16"/>
      <c r="D86" s="11"/>
      <c r="E86" s="17" t="str">
        <f aca="false">IF(D86="","",2026-D86)</f>
        <v/>
      </c>
      <c r="F86" s="16"/>
      <c r="G86" s="13"/>
      <c r="H86" s="18" t="n">
        <f aca="false">IF(F86="Active",1-N(G86),0)</f>
        <v>0</v>
      </c>
      <c r="I86" s="16"/>
      <c r="J86" s="16"/>
    </row>
    <row r="87" customFormat="false" ht="15" hidden="false" customHeight="false" outlineLevel="0" collapsed="false">
      <c r="A87" s="16"/>
      <c r="B87" s="16"/>
      <c r="C87" s="16"/>
      <c r="D87" s="11"/>
      <c r="E87" s="17" t="str">
        <f aca="false">IF(D87="","",2026-D87)</f>
        <v/>
      </c>
      <c r="F87" s="16"/>
      <c r="G87" s="13"/>
      <c r="H87" s="18" t="n">
        <f aca="false">IF(F87="Active",1-N(G87),0)</f>
        <v>0</v>
      </c>
      <c r="I87" s="16"/>
      <c r="J87" s="16"/>
    </row>
    <row r="88" customFormat="false" ht="15" hidden="false" customHeight="false" outlineLevel="0" collapsed="false">
      <c r="A88" s="16"/>
      <c r="B88" s="16"/>
      <c r="C88" s="16"/>
      <c r="D88" s="11"/>
      <c r="E88" s="17" t="str">
        <f aca="false">IF(D88="","",2026-D88)</f>
        <v/>
      </c>
      <c r="F88" s="16"/>
      <c r="G88" s="13"/>
      <c r="H88" s="18" t="n">
        <f aca="false">IF(F88="Active",1-N(G88),0)</f>
        <v>0</v>
      </c>
      <c r="I88" s="16"/>
      <c r="J88" s="16"/>
    </row>
    <row r="89" customFormat="false" ht="15" hidden="false" customHeight="false" outlineLevel="0" collapsed="false">
      <c r="A89" s="16"/>
      <c r="B89" s="16"/>
      <c r="C89" s="16"/>
      <c r="D89" s="11"/>
      <c r="E89" s="17" t="str">
        <f aca="false">IF(D89="","",2026-D89)</f>
        <v/>
      </c>
      <c r="F89" s="16"/>
      <c r="G89" s="13"/>
      <c r="H89" s="18" t="n">
        <f aca="false">IF(F89="Active",1-N(G89),0)</f>
        <v>0</v>
      </c>
      <c r="I89" s="16"/>
      <c r="J89" s="16"/>
    </row>
    <row r="90" customFormat="false" ht="15" hidden="false" customHeight="false" outlineLevel="0" collapsed="false">
      <c r="A90" s="16"/>
      <c r="B90" s="16"/>
      <c r="C90" s="16"/>
      <c r="D90" s="11"/>
      <c r="E90" s="17" t="str">
        <f aca="false">IF(D90="","",2026-D90)</f>
        <v/>
      </c>
      <c r="F90" s="16"/>
      <c r="G90" s="13"/>
      <c r="H90" s="18" t="n">
        <f aca="false">IF(F90="Active",1-N(G90),0)</f>
        <v>0</v>
      </c>
      <c r="I90" s="16"/>
      <c r="J90" s="16"/>
    </row>
    <row r="91" customFormat="false" ht="15" hidden="false" customHeight="false" outlineLevel="0" collapsed="false">
      <c r="A91" s="16"/>
      <c r="B91" s="16"/>
      <c r="C91" s="16"/>
      <c r="D91" s="11"/>
      <c r="E91" s="17" t="str">
        <f aca="false">IF(D91="","",2026-D91)</f>
        <v/>
      </c>
      <c r="F91" s="16"/>
      <c r="G91" s="13"/>
      <c r="H91" s="18" t="n">
        <f aca="false">IF(F91="Active",1-N(G91),0)</f>
        <v>0</v>
      </c>
      <c r="I91" s="16"/>
      <c r="J91" s="16"/>
    </row>
    <row r="92" customFormat="false" ht="15" hidden="false" customHeight="false" outlineLevel="0" collapsed="false">
      <c r="A92" s="16"/>
      <c r="B92" s="16"/>
      <c r="C92" s="16"/>
      <c r="D92" s="11"/>
      <c r="E92" s="17" t="str">
        <f aca="false">IF(D92="","",2026-D92)</f>
        <v/>
      </c>
      <c r="F92" s="16"/>
      <c r="G92" s="13"/>
      <c r="H92" s="18" t="n">
        <f aca="false">IF(F92="Active",1-N(G92),0)</f>
        <v>0</v>
      </c>
      <c r="I92" s="16"/>
      <c r="J92" s="16"/>
    </row>
    <row r="93" customFormat="false" ht="15" hidden="false" customHeight="false" outlineLevel="0" collapsed="false">
      <c r="A93" s="16"/>
      <c r="B93" s="16"/>
      <c r="C93" s="16"/>
      <c r="D93" s="11"/>
      <c r="E93" s="17" t="str">
        <f aca="false">IF(D93="","",2026-D93)</f>
        <v/>
      </c>
      <c r="F93" s="16"/>
      <c r="G93" s="13"/>
      <c r="H93" s="18" t="n">
        <f aca="false">IF(F93="Active",1-N(G93),0)</f>
        <v>0</v>
      </c>
      <c r="I93" s="16"/>
      <c r="J93" s="16"/>
    </row>
    <row r="94" customFormat="false" ht="15" hidden="false" customHeight="false" outlineLevel="0" collapsed="false">
      <c r="A94" s="16"/>
      <c r="B94" s="16"/>
      <c r="C94" s="16"/>
      <c r="D94" s="11"/>
      <c r="E94" s="17" t="str">
        <f aca="false">IF(D94="","",2026-D94)</f>
        <v/>
      </c>
      <c r="F94" s="16"/>
      <c r="G94" s="13"/>
      <c r="H94" s="18" t="n">
        <f aca="false">IF(F94="Active",1-N(G94),0)</f>
        <v>0</v>
      </c>
      <c r="I94" s="16"/>
      <c r="J94" s="16"/>
    </row>
    <row r="95" customFormat="false" ht="15" hidden="false" customHeight="false" outlineLevel="0" collapsed="false">
      <c r="A95" s="16"/>
      <c r="B95" s="16"/>
      <c r="C95" s="16"/>
      <c r="D95" s="11"/>
      <c r="E95" s="17" t="str">
        <f aca="false">IF(D95="","",2026-D95)</f>
        <v/>
      </c>
      <c r="F95" s="16"/>
      <c r="G95" s="13"/>
      <c r="H95" s="18" t="n">
        <f aca="false">IF(F95="Active",1-N(G95),0)</f>
        <v>0</v>
      </c>
      <c r="I95" s="16"/>
      <c r="J95" s="16"/>
    </row>
    <row r="96" customFormat="false" ht="15" hidden="false" customHeight="false" outlineLevel="0" collapsed="false">
      <c r="A96" s="16"/>
      <c r="B96" s="16"/>
      <c r="C96" s="16"/>
      <c r="D96" s="11"/>
      <c r="E96" s="17" t="str">
        <f aca="false">IF(D96="","",2026-D96)</f>
        <v/>
      </c>
      <c r="F96" s="16"/>
      <c r="G96" s="13"/>
      <c r="H96" s="18" t="n">
        <f aca="false">IF(F96="Active",1-N(G96),0)</f>
        <v>0</v>
      </c>
      <c r="I96" s="16"/>
      <c r="J96" s="16"/>
    </row>
    <row r="97" customFormat="false" ht="15" hidden="false" customHeight="false" outlineLevel="0" collapsed="false">
      <c r="A97" s="16"/>
      <c r="B97" s="16"/>
      <c r="C97" s="16"/>
      <c r="D97" s="11"/>
      <c r="E97" s="17" t="str">
        <f aca="false">IF(D97="","",2026-D97)</f>
        <v/>
      </c>
      <c r="F97" s="16"/>
      <c r="G97" s="13"/>
      <c r="H97" s="18" t="n">
        <f aca="false">IF(F97="Active",1-N(G97),0)</f>
        <v>0</v>
      </c>
      <c r="I97" s="16"/>
      <c r="J97" s="16"/>
    </row>
    <row r="98" customFormat="false" ht="15" hidden="false" customHeight="false" outlineLevel="0" collapsed="false">
      <c r="A98" s="16"/>
      <c r="B98" s="16"/>
      <c r="C98" s="16"/>
      <c r="D98" s="11"/>
      <c r="E98" s="17" t="str">
        <f aca="false">IF(D98="","",2026-D98)</f>
        <v/>
      </c>
      <c r="F98" s="16"/>
      <c r="G98" s="13"/>
      <c r="H98" s="18" t="n">
        <f aca="false">IF(F98="Active",1-N(G98),0)</f>
        <v>0</v>
      </c>
      <c r="I98" s="16"/>
      <c r="J98" s="16"/>
    </row>
    <row r="99" customFormat="false" ht="15" hidden="false" customHeight="false" outlineLevel="0" collapsed="false">
      <c r="A99" s="16"/>
      <c r="B99" s="16"/>
      <c r="C99" s="16"/>
      <c r="D99" s="11"/>
      <c r="E99" s="17" t="str">
        <f aca="false">IF(D99="","",2026-D99)</f>
        <v/>
      </c>
      <c r="F99" s="16"/>
      <c r="G99" s="13"/>
      <c r="H99" s="18" t="n">
        <f aca="false">IF(F99="Active",1-N(G99),0)</f>
        <v>0</v>
      </c>
      <c r="I99" s="16"/>
      <c r="J99" s="16"/>
    </row>
    <row r="100" customFormat="false" ht="15" hidden="false" customHeight="false" outlineLevel="0" collapsed="false">
      <c r="A100" s="16"/>
      <c r="B100" s="16"/>
      <c r="C100" s="16"/>
      <c r="D100" s="11"/>
      <c r="E100" s="17" t="str">
        <f aca="false">IF(D100="","",2026-D100)</f>
        <v/>
      </c>
      <c r="F100" s="16"/>
      <c r="G100" s="13"/>
      <c r="H100" s="18" t="n">
        <f aca="false">IF(F100="Active",1-N(G100),0)</f>
        <v>0</v>
      </c>
      <c r="I100" s="16"/>
      <c r="J100" s="16"/>
    </row>
    <row r="101" customFormat="false" ht="15" hidden="false" customHeight="false" outlineLevel="0" collapsed="false">
      <c r="A101" s="16"/>
      <c r="B101" s="16"/>
      <c r="C101" s="16"/>
      <c r="D101" s="11"/>
      <c r="E101" s="17" t="str">
        <f aca="false">IF(D101="","",2026-D101)</f>
        <v/>
      </c>
      <c r="F101" s="16"/>
      <c r="G101" s="13"/>
      <c r="H101" s="18" t="n">
        <f aca="false">IF(F101="Active",1-N(G101),0)</f>
        <v>0</v>
      </c>
      <c r="I101" s="16"/>
      <c r="J101" s="16"/>
    </row>
    <row r="102" customFormat="false" ht="15" hidden="false" customHeight="false" outlineLevel="0" collapsed="false">
      <c r="A102" s="16"/>
      <c r="B102" s="16"/>
      <c r="C102" s="16"/>
      <c r="D102" s="11"/>
      <c r="E102" s="17" t="str">
        <f aca="false">IF(D102="","",2026-D102)</f>
        <v/>
      </c>
      <c r="F102" s="16"/>
      <c r="G102" s="13"/>
      <c r="H102" s="18" t="n">
        <f aca="false">IF(F102="Active",1-N(G102),0)</f>
        <v>0</v>
      </c>
      <c r="I102" s="16"/>
      <c r="J102" s="16"/>
    </row>
    <row r="103" customFormat="false" ht="15" hidden="false" customHeight="false" outlineLevel="0" collapsed="false">
      <c r="A103" s="16"/>
      <c r="B103" s="16"/>
      <c r="C103" s="16"/>
      <c r="D103" s="11"/>
      <c r="E103" s="17" t="str">
        <f aca="false">IF(D103="","",2026-D103)</f>
        <v/>
      </c>
      <c r="F103" s="16"/>
      <c r="G103" s="13"/>
      <c r="H103" s="18" t="n">
        <f aca="false">IF(F103="Active",1-N(G103),0)</f>
        <v>0</v>
      </c>
      <c r="I103" s="16"/>
      <c r="J103" s="16"/>
    </row>
    <row r="104" customFormat="false" ht="15" hidden="false" customHeight="false" outlineLevel="0" collapsed="false">
      <c r="A104" s="16"/>
      <c r="B104" s="16"/>
      <c r="C104" s="16"/>
      <c r="D104" s="11"/>
      <c r="E104" s="17" t="str">
        <f aca="false">IF(D104="","",2026-D104)</f>
        <v/>
      </c>
      <c r="F104" s="16"/>
      <c r="G104" s="13"/>
      <c r="H104" s="18" t="n">
        <f aca="false">IF(F104="Active",1-N(G104),0)</f>
        <v>0</v>
      </c>
      <c r="I104" s="16"/>
      <c r="J104" s="16"/>
    </row>
  </sheetData>
  <dataValidations count="2">
    <dataValidation allowBlank="true" errorStyle="stop" operator="between" showDropDown="false" showErrorMessage="false" showInputMessage="false" sqref="B5:B104" type="list">
      <formula1>"HPLC,GC,UV-Vis,AAS / ICP,KF titrator,Dissolution bath,Other"</formula1>
      <formula2>0</formula2>
    </dataValidation>
    <dataValidation allowBlank="true" errorStyle="stop" operator="between" showDropDown="false" showErrorMessage="false" showInputMessage="false" sqref="F5:F104" type="list">
      <formula1>"Active,Out of service,Under qualification,Retired"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167</v>
      </c>
    </row>
    <row r="4" customFormat="false" ht="45" hidden="false" customHeight="true" outlineLevel="0" collapsed="false">
      <c r="A4" s="7" t="s">
        <v>168</v>
      </c>
      <c r="B4" s="7" t="s">
        <v>169</v>
      </c>
      <c r="C4" s="7" t="s">
        <v>170</v>
      </c>
      <c r="D4" s="7" t="s">
        <v>171</v>
      </c>
      <c r="E4" s="7" t="s">
        <v>172</v>
      </c>
      <c r="F4" s="7" t="s">
        <v>173</v>
      </c>
      <c r="G4" s="7" t="s">
        <v>174</v>
      </c>
      <c r="H4" s="7" t="s">
        <v>175</v>
      </c>
      <c r="I4" s="7" t="s">
        <v>176</v>
      </c>
      <c r="J4" s="7" t="s">
        <v>177</v>
      </c>
      <c r="K4" s="7" t="s">
        <v>178</v>
      </c>
    </row>
    <row r="5" customFormat="false" ht="15" hidden="false" customHeight="false" outlineLevel="0" collapsed="false">
      <c r="A5" s="16"/>
      <c r="B5" s="16"/>
      <c r="C5" s="16"/>
      <c r="D5" s="16"/>
      <c r="E5" s="16"/>
      <c r="F5" s="16"/>
      <c r="G5" s="13"/>
      <c r="H5" s="13"/>
      <c r="I5" s="15" t="str">
        <f aca="false">IF(E5="","",E5*(52-N(F5)-Settings!$B$6))</f>
        <v/>
      </c>
      <c r="J5" s="11"/>
      <c r="K5" s="16"/>
    </row>
    <row r="6" customFormat="false" ht="15" hidden="false" customHeight="false" outlineLevel="0" collapsed="false">
      <c r="A6" s="16"/>
      <c r="B6" s="16"/>
      <c r="C6" s="16"/>
      <c r="D6" s="16"/>
      <c r="E6" s="16"/>
      <c r="F6" s="16"/>
      <c r="G6" s="13"/>
      <c r="H6" s="13"/>
      <c r="I6" s="15" t="str">
        <f aca="false">IF(E6="","",E6*(52-N(F6)-Settings!$B$6))</f>
        <v/>
      </c>
      <c r="J6" s="11"/>
      <c r="K6" s="16"/>
    </row>
    <row r="7" customFormat="false" ht="15" hidden="false" customHeight="false" outlineLevel="0" collapsed="false">
      <c r="A7" s="16"/>
      <c r="B7" s="16"/>
      <c r="C7" s="16"/>
      <c r="D7" s="16"/>
      <c r="E7" s="16"/>
      <c r="F7" s="16"/>
      <c r="G7" s="13"/>
      <c r="H7" s="13"/>
      <c r="I7" s="15" t="str">
        <f aca="false">IF(E7="","",E7*(52-N(F7)-Settings!$B$6))</f>
        <v/>
      </c>
      <c r="J7" s="11"/>
      <c r="K7" s="16"/>
    </row>
    <row r="8" customFormat="false" ht="15" hidden="false" customHeight="false" outlineLevel="0" collapsed="false">
      <c r="A8" s="16"/>
      <c r="B8" s="16"/>
      <c r="C8" s="16"/>
      <c r="D8" s="16"/>
      <c r="E8" s="16"/>
      <c r="F8" s="16"/>
      <c r="G8" s="13"/>
      <c r="H8" s="13"/>
      <c r="I8" s="15" t="str">
        <f aca="false">IF(E8="","",E8*(52-N(F8)-Settings!$B$6))</f>
        <v/>
      </c>
      <c r="J8" s="11"/>
      <c r="K8" s="16"/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3"/>
      <c r="H9" s="13"/>
      <c r="I9" s="15" t="str">
        <f aca="false">IF(E9="","",E9*(52-N(F9)-Settings!$B$6))</f>
        <v/>
      </c>
      <c r="J9" s="11"/>
      <c r="K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3"/>
      <c r="H10" s="13"/>
      <c r="I10" s="15" t="str">
        <f aca="false">IF(E10="","",E10*(52-N(F10)-Settings!$B$6))</f>
        <v/>
      </c>
      <c r="J10" s="11"/>
      <c r="K10" s="16"/>
    </row>
    <row r="11" customFormat="false" ht="15" hidden="false" customHeight="false" outlineLevel="0" collapsed="false">
      <c r="A11" s="16"/>
      <c r="B11" s="16"/>
      <c r="C11" s="16"/>
      <c r="D11" s="16"/>
      <c r="E11" s="16"/>
      <c r="F11" s="16"/>
      <c r="G11" s="13"/>
      <c r="H11" s="13"/>
      <c r="I11" s="15" t="str">
        <f aca="false">IF(E11="","",E11*(52-N(F11)-Settings!$B$6))</f>
        <v/>
      </c>
      <c r="J11" s="11"/>
      <c r="K11" s="16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3"/>
      <c r="H12" s="13"/>
      <c r="I12" s="15" t="str">
        <f aca="false">IF(E12="","",E12*(52-N(F12)-Settings!$B$6))</f>
        <v/>
      </c>
      <c r="J12" s="11"/>
      <c r="K12" s="16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3"/>
      <c r="H13" s="13"/>
      <c r="I13" s="15" t="str">
        <f aca="false">IF(E13="","",E13*(52-N(F13)-Settings!$B$6))</f>
        <v/>
      </c>
      <c r="J13" s="11"/>
      <c r="K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3"/>
      <c r="H14" s="13"/>
      <c r="I14" s="15" t="str">
        <f aca="false">IF(E14="","",E14*(52-N(F14)-Settings!$B$6))</f>
        <v/>
      </c>
      <c r="J14" s="11"/>
      <c r="K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3"/>
      <c r="H15" s="13"/>
      <c r="I15" s="15" t="str">
        <f aca="false">IF(E15="","",E15*(52-N(F15)-Settings!$B$6))</f>
        <v/>
      </c>
      <c r="J15" s="11"/>
      <c r="K15" s="16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3"/>
      <c r="H16" s="13"/>
      <c r="I16" s="15" t="str">
        <f aca="false">IF(E16="","",E16*(52-N(F16)-Settings!$B$6))</f>
        <v/>
      </c>
      <c r="J16" s="11"/>
      <c r="K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3"/>
      <c r="H17" s="13"/>
      <c r="I17" s="15" t="str">
        <f aca="false">IF(E17="","",E17*(52-N(F17)-Settings!$B$6))</f>
        <v/>
      </c>
      <c r="J17" s="11"/>
      <c r="K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3"/>
      <c r="H18" s="13"/>
      <c r="I18" s="15" t="str">
        <f aca="false">IF(E18="","",E18*(52-N(F18)-Settings!$B$6))</f>
        <v/>
      </c>
      <c r="J18" s="11"/>
      <c r="K18" s="16"/>
    </row>
    <row r="19" customFormat="false" ht="15" hidden="false" customHeight="false" outlineLevel="0" collapsed="false">
      <c r="A19" s="16"/>
      <c r="B19" s="16"/>
      <c r="C19" s="16"/>
      <c r="D19" s="16"/>
      <c r="E19" s="16"/>
      <c r="F19" s="16"/>
      <c r="G19" s="13"/>
      <c r="H19" s="13"/>
      <c r="I19" s="15" t="str">
        <f aca="false">IF(E19="","",E19*(52-N(F19)-Settings!$B$6))</f>
        <v/>
      </c>
      <c r="J19" s="11"/>
      <c r="K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3"/>
      <c r="H20" s="13"/>
      <c r="I20" s="15" t="str">
        <f aca="false">IF(E20="","",E20*(52-N(F20)-Settings!$B$6))</f>
        <v/>
      </c>
      <c r="J20" s="11"/>
      <c r="K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3"/>
      <c r="H21" s="13"/>
      <c r="I21" s="15" t="str">
        <f aca="false">IF(E21="","",E21*(52-N(F21)-Settings!$B$6))</f>
        <v/>
      </c>
      <c r="J21" s="11"/>
      <c r="K21" s="16"/>
    </row>
    <row r="22" customFormat="false" ht="15" hidden="false" customHeight="false" outlineLevel="0" collapsed="false">
      <c r="A22" s="16"/>
      <c r="B22" s="16"/>
      <c r="C22" s="16"/>
      <c r="D22" s="16"/>
      <c r="E22" s="16"/>
      <c r="F22" s="16"/>
      <c r="G22" s="13"/>
      <c r="H22" s="13"/>
      <c r="I22" s="15" t="str">
        <f aca="false">IF(E22="","",E22*(52-N(F22)-Settings!$B$6))</f>
        <v/>
      </c>
      <c r="J22" s="11"/>
      <c r="K22" s="16"/>
    </row>
    <row r="23" customFormat="false" ht="15" hidden="false" customHeight="false" outlineLevel="0" collapsed="false">
      <c r="A23" s="16"/>
      <c r="B23" s="16"/>
      <c r="C23" s="16"/>
      <c r="D23" s="16"/>
      <c r="E23" s="16"/>
      <c r="F23" s="16"/>
      <c r="G23" s="13"/>
      <c r="H23" s="13"/>
      <c r="I23" s="15" t="str">
        <f aca="false">IF(E23="","",E23*(52-N(F23)-Settings!$B$6))</f>
        <v/>
      </c>
      <c r="J23" s="11"/>
      <c r="K23" s="16"/>
    </row>
    <row r="24" customFormat="false" ht="15" hidden="false" customHeight="false" outlineLevel="0" collapsed="false">
      <c r="A24" s="16"/>
      <c r="B24" s="16"/>
      <c r="C24" s="16"/>
      <c r="D24" s="16"/>
      <c r="E24" s="16"/>
      <c r="F24" s="16"/>
      <c r="G24" s="13"/>
      <c r="H24" s="13"/>
      <c r="I24" s="15" t="str">
        <f aca="false">IF(E24="","",E24*(52-N(F24)-Settings!$B$6))</f>
        <v/>
      </c>
      <c r="J24" s="11"/>
      <c r="K24" s="16"/>
    </row>
    <row r="25" customFormat="false" ht="15" hidden="false" customHeight="false" outlineLevel="0" collapsed="false">
      <c r="A25" s="16"/>
      <c r="B25" s="16"/>
      <c r="C25" s="16"/>
      <c r="D25" s="16"/>
      <c r="E25" s="16"/>
      <c r="F25" s="16"/>
      <c r="G25" s="13"/>
      <c r="H25" s="13"/>
      <c r="I25" s="15" t="str">
        <f aca="false">IF(E25="","",E25*(52-N(F25)-Settings!$B$6))</f>
        <v/>
      </c>
      <c r="J25" s="11"/>
      <c r="K25" s="16"/>
    </row>
    <row r="26" customFormat="false" ht="15" hidden="false" customHeight="false" outlineLevel="0" collapsed="false">
      <c r="A26" s="16"/>
      <c r="B26" s="16"/>
      <c r="C26" s="16"/>
      <c r="D26" s="16"/>
      <c r="E26" s="16"/>
      <c r="F26" s="16"/>
      <c r="G26" s="13"/>
      <c r="H26" s="13"/>
      <c r="I26" s="15" t="str">
        <f aca="false">IF(E26="","",E26*(52-N(F26)-Settings!$B$6))</f>
        <v/>
      </c>
      <c r="J26" s="11"/>
      <c r="K26" s="16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3"/>
      <c r="H27" s="13"/>
      <c r="I27" s="15" t="str">
        <f aca="false">IF(E27="","",E27*(52-N(F27)-Settings!$B$6))</f>
        <v/>
      </c>
      <c r="J27" s="11"/>
      <c r="K27" s="16"/>
    </row>
    <row r="28" customFormat="false" ht="15" hidden="false" customHeight="false" outlineLevel="0" collapsed="false">
      <c r="A28" s="16"/>
      <c r="B28" s="16"/>
      <c r="C28" s="16"/>
      <c r="D28" s="16"/>
      <c r="E28" s="16"/>
      <c r="F28" s="16"/>
      <c r="G28" s="13"/>
      <c r="H28" s="13"/>
      <c r="I28" s="15" t="str">
        <f aca="false">IF(E28="","",E28*(52-N(F28)-Settings!$B$6))</f>
        <v/>
      </c>
      <c r="J28" s="11"/>
      <c r="K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3"/>
      <c r="H29" s="13"/>
      <c r="I29" s="15" t="str">
        <f aca="false">IF(E29="","",E29*(52-N(F29)-Settings!$B$6))</f>
        <v/>
      </c>
      <c r="J29" s="11"/>
      <c r="K29" s="16"/>
    </row>
    <row r="30" customFormat="false" ht="15" hidden="false" customHeight="false" outlineLevel="0" collapsed="false">
      <c r="A30" s="16"/>
      <c r="B30" s="16"/>
      <c r="C30" s="16"/>
      <c r="D30" s="16"/>
      <c r="E30" s="16"/>
      <c r="F30" s="16"/>
      <c r="G30" s="13"/>
      <c r="H30" s="13"/>
      <c r="I30" s="15" t="str">
        <f aca="false">IF(E30="","",E30*(52-N(F30)-Settings!$B$6))</f>
        <v/>
      </c>
      <c r="J30" s="11"/>
      <c r="K30" s="16"/>
    </row>
    <row r="31" customFormat="false" ht="15" hidden="false" customHeight="false" outlineLevel="0" collapsed="false">
      <c r="A31" s="16"/>
      <c r="B31" s="16"/>
      <c r="C31" s="16"/>
      <c r="D31" s="16"/>
      <c r="E31" s="16"/>
      <c r="F31" s="16"/>
      <c r="G31" s="13"/>
      <c r="H31" s="13"/>
      <c r="I31" s="15" t="str">
        <f aca="false">IF(E31="","",E31*(52-N(F31)-Settings!$B$6))</f>
        <v/>
      </c>
      <c r="J31" s="11"/>
      <c r="K31" s="16"/>
    </row>
    <row r="32" customFormat="false" ht="15" hidden="false" customHeight="false" outlineLevel="0" collapsed="false">
      <c r="A32" s="16"/>
      <c r="B32" s="16"/>
      <c r="C32" s="16"/>
      <c r="D32" s="16"/>
      <c r="E32" s="16"/>
      <c r="F32" s="16"/>
      <c r="G32" s="13"/>
      <c r="H32" s="13"/>
      <c r="I32" s="15" t="str">
        <f aca="false">IF(E32="","",E32*(52-N(F32)-Settings!$B$6))</f>
        <v/>
      </c>
      <c r="J32" s="11"/>
      <c r="K32" s="16"/>
    </row>
    <row r="33" customFormat="false" ht="15" hidden="false" customHeight="false" outlineLevel="0" collapsed="false">
      <c r="A33" s="16"/>
      <c r="B33" s="16"/>
      <c r="C33" s="16"/>
      <c r="D33" s="16"/>
      <c r="E33" s="16"/>
      <c r="F33" s="16"/>
      <c r="G33" s="13"/>
      <c r="H33" s="13"/>
      <c r="I33" s="15" t="str">
        <f aca="false">IF(E33="","",E33*(52-N(F33)-Settings!$B$6))</f>
        <v/>
      </c>
      <c r="J33" s="11"/>
      <c r="K33" s="16"/>
    </row>
    <row r="34" customFormat="false" ht="15" hidden="false" customHeight="false" outlineLevel="0" collapsed="false">
      <c r="A34" s="16"/>
      <c r="B34" s="16"/>
      <c r="C34" s="16"/>
      <c r="D34" s="16"/>
      <c r="E34" s="16"/>
      <c r="F34" s="16"/>
      <c r="G34" s="13"/>
      <c r="H34" s="13"/>
      <c r="I34" s="15" t="str">
        <f aca="false">IF(E34="","",E34*(52-N(F34)-Settings!$B$6))</f>
        <v/>
      </c>
      <c r="J34" s="11"/>
      <c r="K34" s="16"/>
    </row>
    <row r="35" customFormat="false" ht="15" hidden="false" customHeight="false" outlineLevel="0" collapsed="false">
      <c r="A35" s="16"/>
      <c r="B35" s="16"/>
      <c r="C35" s="16"/>
      <c r="D35" s="16"/>
      <c r="E35" s="16"/>
      <c r="F35" s="16"/>
      <c r="G35" s="13"/>
      <c r="H35" s="13"/>
      <c r="I35" s="15" t="str">
        <f aca="false">IF(E35="","",E35*(52-N(F35)-Settings!$B$6))</f>
        <v/>
      </c>
      <c r="J35" s="11"/>
      <c r="K35" s="16"/>
    </row>
    <row r="36" customFormat="false" ht="15" hidden="false" customHeight="false" outlineLevel="0" collapsed="false">
      <c r="A36" s="16"/>
      <c r="B36" s="16"/>
      <c r="C36" s="16"/>
      <c r="D36" s="16"/>
      <c r="E36" s="16"/>
      <c r="F36" s="16"/>
      <c r="G36" s="13"/>
      <c r="H36" s="13"/>
      <c r="I36" s="15" t="str">
        <f aca="false">IF(E36="","",E36*(52-N(F36)-Settings!$B$6))</f>
        <v/>
      </c>
      <c r="J36" s="11"/>
      <c r="K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3"/>
      <c r="H37" s="13"/>
      <c r="I37" s="15" t="str">
        <f aca="false">IF(E37="","",E37*(52-N(F37)-Settings!$B$6))</f>
        <v/>
      </c>
      <c r="J37" s="11"/>
      <c r="K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3"/>
      <c r="H38" s="13"/>
      <c r="I38" s="15" t="str">
        <f aca="false">IF(E38="","",E38*(52-N(F38)-Settings!$B$6))</f>
        <v/>
      </c>
      <c r="J38" s="11"/>
      <c r="K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3"/>
      <c r="H39" s="13"/>
      <c r="I39" s="15" t="str">
        <f aca="false">IF(E39="","",E39*(52-N(F39)-Settings!$B$6))</f>
        <v/>
      </c>
      <c r="J39" s="11"/>
      <c r="K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3"/>
      <c r="H40" s="13"/>
      <c r="I40" s="15" t="str">
        <f aca="false">IF(E40="","",E40*(52-N(F40)-Settings!$B$6))</f>
        <v/>
      </c>
      <c r="J40" s="11"/>
      <c r="K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3"/>
      <c r="H41" s="13"/>
      <c r="I41" s="15" t="str">
        <f aca="false">IF(E41="","",E41*(52-N(F41)-Settings!$B$6))</f>
        <v/>
      </c>
      <c r="J41" s="11"/>
      <c r="K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3"/>
      <c r="H42" s="13"/>
      <c r="I42" s="15" t="str">
        <f aca="false">IF(E42="","",E42*(52-N(F42)-Settings!$B$6))</f>
        <v/>
      </c>
      <c r="J42" s="11"/>
      <c r="K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3"/>
      <c r="H43" s="13"/>
      <c r="I43" s="15" t="str">
        <f aca="false">IF(E43="","",E43*(52-N(F43)-Settings!$B$6))</f>
        <v/>
      </c>
      <c r="J43" s="11"/>
      <c r="K43" s="16"/>
    </row>
    <row r="44" customFormat="false" ht="15" hidden="false" customHeight="false" outlineLevel="0" collapsed="false">
      <c r="A44" s="16"/>
      <c r="B44" s="16"/>
      <c r="C44" s="16"/>
      <c r="D44" s="16"/>
      <c r="E44" s="16"/>
      <c r="F44" s="16"/>
      <c r="G44" s="13"/>
      <c r="H44" s="13"/>
      <c r="I44" s="15" t="str">
        <f aca="false">IF(E44="","",E44*(52-N(F44)-Settings!$B$6))</f>
        <v/>
      </c>
      <c r="J44" s="11"/>
      <c r="K44" s="16"/>
    </row>
    <row r="45" customFormat="false" ht="15" hidden="false" customHeight="false" outlineLevel="0" collapsed="false">
      <c r="A45" s="16"/>
      <c r="B45" s="16"/>
      <c r="C45" s="16"/>
      <c r="D45" s="16"/>
      <c r="E45" s="16"/>
      <c r="F45" s="16"/>
      <c r="G45" s="13"/>
      <c r="H45" s="13"/>
      <c r="I45" s="15" t="str">
        <f aca="false">IF(E45="","",E45*(52-N(F45)-Settings!$B$6))</f>
        <v/>
      </c>
      <c r="J45" s="11"/>
      <c r="K45" s="16"/>
    </row>
    <row r="46" customFormat="false" ht="15" hidden="false" customHeight="false" outlineLevel="0" collapsed="false">
      <c r="A46" s="16"/>
      <c r="B46" s="16"/>
      <c r="C46" s="16"/>
      <c r="D46" s="16"/>
      <c r="E46" s="16"/>
      <c r="F46" s="16"/>
      <c r="G46" s="13"/>
      <c r="H46" s="13"/>
      <c r="I46" s="15" t="str">
        <f aca="false">IF(E46="","",E46*(52-N(F46)-Settings!$B$6))</f>
        <v/>
      </c>
      <c r="J46" s="11"/>
      <c r="K46" s="16"/>
    </row>
    <row r="47" customFormat="false" ht="15" hidden="false" customHeight="false" outlineLevel="0" collapsed="false">
      <c r="A47" s="16"/>
      <c r="B47" s="16"/>
      <c r="C47" s="16"/>
      <c r="D47" s="16"/>
      <c r="E47" s="16"/>
      <c r="F47" s="16"/>
      <c r="G47" s="13"/>
      <c r="H47" s="13"/>
      <c r="I47" s="15" t="str">
        <f aca="false">IF(E47="","",E47*(52-N(F47)-Settings!$B$6))</f>
        <v/>
      </c>
      <c r="J47" s="11"/>
      <c r="K47" s="16"/>
    </row>
    <row r="48" customFormat="false" ht="15" hidden="false" customHeight="false" outlineLevel="0" collapsed="false">
      <c r="A48" s="16"/>
      <c r="B48" s="16"/>
      <c r="C48" s="16"/>
      <c r="D48" s="16"/>
      <c r="E48" s="16"/>
      <c r="F48" s="16"/>
      <c r="G48" s="13"/>
      <c r="H48" s="13"/>
      <c r="I48" s="15" t="str">
        <f aca="false">IF(E48="","",E48*(52-N(F48)-Settings!$B$6))</f>
        <v/>
      </c>
      <c r="J48" s="11"/>
      <c r="K48" s="16"/>
    </row>
    <row r="49" customFormat="false" ht="15" hidden="false" customHeight="false" outlineLevel="0" collapsed="false">
      <c r="A49" s="16"/>
      <c r="B49" s="16"/>
      <c r="C49" s="16"/>
      <c r="D49" s="16"/>
      <c r="E49" s="16"/>
      <c r="F49" s="16"/>
      <c r="G49" s="13"/>
      <c r="H49" s="13"/>
      <c r="I49" s="15" t="str">
        <f aca="false">IF(E49="","",E49*(52-N(F49)-Settings!$B$6))</f>
        <v/>
      </c>
      <c r="J49" s="11"/>
      <c r="K49" s="16"/>
    </row>
    <row r="50" customFormat="false" ht="15" hidden="false" customHeight="false" outlineLevel="0" collapsed="false">
      <c r="A50" s="16"/>
      <c r="B50" s="16"/>
      <c r="C50" s="16"/>
      <c r="D50" s="16"/>
      <c r="E50" s="16"/>
      <c r="F50" s="16"/>
      <c r="G50" s="13"/>
      <c r="H50" s="13"/>
      <c r="I50" s="15" t="str">
        <f aca="false">IF(E50="","",E50*(52-N(F50)-Settings!$B$6))</f>
        <v/>
      </c>
      <c r="J50" s="11"/>
      <c r="K50" s="16"/>
    </row>
    <row r="51" customFormat="false" ht="15" hidden="false" customHeight="false" outlineLevel="0" collapsed="false">
      <c r="A51" s="16"/>
      <c r="B51" s="16"/>
      <c r="C51" s="16"/>
      <c r="D51" s="16"/>
      <c r="E51" s="16"/>
      <c r="F51" s="16"/>
      <c r="G51" s="13"/>
      <c r="H51" s="13"/>
      <c r="I51" s="15" t="str">
        <f aca="false">IF(E51="","",E51*(52-N(F51)-Settings!$B$6))</f>
        <v/>
      </c>
      <c r="J51" s="11"/>
      <c r="K51" s="16"/>
    </row>
    <row r="52" customFormat="false" ht="15" hidden="false" customHeight="false" outlineLevel="0" collapsed="false">
      <c r="A52" s="16"/>
      <c r="B52" s="16"/>
      <c r="C52" s="16"/>
      <c r="D52" s="16"/>
      <c r="E52" s="16"/>
      <c r="F52" s="16"/>
      <c r="G52" s="13"/>
      <c r="H52" s="13"/>
      <c r="I52" s="15" t="str">
        <f aca="false">IF(E52="","",E52*(52-N(F52)-Settings!$B$6))</f>
        <v/>
      </c>
      <c r="J52" s="11"/>
      <c r="K52" s="16"/>
    </row>
    <row r="53" customFormat="false" ht="15" hidden="false" customHeight="false" outlineLevel="0" collapsed="false">
      <c r="A53" s="16"/>
      <c r="B53" s="16"/>
      <c r="C53" s="16"/>
      <c r="D53" s="16"/>
      <c r="E53" s="16"/>
      <c r="F53" s="16"/>
      <c r="G53" s="13"/>
      <c r="H53" s="13"/>
      <c r="I53" s="15" t="str">
        <f aca="false">IF(E53="","",E53*(52-N(F53)-Settings!$B$6))</f>
        <v/>
      </c>
      <c r="J53" s="11"/>
      <c r="K53" s="16"/>
    </row>
    <row r="54" customFormat="false" ht="15" hidden="false" customHeight="false" outlineLevel="0" collapsed="false">
      <c r="A54" s="16"/>
      <c r="B54" s="16"/>
      <c r="C54" s="16"/>
      <c r="D54" s="16"/>
      <c r="E54" s="16"/>
      <c r="F54" s="16"/>
      <c r="G54" s="13"/>
      <c r="H54" s="13"/>
      <c r="I54" s="15" t="str">
        <f aca="false">IF(E54="","",E54*(52-N(F54)-Settings!$B$6))</f>
        <v/>
      </c>
      <c r="J54" s="11"/>
      <c r="K54" s="16"/>
    </row>
    <row r="55" customFormat="false" ht="15" hidden="false" customHeight="false" outlineLevel="0" collapsed="false">
      <c r="A55" s="16"/>
      <c r="B55" s="16"/>
      <c r="C55" s="16"/>
      <c r="D55" s="16"/>
      <c r="E55" s="16"/>
      <c r="F55" s="16"/>
      <c r="G55" s="13"/>
      <c r="H55" s="13"/>
      <c r="I55" s="15" t="str">
        <f aca="false">IF(E55="","",E55*(52-N(F55)-Settings!$B$6))</f>
        <v/>
      </c>
      <c r="J55" s="11"/>
      <c r="K55" s="16"/>
    </row>
    <row r="56" customFormat="false" ht="15" hidden="false" customHeight="false" outlineLevel="0" collapsed="false">
      <c r="A56" s="16"/>
      <c r="B56" s="16"/>
      <c r="C56" s="16"/>
      <c r="D56" s="16"/>
      <c r="E56" s="16"/>
      <c r="F56" s="16"/>
      <c r="G56" s="13"/>
      <c r="H56" s="13"/>
      <c r="I56" s="15" t="str">
        <f aca="false">IF(E56="","",E56*(52-N(F56)-Settings!$B$6))</f>
        <v/>
      </c>
      <c r="J56" s="11"/>
      <c r="K56" s="16"/>
    </row>
    <row r="57" customFormat="false" ht="15" hidden="false" customHeight="false" outlineLevel="0" collapsed="false">
      <c r="A57" s="16"/>
      <c r="B57" s="16"/>
      <c r="C57" s="16"/>
      <c r="D57" s="16"/>
      <c r="E57" s="16"/>
      <c r="F57" s="16"/>
      <c r="G57" s="13"/>
      <c r="H57" s="13"/>
      <c r="I57" s="15" t="str">
        <f aca="false">IF(E57="","",E57*(52-N(F57)-Settings!$B$6))</f>
        <v/>
      </c>
      <c r="J57" s="11"/>
      <c r="K57" s="16"/>
    </row>
    <row r="58" customFormat="false" ht="15" hidden="false" customHeight="false" outlineLevel="0" collapsed="false">
      <c r="A58" s="16"/>
      <c r="B58" s="16"/>
      <c r="C58" s="16"/>
      <c r="D58" s="16"/>
      <c r="E58" s="16"/>
      <c r="F58" s="16"/>
      <c r="G58" s="13"/>
      <c r="H58" s="13"/>
      <c r="I58" s="15" t="str">
        <f aca="false">IF(E58="","",E58*(52-N(F58)-Settings!$B$6))</f>
        <v/>
      </c>
      <c r="J58" s="11"/>
      <c r="K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3"/>
      <c r="H59" s="13"/>
      <c r="I59" s="15" t="str">
        <f aca="false">IF(E59="","",E59*(52-N(F59)-Settings!$B$6))</f>
        <v/>
      </c>
      <c r="J59" s="11"/>
      <c r="K59" s="16"/>
    </row>
    <row r="60" customFormat="false" ht="15" hidden="false" customHeight="false" outlineLevel="0" collapsed="false">
      <c r="A60" s="16"/>
      <c r="B60" s="16"/>
      <c r="C60" s="16"/>
      <c r="D60" s="16"/>
      <c r="E60" s="16"/>
      <c r="F60" s="16"/>
      <c r="G60" s="13"/>
      <c r="H60" s="13"/>
      <c r="I60" s="15" t="str">
        <f aca="false">IF(E60="","",E60*(52-N(F60)-Settings!$B$6))</f>
        <v/>
      </c>
      <c r="J60" s="11"/>
      <c r="K60" s="16"/>
    </row>
    <row r="61" customFormat="false" ht="15" hidden="false" customHeight="false" outlineLevel="0" collapsed="false">
      <c r="A61" s="16"/>
      <c r="B61" s="16"/>
      <c r="C61" s="16"/>
      <c r="D61" s="16"/>
      <c r="E61" s="16"/>
      <c r="F61" s="16"/>
      <c r="G61" s="13"/>
      <c r="H61" s="13"/>
      <c r="I61" s="15" t="str">
        <f aca="false">IF(E61="","",E61*(52-N(F61)-Settings!$B$6))</f>
        <v/>
      </c>
      <c r="J61" s="11"/>
      <c r="K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3"/>
      <c r="H62" s="13"/>
      <c r="I62" s="15" t="str">
        <f aca="false">IF(E62="","",E62*(52-N(F62)-Settings!$B$6))</f>
        <v/>
      </c>
      <c r="J62" s="11"/>
      <c r="K62" s="16"/>
    </row>
    <row r="63" customFormat="false" ht="15" hidden="false" customHeight="false" outlineLevel="0" collapsed="false">
      <c r="A63" s="16"/>
      <c r="B63" s="16"/>
      <c r="C63" s="16"/>
      <c r="D63" s="16"/>
      <c r="E63" s="16"/>
      <c r="F63" s="16"/>
      <c r="G63" s="13"/>
      <c r="H63" s="13"/>
      <c r="I63" s="15" t="str">
        <f aca="false">IF(E63="","",E63*(52-N(F63)-Settings!$B$6))</f>
        <v/>
      </c>
      <c r="J63" s="11"/>
      <c r="K63" s="16"/>
    </row>
    <row r="64" customFormat="false" ht="15" hidden="false" customHeight="false" outlineLevel="0" collapsed="false">
      <c r="A64" s="16"/>
      <c r="B64" s="16"/>
      <c r="C64" s="16"/>
      <c r="D64" s="16"/>
      <c r="E64" s="16"/>
      <c r="F64" s="16"/>
      <c r="G64" s="13"/>
      <c r="H64" s="13"/>
      <c r="I64" s="15" t="str">
        <f aca="false">IF(E64="","",E64*(52-N(F64)-Settings!$B$6))</f>
        <v/>
      </c>
      <c r="J64" s="11"/>
      <c r="K64" s="16"/>
    </row>
  </sheetData>
  <dataValidations count="2">
    <dataValidation allowBlank="true" errorStyle="stop" operator="between" showDropDown="false" showErrorMessage="false" showInputMessage="false" sqref="B5:B64" type="list">
      <formula1>"Analyst,Senior analyst,Reviewer,Supervisor,Technician"</formula1>
      <formula2>0</formula2>
    </dataValidation>
    <dataValidation allowBlank="true" errorStyle="stop" operator="between" showDropDown="false" showErrorMessage="false" showInputMessage="false" sqref="C5:C6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M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4" customFormat="false" ht="45" hidden="false" customHeight="true" outlineLevel="0" collapsed="false">
      <c r="A4" s="7" t="s">
        <v>181</v>
      </c>
      <c r="B4" s="7" t="s">
        <v>182</v>
      </c>
      <c r="C4" s="7" t="s">
        <v>183</v>
      </c>
      <c r="D4" s="7" t="s">
        <v>184</v>
      </c>
      <c r="E4" s="7" t="s">
        <v>185</v>
      </c>
      <c r="F4" s="7" t="s">
        <v>186</v>
      </c>
      <c r="G4" s="7" t="s">
        <v>187</v>
      </c>
      <c r="H4" s="7" t="s">
        <v>162</v>
      </c>
      <c r="I4" s="7" t="s">
        <v>188</v>
      </c>
      <c r="J4" s="7" t="s">
        <v>189</v>
      </c>
      <c r="K4" s="7" t="s">
        <v>190</v>
      </c>
      <c r="L4" s="7" t="s">
        <v>191</v>
      </c>
      <c r="M4" s="7" t="s">
        <v>178</v>
      </c>
    </row>
    <row r="5" customFormat="false" ht="15" hidden="false" customHeight="false" outlineLevel="0" collapsed="false">
      <c r="A5" s="10" t="s">
        <v>192</v>
      </c>
      <c r="B5" s="10" t="s">
        <v>193</v>
      </c>
      <c r="C5" s="10" t="n">
        <v>2</v>
      </c>
      <c r="D5" s="16" t="s">
        <v>194</v>
      </c>
      <c r="E5" s="16" t="s">
        <v>195</v>
      </c>
      <c r="F5" s="11"/>
      <c r="G5" s="11"/>
      <c r="H5" s="16" t="s">
        <v>196</v>
      </c>
      <c r="I5" s="11"/>
      <c r="J5" s="11"/>
      <c r="K5" s="19" t="n">
        <f aca="false">IF(I5="",N(F5)*(1+Settings!$B$7),I5)</f>
        <v>0</v>
      </c>
      <c r="L5" s="19" t="n">
        <f aca="false">IF(J5="",N(G5)*(1+Settings!$B$7),J5)</f>
        <v>0</v>
      </c>
      <c r="M5" s="16"/>
    </row>
    <row r="6" customFormat="false" ht="15" hidden="false" customHeight="false" outlineLevel="0" collapsed="false">
      <c r="A6" s="10" t="s">
        <v>197</v>
      </c>
      <c r="B6" s="10" t="s">
        <v>193</v>
      </c>
      <c r="C6" s="10" t="n">
        <v>2</v>
      </c>
      <c r="D6" s="16" t="s">
        <v>194</v>
      </c>
      <c r="E6" s="16" t="s">
        <v>195</v>
      </c>
      <c r="F6" s="11"/>
      <c r="G6" s="11"/>
      <c r="H6" s="16" t="s">
        <v>196</v>
      </c>
      <c r="I6" s="11"/>
      <c r="J6" s="11"/>
      <c r="K6" s="19" t="n">
        <f aca="false">IF(I6="",N(F6)*(1+Settings!$B$7),I6)</f>
        <v>0</v>
      </c>
      <c r="L6" s="19" t="n">
        <f aca="false">IF(J6="",N(G6)*(1+Settings!$B$7),J6)</f>
        <v>0</v>
      </c>
      <c r="M6" s="16"/>
    </row>
    <row r="7" customFormat="false" ht="15" hidden="false" customHeight="false" outlineLevel="0" collapsed="false">
      <c r="A7" s="10" t="s">
        <v>198</v>
      </c>
      <c r="B7" s="10" t="s">
        <v>193</v>
      </c>
      <c r="C7" s="10" t="n">
        <v>2</v>
      </c>
      <c r="D7" s="16" t="s">
        <v>194</v>
      </c>
      <c r="E7" s="16" t="s">
        <v>195</v>
      </c>
      <c r="F7" s="11"/>
      <c r="G7" s="11"/>
      <c r="H7" s="16" t="s">
        <v>196</v>
      </c>
      <c r="I7" s="11"/>
      <c r="J7" s="11"/>
      <c r="K7" s="19" t="n">
        <f aca="false">IF(I7="",N(F7)*(1+Settings!$B$7),I7)</f>
        <v>0</v>
      </c>
      <c r="L7" s="19" t="n">
        <f aca="false">IF(J7="",N(G7)*(1+Settings!$B$7),J7)</f>
        <v>0</v>
      </c>
      <c r="M7" s="16"/>
    </row>
    <row r="8" customFormat="false" ht="15" hidden="false" customHeight="false" outlineLevel="0" collapsed="false">
      <c r="A8" s="10" t="s">
        <v>199</v>
      </c>
      <c r="B8" s="10" t="s">
        <v>200</v>
      </c>
      <c r="C8" s="10" t="n">
        <v>1</v>
      </c>
      <c r="D8" s="16" t="s">
        <v>194</v>
      </c>
      <c r="E8" s="16" t="s">
        <v>201</v>
      </c>
      <c r="F8" s="11"/>
      <c r="G8" s="11"/>
      <c r="H8" s="16" t="s">
        <v>196</v>
      </c>
      <c r="I8" s="11"/>
      <c r="J8" s="11"/>
      <c r="K8" s="19" t="n">
        <f aca="false">IF(I8="",N(F8)*(1+Settings!$B$7),I8)</f>
        <v>0</v>
      </c>
      <c r="L8" s="19" t="n">
        <f aca="false">IF(J8="",N(G8)*(1+Settings!$B$7),J8)</f>
        <v>0</v>
      </c>
      <c r="M8" s="16"/>
    </row>
    <row r="9" customFormat="false" ht="15" hidden="false" customHeight="false" outlineLevel="0" collapsed="false">
      <c r="A9" s="10" t="s">
        <v>202</v>
      </c>
      <c r="B9" s="10" t="s">
        <v>200</v>
      </c>
      <c r="C9" s="10" t="n">
        <v>1</v>
      </c>
      <c r="D9" s="16" t="s">
        <v>194</v>
      </c>
      <c r="E9" s="16" t="s">
        <v>201</v>
      </c>
      <c r="F9" s="11"/>
      <c r="G9" s="11"/>
      <c r="H9" s="16" t="s">
        <v>196</v>
      </c>
      <c r="I9" s="11"/>
      <c r="J9" s="11"/>
      <c r="K9" s="19" t="n">
        <f aca="false">IF(I9="",N(F9)*(1+Settings!$B$7),I9)</f>
        <v>0</v>
      </c>
      <c r="L9" s="19" t="n">
        <f aca="false">IF(J9="",N(G9)*(1+Settings!$B$7),J9)</f>
        <v>0</v>
      </c>
      <c r="M9" s="16"/>
    </row>
    <row r="10" customFormat="false" ht="15" hidden="false" customHeight="false" outlineLevel="0" collapsed="false">
      <c r="A10" s="10" t="s">
        <v>203</v>
      </c>
      <c r="B10" s="10" t="s">
        <v>200</v>
      </c>
      <c r="C10" s="10" t="n">
        <v>1</v>
      </c>
      <c r="D10" s="16" t="s">
        <v>194</v>
      </c>
      <c r="E10" s="16" t="s">
        <v>201</v>
      </c>
      <c r="F10" s="11"/>
      <c r="G10" s="11"/>
      <c r="H10" s="16" t="s">
        <v>196</v>
      </c>
      <c r="I10" s="11"/>
      <c r="J10" s="11"/>
      <c r="K10" s="19" t="n">
        <f aca="false">IF(I10="",N(F10)*(1+Settings!$B$7),I10)</f>
        <v>0</v>
      </c>
      <c r="L10" s="19" t="n">
        <f aca="false">IF(J10="",N(G10)*(1+Settings!$B$7),J10)</f>
        <v>0</v>
      </c>
      <c r="M10" s="16"/>
    </row>
    <row r="11" customFormat="false" ht="15" hidden="false" customHeight="false" outlineLevel="0" collapsed="false">
      <c r="A11" s="10" t="s">
        <v>204</v>
      </c>
      <c r="B11" s="10" t="s">
        <v>205</v>
      </c>
      <c r="C11" s="10" t="n">
        <v>1</v>
      </c>
      <c r="D11" s="16" t="s">
        <v>194</v>
      </c>
      <c r="E11" s="16" t="s">
        <v>206</v>
      </c>
      <c r="F11" s="11"/>
      <c r="G11" s="11"/>
      <c r="H11" s="16" t="s">
        <v>196</v>
      </c>
      <c r="I11" s="11"/>
      <c r="J11" s="11"/>
      <c r="K11" s="19" t="n">
        <f aca="false">IF(I11="",N(F11)*(1+Settings!$B$7),I11)</f>
        <v>0</v>
      </c>
      <c r="L11" s="19" t="n">
        <f aca="false">IF(J11="",N(G11)*(1+Settings!$B$7),J11)</f>
        <v>0</v>
      </c>
      <c r="M11" s="16"/>
    </row>
    <row r="12" customFormat="false" ht="15" hidden="false" customHeight="false" outlineLevel="0" collapsed="false">
      <c r="A12" s="10" t="s">
        <v>207</v>
      </c>
      <c r="B12" s="10" t="s">
        <v>205</v>
      </c>
      <c r="C12" s="10" t="n">
        <v>1</v>
      </c>
      <c r="D12" s="16" t="s">
        <v>194</v>
      </c>
      <c r="E12" s="16" t="s">
        <v>206</v>
      </c>
      <c r="F12" s="11"/>
      <c r="G12" s="11"/>
      <c r="H12" s="16" t="s">
        <v>196</v>
      </c>
      <c r="I12" s="11"/>
      <c r="J12" s="11"/>
      <c r="K12" s="19" t="n">
        <f aca="false">IF(I12="",N(F12)*(1+Settings!$B$7),I12)</f>
        <v>0</v>
      </c>
      <c r="L12" s="19" t="n">
        <f aca="false">IF(J12="",N(G12)*(1+Settings!$B$7),J12)</f>
        <v>0</v>
      </c>
      <c r="M12" s="16"/>
    </row>
    <row r="13" customFormat="false" ht="15" hidden="false" customHeight="false" outlineLevel="0" collapsed="false">
      <c r="A13" s="10" t="s">
        <v>208</v>
      </c>
      <c r="B13" s="10" t="s">
        <v>209</v>
      </c>
      <c r="C13" s="10" t="n">
        <v>1</v>
      </c>
      <c r="D13" s="16" t="s">
        <v>194</v>
      </c>
      <c r="E13" s="16" t="s">
        <v>210</v>
      </c>
      <c r="F13" s="11"/>
      <c r="G13" s="11"/>
      <c r="H13" s="16" t="s">
        <v>196</v>
      </c>
      <c r="I13" s="11"/>
      <c r="J13" s="11"/>
      <c r="K13" s="19" t="n">
        <f aca="false">IF(I13="",N(F13)*(1+Settings!$B$7),I13)</f>
        <v>0</v>
      </c>
      <c r="L13" s="19" t="n">
        <f aca="false">IF(J13="",N(G13)*(1+Settings!$B$7),J13)</f>
        <v>0</v>
      </c>
      <c r="M13" s="16"/>
    </row>
    <row r="14" customFormat="false" ht="15" hidden="false" customHeight="false" outlineLevel="0" collapsed="false">
      <c r="A14" s="10" t="s">
        <v>211</v>
      </c>
      <c r="B14" s="10" t="s">
        <v>209</v>
      </c>
      <c r="C14" s="10" t="n">
        <v>1</v>
      </c>
      <c r="D14" s="16" t="s">
        <v>194</v>
      </c>
      <c r="E14" s="16" t="s">
        <v>210</v>
      </c>
      <c r="F14" s="11"/>
      <c r="G14" s="11"/>
      <c r="H14" s="16" t="s">
        <v>196</v>
      </c>
      <c r="I14" s="11"/>
      <c r="J14" s="11"/>
      <c r="K14" s="19" t="n">
        <f aca="false">IF(I14="",N(F14)*(1+Settings!$B$7),I14)</f>
        <v>0</v>
      </c>
      <c r="L14" s="19" t="n">
        <f aca="false">IF(J14="",N(G14)*(1+Settings!$B$7),J14)</f>
        <v>0</v>
      </c>
      <c r="M14" s="16"/>
    </row>
    <row r="15" customFormat="false" ht="15" hidden="false" customHeight="false" outlineLevel="0" collapsed="false">
      <c r="A15" s="10" t="s">
        <v>212</v>
      </c>
      <c r="B15" s="10" t="s">
        <v>209</v>
      </c>
      <c r="C15" s="10" t="n">
        <v>1</v>
      </c>
      <c r="D15" s="16" t="s">
        <v>194</v>
      </c>
      <c r="E15" s="16" t="s">
        <v>210</v>
      </c>
      <c r="F15" s="11"/>
      <c r="G15" s="11"/>
      <c r="H15" s="16" t="s">
        <v>196</v>
      </c>
      <c r="I15" s="11"/>
      <c r="J15" s="11"/>
      <c r="K15" s="19" t="n">
        <f aca="false">IF(I15="",N(F15)*(1+Settings!$B$7),I15)</f>
        <v>0</v>
      </c>
      <c r="L15" s="19" t="n">
        <f aca="false">IF(J15="",N(G15)*(1+Settings!$B$7),J15)</f>
        <v>0</v>
      </c>
      <c r="M15" s="16"/>
    </row>
    <row r="16" customFormat="false" ht="15" hidden="false" customHeight="false" outlineLevel="0" collapsed="false">
      <c r="A16" s="10" t="s">
        <v>213</v>
      </c>
      <c r="B16" s="10" t="s">
        <v>214</v>
      </c>
      <c r="C16" s="10" t="n">
        <v>2</v>
      </c>
      <c r="D16" s="16" t="s">
        <v>194</v>
      </c>
      <c r="E16" s="16" t="s">
        <v>215</v>
      </c>
      <c r="F16" s="11"/>
      <c r="G16" s="11"/>
      <c r="H16" s="16" t="s">
        <v>196</v>
      </c>
      <c r="I16" s="11"/>
      <c r="J16" s="11"/>
      <c r="K16" s="19" t="n">
        <f aca="false">IF(I16="",N(F16)*(1+Settings!$B$7),I16)</f>
        <v>0</v>
      </c>
      <c r="L16" s="19" t="n">
        <f aca="false">IF(J16="",N(G16)*(1+Settings!$B$7),J16)</f>
        <v>0</v>
      </c>
      <c r="M16" s="16"/>
    </row>
    <row r="17" customFormat="false" ht="15" hidden="false" customHeight="false" outlineLevel="0" collapsed="false">
      <c r="A17" s="10" t="s">
        <v>216</v>
      </c>
      <c r="B17" s="10" t="s">
        <v>214</v>
      </c>
      <c r="C17" s="10" t="n">
        <v>2</v>
      </c>
      <c r="D17" s="16" t="s">
        <v>194</v>
      </c>
      <c r="E17" s="16" t="s">
        <v>215</v>
      </c>
      <c r="F17" s="11"/>
      <c r="G17" s="11"/>
      <c r="H17" s="16" t="s">
        <v>196</v>
      </c>
      <c r="I17" s="11"/>
      <c r="J17" s="11"/>
      <c r="K17" s="19" t="n">
        <f aca="false">IF(I17="",N(F17)*(1+Settings!$B$7),I17)</f>
        <v>0</v>
      </c>
      <c r="L17" s="19" t="n">
        <f aca="false">IF(J17="",N(G17)*(1+Settings!$B$7),J17)</f>
        <v>0</v>
      </c>
      <c r="M17" s="16"/>
    </row>
    <row r="18" customFormat="false" ht="15" hidden="false" customHeight="false" outlineLevel="0" collapsed="false">
      <c r="A18" s="10" t="s">
        <v>217</v>
      </c>
      <c r="B18" s="10" t="s">
        <v>214</v>
      </c>
      <c r="C18" s="10" t="n">
        <v>2</v>
      </c>
      <c r="D18" s="16" t="s">
        <v>194</v>
      </c>
      <c r="E18" s="16" t="s">
        <v>215</v>
      </c>
      <c r="F18" s="11"/>
      <c r="G18" s="11"/>
      <c r="H18" s="16" t="s">
        <v>196</v>
      </c>
      <c r="I18" s="11"/>
      <c r="J18" s="11"/>
      <c r="K18" s="19" t="n">
        <f aca="false">IF(I18="",N(F18)*(1+Settings!$B$7),I18)</f>
        <v>0</v>
      </c>
      <c r="L18" s="19" t="n">
        <f aca="false">IF(J18="",N(G18)*(1+Settings!$B$7),J18)</f>
        <v>0</v>
      </c>
      <c r="M18" s="16"/>
    </row>
    <row r="19" customFormat="false" ht="15" hidden="false" customHeight="false" outlineLevel="0" collapsed="false">
      <c r="A19" s="10" t="s">
        <v>218</v>
      </c>
      <c r="B19" s="10" t="s">
        <v>214</v>
      </c>
      <c r="C19" s="10" t="n">
        <v>2</v>
      </c>
      <c r="D19" s="16" t="s">
        <v>194</v>
      </c>
      <c r="E19" s="16" t="s">
        <v>215</v>
      </c>
      <c r="F19" s="11"/>
      <c r="G19" s="11"/>
      <c r="H19" s="16" t="s">
        <v>196</v>
      </c>
      <c r="I19" s="11"/>
      <c r="J19" s="11"/>
      <c r="K19" s="19" t="n">
        <f aca="false">IF(I19="",N(F19)*(1+Settings!$B$7),I19)</f>
        <v>0</v>
      </c>
      <c r="L19" s="19" t="n">
        <f aca="false">IF(J19="",N(G19)*(1+Settings!$B$7),J19)</f>
        <v>0</v>
      </c>
      <c r="M19" s="16"/>
    </row>
    <row r="20" customFormat="false" ht="15" hidden="false" customHeight="false" outlineLevel="0" collapsed="false">
      <c r="A20" s="10" t="s">
        <v>219</v>
      </c>
      <c r="B20" s="10" t="s">
        <v>220</v>
      </c>
      <c r="C20" s="10" t="n">
        <v>2</v>
      </c>
      <c r="D20" s="16" t="s">
        <v>194</v>
      </c>
      <c r="E20" s="16" t="s">
        <v>221</v>
      </c>
      <c r="F20" s="11"/>
      <c r="G20" s="11"/>
      <c r="H20" s="16" t="s">
        <v>196</v>
      </c>
      <c r="I20" s="11"/>
      <c r="J20" s="11"/>
      <c r="K20" s="19" t="n">
        <f aca="false">IF(I20="",N(F20)*(1+Settings!$B$7),I20)</f>
        <v>0</v>
      </c>
      <c r="L20" s="19" t="n">
        <f aca="false">IF(J20="",N(G20)*(1+Settings!$B$7),J20)</f>
        <v>0</v>
      </c>
      <c r="M20" s="16"/>
    </row>
    <row r="21" customFormat="false" ht="15" hidden="false" customHeight="false" outlineLevel="0" collapsed="false">
      <c r="A21" s="10" t="s">
        <v>222</v>
      </c>
      <c r="B21" s="10" t="s">
        <v>220</v>
      </c>
      <c r="C21" s="10" t="n">
        <v>2</v>
      </c>
      <c r="D21" s="16" t="s">
        <v>194</v>
      </c>
      <c r="E21" s="16" t="s">
        <v>221</v>
      </c>
      <c r="F21" s="11"/>
      <c r="G21" s="11"/>
      <c r="H21" s="16" t="s">
        <v>196</v>
      </c>
      <c r="I21" s="11"/>
      <c r="J21" s="11"/>
      <c r="K21" s="19" t="n">
        <f aca="false">IF(I21="",N(F21)*(1+Settings!$B$7),I21)</f>
        <v>0</v>
      </c>
      <c r="L21" s="19" t="n">
        <f aca="false">IF(J21="",N(G21)*(1+Settings!$B$7),J21)</f>
        <v>0</v>
      </c>
      <c r="M21" s="16"/>
    </row>
    <row r="22" customFormat="false" ht="15" hidden="false" customHeight="false" outlineLevel="0" collapsed="false">
      <c r="A22" s="10" t="s">
        <v>223</v>
      </c>
      <c r="B22" s="10" t="s">
        <v>220</v>
      </c>
      <c r="C22" s="10" t="n">
        <v>2</v>
      </c>
      <c r="D22" s="16" t="s">
        <v>194</v>
      </c>
      <c r="E22" s="16" t="s">
        <v>221</v>
      </c>
      <c r="F22" s="11"/>
      <c r="G22" s="11"/>
      <c r="H22" s="16" t="s">
        <v>196</v>
      </c>
      <c r="I22" s="11"/>
      <c r="J22" s="11"/>
      <c r="K22" s="19" t="n">
        <f aca="false">IF(I22="",N(F22)*(1+Settings!$B$7),I22)</f>
        <v>0</v>
      </c>
      <c r="L22" s="19" t="n">
        <f aca="false">IF(J22="",N(G22)*(1+Settings!$B$7),J22)</f>
        <v>0</v>
      </c>
      <c r="M22" s="16"/>
    </row>
    <row r="23" customFormat="false" ht="15" hidden="false" customHeight="false" outlineLevel="0" collapsed="false">
      <c r="A23" s="10" t="s">
        <v>224</v>
      </c>
      <c r="B23" s="10" t="s">
        <v>225</v>
      </c>
      <c r="C23" s="10" t="n">
        <v>1</v>
      </c>
      <c r="D23" s="16" t="s">
        <v>226</v>
      </c>
      <c r="E23" s="16" t="s">
        <v>227</v>
      </c>
      <c r="F23" s="11"/>
      <c r="G23" s="11"/>
      <c r="H23" s="16" t="s">
        <v>196</v>
      </c>
      <c r="I23" s="11"/>
      <c r="J23" s="11"/>
      <c r="K23" s="19" t="n">
        <f aca="false">IF(I23="",N(F23)*(1+Settings!$B$7),I23)</f>
        <v>0</v>
      </c>
      <c r="L23" s="19" t="n">
        <f aca="false">IF(J23="",N(G23)*(1+Settings!$B$7),J23)</f>
        <v>0</v>
      </c>
      <c r="M23" s="16"/>
    </row>
    <row r="24" customFormat="false" ht="15" hidden="false" customHeight="false" outlineLevel="0" collapsed="false">
      <c r="A24" s="10" t="s">
        <v>228</v>
      </c>
      <c r="B24" s="10" t="s">
        <v>225</v>
      </c>
      <c r="C24" s="10" t="n">
        <v>1</v>
      </c>
      <c r="D24" s="16" t="s">
        <v>226</v>
      </c>
      <c r="E24" s="16" t="s">
        <v>227</v>
      </c>
      <c r="F24" s="11"/>
      <c r="G24" s="11"/>
      <c r="H24" s="16" t="s">
        <v>196</v>
      </c>
      <c r="I24" s="11"/>
      <c r="J24" s="11"/>
      <c r="K24" s="19" t="n">
        <f aca="false">IF(I24="",N(F24)*(1+Settings!$B$7),I24)</f>
        <v>0</v>
      </c>
      <c r="L24" s="19" t="n">
        <f aca="false">IF(J24="",N(G24)*(1+Settings!$B$7),J24)</f>
        <v>0</v>
      </c>
      <c r="M24" s="16"/>
    </row>
    <row r="25" customFormat="false" ht="15" hidden="false" customHeight="false" outlineLevel="0" collapsed="false">
      <c r="A25" s="10" t="s">
        <v>229</v>
      </c>
      <c r="B25" s="10" t="s">
        <v>230</v>
      </c>
      <c r="C25" s="10" t="n">
        <v>1</v>
      </c>
      <c r="D25" s="16" t="s">
        <v>194</v>
      </c>
      <c r="E25" s="16" t="s">
        <v>231</v>
      </c>
      <c r="F25" s="11"/>
      <c r="G25" s="11"/>
      <c r="H25" s="16" t="s">
        <v>196</v>
      </c>
      <c r="I25" s="11"/>
      <c r="J25" s="11"/>
      <c r="K25" s="19" t="n">
        <f aca="false">IF(I25="",N(F25)*(1+Settings!$B$7),I25)</f>
        <v>0</v>
      </c>
      <c r="L25" s="19" t="n">
        <f aca="false">IF(J25="",N(G25)*(1+Settings!$B$7),J25)</f>
        <v>0</v>
      </c>
      <c r="M25" s="16"/>
    </row>
    <row r="26" customFormat="false" ht="15" hidden="false" customHeight="false" outlineLevel="0" collapsed="false">
      <c r="A26" s="10" t="s">
        <v>232</v>
      </c>
      <c r="B26" s="10" t="s">
        <v>230</v>
      </c>
      <c r="C26" s="10" t="n">
        <v>1</v>
      </c>
      <c r="D26" s="16" t="s">
        <v>194</v>
      </c>
      <c r="E26" s="16" t="s">
        <v>231</v>
      </c>
      <c r="F26" s="11"/>
      <c r="G26" s="11"/>
      <c r="H26" s="16" t="s">
        <v>196</v>
      </c>
      <c r="I26" s="11"/>
      <c r="J26" s="11"/>
      <c r="K26" s="19" t="n">
        <f aca="false">IF(I26="",N(F26)*(1+Settings!$B$7),I26)</f>
        <v>0</v>
      </c>
      <c r="L26" s="19" t="n">
        <f aca="false">IF(J26="",N(G26)*(1+Settings!$B$7),J26)</f>
        <v>0</v>
      </c>
      <c r="M26" s="16"/>
    </row>
    <row r="27" customFormat="false" ht="15" hidden="false" customHeight="false" outlineLevel="0" collapsed="false">
      <c r="A27" s="10" t="s">
        <v>233</v>
      </c>
      <c r="B27" s="10" t="s">
        <v>234</v>
      </c>
      <c r="C27" s="10" t="n">
        <v>1</v>
      </c>
      <c r="D27" s="16" t="s">
        <v>194</v>
      </c>
      <c r="E27" s="16" t="s">
        <v>235</v>
      </c>
      <c r="F27" s="11"/>
      <c r="G27" s="11"/>
      <c r="H27" s="16" t="s">
        <v>196</v>
      </c>
      <c r="I27" s="11"/>
      <c r="J27" s="11"/>
      <c r="K27" s="19" t="n">
        <f aca="false">IF(I27="",N(F27)*(1+Settings!$B$7),I27)</f>
        <v>0</v>
      </c>
      <c r="L27" s="19" t="n">
        <f aca="false">IF(J27="",N(G27)*(1+Settings!$B$7),J27)</f>
        <v>0</v>
      </c>
      <c r="M27" s="16"/>
    </row>
    <row r="28" customFormat="false" ht="15" hidden="false" customHeight="false" outlineLevel="0" collapsed="false">
      <c r="A28" s="10" t="s">
        <v>236</v>
      </c>
      <c r="B28" s="10" t="s">
        <v>237</v>
      </c>
      <c r="C28" s="10" t="n">
        <v>1</v>
      </c>
      <c r="D28" s="16" t="s">
        <v>194</v>
      </c>
      <c r="E28" s="16" t="s">
        <v>238</v>
      </c>
      <c r="F28" s="11"/>
      <c r="G28" s="11"/>
      <c r="H28" s="16" t="s">
        <v>196</v>
      </c>
      <c r="I28" s="11"/>
      <c r="J28" s="11"/>
      <c r="K28" s="19" t="n">
        <f aca="false">IF(I28="",N(F28)*(1+Settings!$B$7),I28)</f>
        <v>0</v>
      </c>
      <c r="L28" s="19" t="n">
        <f aca="false">IF(J28="",N(G28)*(1+Settings!$B$7),J28)</f>
        <v>0</v>
      </c>
      <c r="M28" s="16"/>
    </row>
    <row r="29" customFormat="false" ht="15" hidden="false" customHeight="false" outlineLevel="0" collapsed="false">
      <c r="A29" s="10" t="s">
        <v>239</v>
      </c>
      <c r="B29" s="10" t="s">
        <v>240</v>
      </c>
      <c r="C29" s="10" t="n">
        <v>2</v>
      </c>
      <c r="D29" s="16" t="s">
        <v>194</v>
      </c>
      <c r="E29" s="16" t="s">
        <v>241</v>
      </c>
      <c r="F29" s="11"/>
      <c r="G29" s="11"/>
      <c r="H29" s="16" t="s">
        <v>196</v>
      </c>
      <c r="I29" s="11"/>
      <c r="J29" s="11"/>
      <c r="K29" s="19" t="n">
        <f aca="false">IF(I29="",N(F29)*(1+Settings!$B$7),I29)</f>
        <v>0</v>
      </c>
      <c r="L29" s="19" t="n">
        <f aca="false">IF(J29="",N(G29)*(1+Settings!$B$7),J29)</f>
        <v>0</v>
      </c>
      <c r="M29" s="16"/>
    </row>
    <row r="30" customFormat="false" ht="15" hidden="false" customHeight="false" outlineLevel="0" collapsed="false">
      <c r="A30" s="10" t="s">
        <v>242</v>
      </c>
      <c r="B30" s="10" t="s">
        <v>243</v>
      </c>
      <c r="C30" s="10" t="n">
        <v>1</v>
      </c>
      <c r="D30" s="16" t="s">
        <v>194</v>
      </c>
      <c r="E30" s="16" t="s">
        <v>244</v>
      </c>
      <c r="F30" s="11"/>
      <c r="G30" s="11"/>
      <c r="H30" s="16" t="s">
        <v>196</v>
      </c>
      <c r="I30" s="11"/>
      <c r="J30" s="11"/>
      <c r="K30" s="19" t="n">
        <f aca="false">IF(I30="",N(F30)*(1+Settings!$B$7),I30)</f>
        <v>0</v>
      </c>
      <c r="L30" s="19" t="n">
        <f aca="false">IF(J30="",N(G30)*(1+Settings!$B$7),J30)</f>
        <v>0</v>
      </c>
      <c r="M30" s="16"/>
    </row>
    <row r="31" customFormat="false" ht="15" hidden="false" customHeight="false" outlineLevel="0" collapsed="false">
      <c r="A31" s="10" t="s">
        <v>245</v>
      </c>
      <c r="B31" s="10" t="s">
        <v>246</v>
      </c>
      <c r="C31" s="10" t="n">
        <v>1</v>
      </c>
      <c r="D31" s="16" t="s">
        <v>194</v>
      </c>
      <c r="E31" s="16" t="s">
        <v>247</v>
      </c>
      <c r="F31" s="11"/>
      <c r="G31" s="11"/>
      <c r="H31" s="16" t="s">
        <v>196</v>
      </c>
      <c r="I31" s="11"/>
      <c r="J31" s="11"/>
      <c r="K31" s="19" t="n">
        <f aca="false">IF(I31="",N(F31)*(1+Settings!$B$7),I31)</f>
        <v>0</v>
      </c>
      <c r="L31" s="19" t="n">
        <f aca="false">IF(J31="",N(G31)*(1+Settings!$B$7),J31)</f>
        <v>0</v>
      </c>
      <c r="M31" s="16"/>
    </row>
    <row r="32" customFormat="false" ht="15" hidden="false" customHeight="false" outlineLevel="0" collapsed="false">
      <c r="A32" s="10" t="s">
        <v>248</v>
      </c>
      <c r="B32" s="10" t="s">
        <v>249</v>
      </c>
      <c r="C32" s="10" t="n">
        <v>2</v>
      </c>
      <c r="D32" s="16" t="s">
        <v>250</v>
      </c>
      <c r="E32" s="16" t="s">
        <v>251</v>
      </c>
      <c r="F32" s="11"/>
      <c r="G32" s="11"/>
      <c r="H32" s="16" t="s">
        <v>196</v>
      </c>
      <c r="I32" s="11"/>
      <c r="J32" s="11"/>
      <c r="K32" s="19" t="n">
        <f aca="false">IF(I32="",N(F32)*(1+Settings!$B$7),I32)</f>
        <v>0</v>
      </c>
      <c r="L32" s="19" t="n">
        <f aca="false">IF(J32="",N(G32)*(1+Settings!$B$7),J32)</f>
        <v>0</v>
      </c>
      <c r="M32" s="16"/>
    </row>
    <row r="33" customFormat="false" ht="15" hidden="false" customHeight="false" outlineLevel="0" collapsed="false">
      <c r="A33" s="10" t="s">
        <v>252</v>
      </c>
      <c r="B33" s="10" t="s">
        <v>253</v>
      </c>
      <c r="C33" s="10" t="n">
        <v>1</v>
      </c>
      <c r="D33" s="16" t="s">
        <v>194</v>
      </c>
      <c r="E33" s="16" t="s">
        <v>254</v>
      </c>
      <c r="F33" s="11"/>
      <c r="G33" s="11"/>
      <c r="H33" s="16" t="s">
        <v>196</v>
      </c>
      <c r="I33" s="11"/>
      <c r="J33" s="11"/>
      <c r="K33" s="19" t="n">
        <f aca="false">IF(I33="",N(F33)*(1+Settings!$B$7),I33)</f>
        <v>0</v>
      </c>
      <c r="L33" s="19" t="n">
        <f aca="false">IF(J33="",N(G33)*(1+Settings!$B$7),J33)</f>
        <v>0</v>
      </c>
      <c r="M33" s="16"/>
    </row>
    <row r="34" customFormat="false" ht="15" hidden="false" customHeight="false" outlineLevel="0" collapsed="false">
      <c r="A34" s="10" t="s">
        <v>255</v>
      </c>
      <c r="B34" s="10" t="s">
        <v>253</v>
      </c>
      <c r="C34" s="10" t="n">
        <v>1</v>
      </c>
      <c r="D34" s="16" t="s">
        <v>194</v>
      </c>
      <c r="E34" s="16" t="s">
        <v>254</v>
      </c>
      <c r="F34" s="11"/>
      <c r="G34" s="11"/>
      <c r="H34" s="16" t="s">
        <v>196</v>
      </c>
      <c r="I34" s="11"/>
      <c r="J34" s="11"/>
      <c r="K34" s="19" t="n">
        <f aca="false">IF(I34="",N(F34)*(1+Settings!$B$7),I34)</f>
        <v>0</v>
      </c>
      <c r="L34" s="19" t="n">
        <f aca="false">IF(J34="",N(G34)*(1+Settings!$B$7),J34)</f>
        <v>0</v>
      </c>
      <c r="M34" s="16"/>
    </row>
    <row r="35" customFormat="false" ht="15" hidden="false" customHeight="false" outlineLevel="0" collapsed="false">
      <c r="A35" s="10" t="s">
        <v>256</v>
      </c>
      <c r="B35" s="10" t="s">
        <v>253</v>
      </c>
      <c r="C35" s="10" t="n">
        <v>1</v>
      </c>
      <c r="D35" s="16" t="s">
        <v>194</v>
      </c>
      <c r="E35" s="16" t="s">
        <v>254</v>
      </c>
      <c r="F35" s="11"/>
      <c r="G35" s="11"/>
      <c r="H35" s="16" t="s">
        <v>196</v>
      </c>
      <c r="I35" s="11"/>
      <c r="J35" s="11"/>
      <c r="K35" s="19" t="n">
        <f aca="false">IF(I35="",N(F35)*(1+Settings!$B$7),I35)</f>
        <v>0</v>
      </c>
      <c r="L35" s="19" t="n">
        <f aca="false">IF(J35="",N(G35)*(1+Settings!$B$7),J35)</f>
        <v>0</v>
      </c>
      <c r="M35" s="16"/>
    </row>
    <row r="36" customFormat="false" ht="15" hidden="false" customHeight="false" outlineLevel="0" collapsed="false">
      <c r="A36" s="10" t="s">
        <v>257</v>
      </c>
      <c r="B36" s="10" t="s">
        <v>258</v>
      </c>
      <c r="C36" s="10" t="n">
        <v>1</v>
      </c>
      <c r="D36" s="16" t="s">
        <v>194</v>
      </c>
      <c r="E36" s="16" t="s">
        <v>259</v>
      </c>
      <c r="F36" s="11"/>
      <c r="G36" s="11"/>
      <c r="H36" s="16" t="s">
        <v>196</v>
      </c>
      <c r="I36" s="11"/>
      <c r="J36" s="11"/>
      <c r="K36" s="19" t="n">
        <f aca="false">IF(I36="",N(F36)*(1+Settings!$B$7),I36)</f>
        <v>0</v>
      </c>
      <c r="L36" s="19" t="n">
        <f aca="false">IF(J36="",N(G36)*(1+Settings!$B$7),J36)</f>
        <v>0</v>
      </c>
      <c r="M36" s="16"/>
    </row>
    <row r="37" customFormat="false" ht="15" hidden="false" customHeight="false" outlineLevel="0" collapsed="false">
      <c r="A37" s="10" t="s">
        <v>260</v>
      </c>
      <c r="B37" s="10" t="s">
        <v>261</v>
      </c>
      <c r="C37" s="10" t="n">
        <v>1</v>
      </c>
      <c r="D37" s="16" t="s">
        <v>194</v>
      </c>
      <c r="E37" s="16" t="s">
        <v>262</v>
      </c>
      <c r="F37" s="11"/>
      <c r="G37" s="11"/>
      <c r="H37" s="16" t="s">
        <v>196</v>
      </c>
      <c r="I37" s="11"/>
      <c r="J37" s="11"/>
      <c r="K37" s="19" t="n">
        <f aca="false">IF(I37="",N(F37)*(1+Settings!$B$7),I37)</f>
        <v>0</v>
      </c>
      <c r="L37" s="19" t="n">
        <f aca="false">IF(J37="",N(G37)*(1+Settings!$B$7),J37)</f>
        <v>0</v>
      </c>
      <c r="M37" s="16"/>
    </row>
    <row r="38" customFormat="false" ht="15" hidden="false" customHeight="false" outlineLevel="0" collapsed="false">
      <c r="A38" s="10" t="s">
        <v>263</v>
      </c>
      <c r="B38" s="10" t="s">
        <v>261</v>
      </c>
      <c r="C38" s="10" t="n">
        <v>1</v>
      </c>
      <c r="D38" s="16" t="s">
        <v>194</v>
      </c>
      <c r="E38" s="16" t="s">
        <v>262</v>
      </c>
      <c r="F38" s="11"/>
      <c r="G38" s="11"/>
      <c r="H38" s="16" t="s">
        <v>196</v>
      </c>
      <c r="I38" s="11"/>
      <c r="J38" s="11"/>
      <c r="K38" s="19" t="n">
        <f aca="false">IF(I38="",N(F38)*(1+Settings!$B$7),I38)</f>
        <v>0</v>
      </c>
      <c r="L38" s="19" t="n">
        <f aca="false">IF(J38="",N(G38)*(1+Settings!$B$7),J38)</f>
        <v>0</v>
      </c>
      <c r="M38" s="16"/>
    </row>
    <row r="39" customFormat="false" ht="15" hidden="false" customHeight="false" outlineLevel="0" collapsed="false">
      <c r="A39" s="10" t="s">
        <v>264</v>
      </c>
      <c r="B39" s="10" t="s">
        <v>265</v>
      </c>
      <c r="C39" s="10" t="n">
        <v>3</v>
      </c>
      <c r="D39" s="16" t="s">
        <v>194</v>
      </c>
      <c r="E39" s="16" t="s">
        <v>266</v>
      </c>
      <c r="F39" s="11"/>
      <c r="G39" s="11"/>
      <c r="H39" s="16" t="s">
        <v>196</v>
      </c>
      <c r="I39" s="11"/>
      <c r="J39" s="11"/>
      <c r="K39" s="19" t="n">
        <f aca="false">IF(I39="",N(F39)*(1+Settings!$B$7),I39)</f>
        <v>0</v>
      </c>
      <c r="L39" s="19" t="n">
        <f aca="false">IF(J39="",N(G39)*(1+Settings!$B$7),J39)</f>
        <v>0</v>
      </c>
      <c r="M39" s="16"/>
    </row>
    <row r="40" customFormat="false" ht="15" hidden="false" customHeight="false" outlineLevel="0" collapsed="false">
      <c r="A40" s="10" t="s">
        <v>267</v>
      </c>
      <c r="B40" s="10" t="s">
        <v>265</v>
      </c>
      <c r="C40" s="10" t="n">
        <v>3</v>
      </c>
      <c r="D40" s="16" t="s">
        <v>194</v>
      </c>
      <c r="E40" s="16" t="s">
        <v>266</v>
      </c>
      <c r="F40" s="11"/>
      <c r="G40" s="11"/>
      <c r="H40" s="16" t="s">
        <v>196</v>
      </c>
      <c r="I40" s="11"/>
      <c r="J40" s="11"/>
      <c r="K40" s="19" t="n">
        <f aca="false">IF(I40="",N(F40)*(1+Settings!$B$7),I40)</f>
        <v>0</v>
      </c>
      <c r="L40" s="19" t="n">
        <f aca="false">IF(J40="",N(G40)*(1+Settings!$B$7),J40)</f>
        <v>0</v>
      </c>
      <c r="M40" s="16"/>
    </row>
    <row r="41" customFormat="false" ht="15" hidden="false" customHeight="false" outlineLevel="0" collapsed="false">
      <c r="A41" s="10" t="s">
        <v>268</v>
      </c>
      <c r="B41" s="10" t="s">
        <v>269</v>
      </c>
      <c r="C41" s="10" t="n">
        <v>1</v>
      </c>
      <c r="D41" s="16" t="s">
        <v>226</v>
      </c>
      <c r="E41" s="16" t="s">
        <v>270</v>
      </c>
      <c r="F41" s="11"/>
      <c r="G41" s="11"/>
      <c r="H41" s="16" t="s">
        <v>196</v>
      </c>
      <c r="I41" s="11"/>
      <c r="J41" s="11"/>
      <c r="K41" s="19" t="n">
        <f aca="false">IF(I41="",N(F41)*(1+Settings!$B$7),I41)</f>
        <v>0</v>
      </c>
      <c r="L41" s="19" t="n">
        <f aca="false">IF(J41="",N(G41)*(1+Settings!$B$7),J41)</f>
        <v>0</v>
      </c>
      <c r="M41" s="16"/>
    </row>
    <row r="42" customFormat="false" ht="15" hidden="false" customHeight="false" outlineLevel="0" collapsed="false">
      <c r="A42" s="10" t="s">
        <v>271</v>
      </c>
      <c r="B42" s="10" t="s">
        <v>269</v>
      </c>
      <c r="C42" s="10" t="n">
        <v>1</v>
      </c>
      <c r="D42" s="16" t="s">
        <v>226</v>
      </c>
      <c r="E42" s="16" t="s">
        <v>270</v>
      </c>
      <c r="F42" s="11"/>
      <c r="G42" s="11"/>
      <c r="H42" s="16" t="s">
        <v>196</v>
      </c>
      <c r="I42" s="11"/>
      <c r="J42" s="11"/>
      <c r="K42" s="19" t="n">
        <f aca="false">IF(I42="",N(F42)*(1+Settings!$B$7),I42)</f>
        <v>0</v>
      </c>
      <c r="L42" s="19" t="n">
        <f aca="false">IF(J42="",N(G42)*(1+Settings!$B$7),J42)</f>
        <v>0</v>
      </c>
      <c r="M42" s="16"/>
    </row>
    <row r="43" customFormat="false" ht="15" hidden="false" customHeight="false" outlineLevel="0" collapsed="false">
      <c r="A43" s="10" t="s">
        <v>272</v>
      </c>
      <c r="B43" s="10" t="s">
        <v>273</v>
      </c>
      <c r="C43" s="10" t="n">
        <v>4</v>
      </c>
      <c r="D43" s="16" t="s">
        <v>194</v>
      </c>
      <c r="E43" s="16" t="s">
        <v>274</v>
      </c>
      <c r="F43" s="11"/>
      <c r="G43" s="11"/>
      <c r="H43" s="16" t="s">
        <v>196</v>
      </c>
      <c r="I43" s="11"/>
      <c r="J43" s="11"/>
      <c r="K43" s="19" t="n">
        <f aca="false">IF(I43="",N(F43)*(1+Settings!$B$7),I43)</f>
        <v>0</v>
      </c>
      <c r="L43" s="19" t="n">
        <f aca="false">IF(J43="",N(G43)*(1+Settings!$B$7),J43)</f>
        <v>0</v>
      </c>
      <c r="M43" s="16"/>
    </row>
    <row r="44" customFormat="false" ht="15" hidden="false" customHeight="false" outlineLevel="0" collapsed="false">
      <c r="A44" s="10" t="s">
        <v>275</v>
      </c>
      <c r="B44" s="10" t="s">
        <v>273</v>
      </c>
      <c r="C44" s="10" t="n">
        <v>4</v>
      </c>
      <c r="D44" s="16" t="s">
        <v>194</v>
      </c>
      <c r="E44" s="16" t="s">
        <v>274</v>
      </c>
      <c r="F44" s="11"/>
      <c r="G44" s="11"/>
      <c r="H44" s="16" t="s">
        <v>196</v>
      </c>
      <c r="I44" s="11"/>
      <c r="J44" s="11"/>
      <c r="K44" s="19" t="n">
        <f aca="false">IF(I44="",N(F44)*(1+Settings!$B$7),I44)</f>
        <v>0</v>
      </c>
      <c r="L44" s="19" t="n">
        <f aca="false">IF(J44="",N(G44)*(1+Settings!$B$7),J44)</f>
        <v>0</v>
      </c>
      <c r="M44" s="16"/>
    </row>
    <row r="45" customFormat="false" ht="15" hidden="false" customHeight="false" outlineLevel="0" collapsed="false">
      <c r="A45" s="10" t="s">
        <v>276</v>
      </c>
      <c r="B45" s="10" t="s">
        <v>273</v>
      </c>
      <c r="C45" s="10" t="n">
        <v>4</v>
      </c>
      <c r="D45" s="16" t="s">
        <v>194</v>
      </c>
      <c r="E45" s="16" t="s">
        <v>274</v>
      </c>
      <c r="F45" s="11"/>
      <c r="G45" s="11"/>
      <c r="H45" s="16" t="s">
        <v>196</v>
      </c>
      <c r="I45" s="11"/>
      <c r="J45" s="11"/>
      <c r="K45" s="19" t="n">
        <f aca="false">IF(I45="",N(F45)*(1+Settings!$B$7),I45)</f>
        <v>0</v>
      </c>
      <c r="L45" s="19" t="n">
        <f aca="false">IF(J45="",N(G45)*(1+Settings!$B$7),J45)</f>
        <v>0</v>
      </c>
      <c r="M45" s="16"/>
    </row>
    <row r="46" customFormat="false" ht="15" hidden="false" customHeight="false" outlineLevel="0" collapsed="false">
      <c r="A46" s="10" t="s">
        <v>277</v>
      </c>
      <c r="B46" s="10" t="s">
        <v>273</v>
      </c>
      <c r="C46" s="10" t="n">
        <v>4</v>
      </c>
      <c r="D46" s="16" t="s">
        <v>194</v>
      </c>
      <c r="E46" s="16" t="s">
        <v>274</v>
      </c>
      <c r="F46" s="11"/>
      <c r="G46" s="11"/>
      <c r="H46" s="16" t="s">
        <v>196</v>
      </c>
      <c r="I46" s="11"/>
      <c r="J46" s="11"/>
      <c r="K46" s="19" t="n">
        <f aca="false">IF(I46="",N(F46)*(1+Settings!$B$7),I46)</f>
        <v>0</v>
      </c>
      <c r="L46" s="19" t="n">
        <f aca="false">IF(J46="",N(G46)*(1+Settings!$B$7),J46)</f>
        <v>0</v>
      </c>
      <c r="M46" s="16"/>
    </row>
    <row r="47" customFormat="false" ht="15" hidden="false" customHeight="false" outlineLevel="0" collapsed="false">
      <c r="A47" s="10" t="s">
        <v>278</v>
      </c>
      <c r="B47" s="10" t="s">
        <v>279</v>
      </c>
      <c r="C47" s="10" t="n">
        <v>3</v>
      </c>
      <c r="D47" s="16" t="s">
        <v>194</v>
      </c>
      <c r="E47" s="16" t="s">
        <v>280</v>
      </c>
      <c r="F47" s="11"/>
      <c r="G47" s="11"/>
      <c r="H47" s="16" t="s">
        <v>196</v>
      </c>
      <c r="I47" s="11"/>
      <c r="J47" s="11"/>
      <c r="K47" s="19" t="n">
        <f aca="false">IF(I47="",N(F47)*(1+Settings!$B$7),I47)</f>
        <v>0</v>
      </c>
      <c r="L47" s="19" t="n">
        <f aca="false">IF(J47="",N(G47)*(1+Settings!$B$7),J47)</f>
        <v>0</v>
      </c>
      <c r="M47" s="16"/>
    </row>
    <row r="48" customFormat="false" ht="15" hidden="false" customHeight="false" outlineLevel="0" collapsed="false">
      <c r="A48" s="10" t="s">
        <v>281</v>
      </c>
      <c r="B48" s="10" t="s">
        <v>279</v>
      </c>
      <c r="C48" s="10" t="n">
        <v>3</v>
      </c>
      <c r="D48" s="16" t="s">
        <v>194</v>
      </c>
      <c r="E48" s="16" t="s">
        <v>280</v>
      </c>
      <c r="F48" s="11"/>
      <c r="G48" s="11"/>
      <c r="H48" s="16" t="s">
        <v>196</v>
      </c>
      <c r="I48" s="11"/>
      <c r="J48" s="11"/>
      <c r="K48" s="19" t="n">
        <f aca="false">IF(I48="",N(F48)*(1+Settings!$B$7),I48)</f>
        <v>0</v>
      </c>
      <c r="L48" s="19" t="n">
        <f aca="false">IF(J48="",N(G48)*(1+Settings!$B$7),J48)</f>
        <v>0</v>
      </c>
      <c r="M48" s="16"/>
    </row>
    <row r="49" customFormat="false" ht="15" hidden="false" customHeight="false" outlineLevel="0" collapsed="false">
      <c r="A49" s="10" t="s">
        <v>282</v>
      </c>
      <c r="B49" s="10" t="s">
        <v>283</v>
      </c>
      <c r="C49" s="10" t="n">
        <v>0</v>
      </c>
      <c r="D49" s="16" t="s">
        <v>194</v>
      </c>
      <c r="E49" s="16" t="s">
        <v>284</v>
      </c>
      <c r="F49" s="11"/>
      <c r="G49" s="11"/>
      <c r="H49" s="16" t="s">
        <v>285</v>
      </c>
      <c r="I49" s="11"/>
      <c r="J49" s="11"/>
      <c r="K49" s="19" t="n">
        <f aca="false">IF(I49="",N(F49)*(1+Settings!$B$7),I49)</f>
        <v>0</v>
      </c>
      <c r="L49" s="19" t="n">
        <f aca="false">IF(J49="",N(G49)*(1+Settings!$B$7),J49)</f>
        <v>0</v>
      </c>
      <c r="M49" s="16"/>
    </row>
    <row r="50" customFormat="false" ht="15" hidden="false" customHeight="false" outlineLevel="0" collapsed="false">
      <c r="A50" s="10" t="s">
        <v>286</v>
      </c>
      <c r="B50" s="10" t="s">
        <v>287</v>
      </c>
      <c r="C50" s="10" t="n">
        <v>1</v>
      </c>
      <c r="D50" s="16" t="s">
        <v>194</v>
      </c>
      <c r="E50" s="16" t="s">
        <v>288</v>
      </c>
      <c r="F50" s="11"/>
      <c r="G50" s="11"/>
      <c r="H50" s="16" t="s">
        <v>196</v>
      </c>
      <c r="I50" s="11"/>
      <c r="J50" s="11"/>
      <c r="K50" s="19" t="n">
        <f aca="false">IF(I50="",N(F50)*(1+Settings!$B$7),I50)</f>
        <v>0</v>
      </c>
      <c r="L50" s="19" t="n">
        <f aca="false">IF(J50="",N(G50)*(1+Settings!$B$7),J50)</f>
        <v>0</v>
      </c>
      <c r="M50" s="16"/>
    </row>
    <row r="51" customFormat="false" ht="15" hidden="false" customHeight="false" outlineLevel="0" collapsed="false">
      <c r="A51" s="10" t="s">
        <v>289</v>
      </c>
      <c r="B51" s="10" t="s">
        <v>287</v>
      </c>
      <c r="C51" s="10" t="n">
        <v>1</v>
      </c>
      <c r="D51" s="16" t="s">
        <v>194</v>
      </c>
      <c r="E51" s="16" t="s">
        <v>288</v>
      </c>
      <c r="F51" s="11"/>
      <c r="G51" s="11"/>
      <c r="H51" s="16" t="s">
        <v>196</v>
      </c>
      <c r="I51" s="11"/>
      <c r="J51" s="11"/>
      <c r="K51" s="19" t="n">
        <f aca="false">IF(I51="",N(F51)*(1+Settings!$B$7),I51)</f>
        <v>0</v>
      </c>
      <c r="L51" s="19" t="n">
        <f aca="false">IF(J51="",N(G51)*(1+Settings!$B$7),J51)</f>
        <v>0</v>
      </c>
      <c r="M51" s="16"/>
    </row>
    <row r="52" customFormat="false" ht="15" hidden="false" customHeight="false" outlineLevel="0" collapsed="false">
      <c r="A52" s="10" t="s">
        <v>290</v>
      </c>
      <c r="B52" s="10" t="s">
        <v>291</v>
      </c>
      <c r="C52" s="10" t="n">
        <v>1</v>
      </c>
      <c r="D52" s="16" t="s">
        <v>194</v>
      </c>
      <c r="E52" s="16" t="s">
        <v>292</v>
      </c>
      <c r="F52" s="11"/>
      <c r="G52" s="11"/>
      <c r="H52" s="16" t="s">
        <v>196</v>
      </c>
      <c r="I52" s="11"/>
      <c r="J52" s="11"/>
      <c r="K52" s="19" t="n">
        <f aca="false">IF(I52="",N(F52)*(1+Settings!$B$7),I52)</f>
        <v>0</v>
      </c>
      <c r="L52" s="19" t="n">
        <f aca="false">IF(J52="",N(G52)*(1+Settings!$B$7),J52)</f>
        <v>0</v>
      </c>
      <c r="M52" s="16"/>
    </row>
    <row r="53" customFormat="false" ht="15" hidden="false" customHeight="false" outlineLevel="0" collapsed="false">
      <c r="A53" s="10" t="s">
        <v>293</v>
      </c>
      <c r="B53" s="10" t="s">
        <v>291</v>
      </c>
      <c r="C53" s="10" t="n">
        <v>1</v>
      </c>
      <c r="D53" s="16" t="s">
        <v>194</v>
      </c>
      <c r="E53" s="16" t="s">
        <v>292</v>
      </c>
      <c r="F53" s="11"/>
      <c r="G53" s="11"/>
      <c r="H53" s="16" t="s">
        <v>196</v>
      </c>
      <c r="I53" s="11"/>
      <c r="J53" s="11"/>
      <c r="K53" s="19" t="n">
        <f aca="false">IF(I53="",N(F53)*(1+Settings!$B$7),I53)</f>
        <v>0</v>
      </c>
      <c r="L53" s="19" t="n">
        <f aca="false">IF(J53="",N(G53)*(1+Settings!$B$7),J53)</f>
        <v>0</v>
      </c>
      <c r="M53" s="16"/>
    </row>
    <row r="54" customFormat="false" ht="15" hidden="false" customHeight="false" outlineLevel="0" collapsed="false">
      <c r="A54" s="10" t="s">
        <v>294</v>
      </c>
      <c r="B54" s="10" t="s">
        <v>295</v>
      </c>
      <c r="C54" s="10" t="n">
        <v>2</v>
      </c>
      <c r="D54" s="16" t="s">
        <v>194</v>
      </c>
      <c r="E54" s="16" t="s">
        <v>296</v>
      </c>
      <c r="F54" s="11"/>
      <c r="G54" s="11"/>
      <c r="H54" s="16" t="s">
        <v>196</v>
      </c>
      <c r="I54" s="11"/>
      <c r="J54" s="11"/>
      <c r="K54" s="19" t="n">
        <f aca="false">IF(I54="",N(F54)*(1+Settings!$B$7),I54)</f>
        <v>0</v>
      </c>
      <c r="L54" s="19" t="n">
        <f aca="false">IF(J54="",N(G54)*(1+Settings!$B$7),J54)</f>
        <v>0</v>
      </c>
      <c r="M54" s="16"/>
    </row>
    <row r="55" customFormat="false" ht="15" hidden="false" customHeight="false" outlineLevel="0" collapsed="false">
      <c r="A55" s="10" t="s">
        <v>297</v>
      </c>
      <c r="B55" s="10" t="s">
        <v>295</v>
      </c>
      <c r="C55" s="10" t="n">
        <v>2</v>
      </c>
      <c r="D55" s="16" t="s">
        <v>194</v>
      </c>
      <c r="E55" s="16" t="s">
        <v>296</v>
      </c>
      <c r="F55" s="11"/>
      <c r="G55" s="11"/>
      <c r="H55" s="16" t="s">
        <v>196</v>
      </c>
      <c r="I55" s="11"/>
      <c r="J55" s="11"/>
      <c r="K55" s="19" t="n">
        <f aca="false">IF(I55="",N(F55)*(1+Settings!$B$7),I55)</f>
        <v>0</v>
      </c>
      <c r="L55" s="19" t="n">
        <f aca="false">IF(J55="",N(G55)*(1+Settings!$B$7),J55)</f>
        <v>0</v>
      </c>
      <c r="M55" s="16"/>
    </row>
    <row r="56" customFormat="false" ht="15" hidden="false" customHeight="false" outlineLevel="0" collapsed="false">
      <c r="A56" s="10" t="s">
        <v>298</v>
      </c>
      <c r="B56" s="10" t="s">
        <v>299</v>
      </c>
      <c r="C56" s="10" t="n">
        <v>3</v>
      </c>
      <c r="D56" s="16" t="s">
        <v>194</v>
      </c>
      <c r="E56" s="16" t="s">
        <v>300</v>
      </c>
      <c r="F56" s="11"/>
      <c r="G56" s="11"/>
      <c r="H56" s="16" t="s">
        <v>196</v>
      </c>
      <c r="I56" s="11"/>
      <c r="J56" s="11"/>
      <c r="K56" s="19" t="n">
        <f aca="false">IF(I56="",N(F56)*(1+Settings!$B$7),I56)</f>
        <v>0</v>
      </c>
      <c r="L56" s="19" t="n">
        <f aca="false">IF(J56="",N(G56)*(1+Settings!$B$7),J56)</f>
        <v>0</v>
      </c>
      <c r="M56" s="16"/>
    </row>
    <row r="57" customFormat="false" ht="15" hidden="false" customHeight="false" outlineLevel="0" collapsed="false">
      <c r="A57" s="10" t="s">
        <v>301</v>
      </c>
      <c r="B57" s="10" t="s">
        <v>299</v>
      </c>
      <c r="C57" s="10" t="n">
        <v>3</v>
      </c>
      <c r="D57" s="16" t="s">
        <v>194</v>
      </c>
      <c r="E57" s="16" t="s">
        <v>300</v>
      </c>
      <c r="F57" s="11"/>
      <c r="G57" s="11"/>
      <c r="H57" s="16" t="s">
        <v>196</v>
      </c>
      <c r="I57" s="11"/>
      <c r="J57" s="11"/>
      <c r="K57" s="19" t="n">
        <f aca="false">IF(I57="",N(F57)*(1+Settings!$B$7),I57)</f>
        <v>0</v>
      </c>
      <c r="L57" s="19" t="n">
        <f aca="false">IF(J57="",N(G57)*(1+Settings!$B$7),J57)</f>
        <v>0</v>
      </c>
      <c r="M57" s="16"/>
    </row>
    <row r="58" customFormat="false" ht="15" hidden="false" customHeight="false" outlineLevel="0" collapsed="false">
      <c r="A58" s="10" t="s">
        <v>302</v>
      </c>
      <c r="B58" s="10" t="s">
        <v>299</v>
      </c>
      <c r="C58" s="10" t="n">
        <v>3</v>
      </c>
      <c r="D58" s="16" t="s">
        <v>194</v>
      </c>
      <c r="E58" s="16" t="s">
        <v>300</v>
      </c>
      <c r="F58" s="11"/>
      <c r="G58" s="11"/>
      <c r="H58" s="16" t="s">
        <v>196</v>
      </c>
      <c r="I58" s="11"/>
      <c r="J58" s="11"/>
      <c r="K58" s="19" t="n">
        <f aca="false">IF(I58="",N(F58)*(1+Settings!$B$7),I58)</f>
        <v>0</v>
      </c>
      <c r="L58" s="19" t="n">
        <f aca="false">IF(J58="",N(G58)*(1+Settings!$B$7),J58)</f>
        <v>0</v>
      </c>
      <c r="M58" s="16"/>
    </row>
    <row r="59" customFormat="false" ht="15" hidden="false" customHeight="false" outlineLevel="0" collapsed="false">
      <c r="A59" s="10" t="s">
        <v>303</v>
      </c>
      <c r="B59" s="10" t="s">
        <v>299</v>
      </c>
      <c r="C59" s="10" t="n">
        <v>3</v>
      </c>
      <c r="D59" s="16" t="s">
        <v>194</v>
      </c>
      <c r="E59" s="16" t="s">
        <v>300</v>
      </c>
      <c r="F59" s="11"/>
      <c r="G59" s="11"/>
      <c r="H59" s="16" t="s">
        <v>196</v>
      </c>
      <c r="I59" s="11"/>
      <c r="J59" s="11"/>
      <c r="K59" s="19" t="n">
        <f aca="false">IF(I59="",N(F59)*(1+Settings!$B$7),I59)</f>
        <v>0</v>
      </c>
      <c r="L59" s="19" t="n">
        <f aca="false">IF(J59="",N(G59)*(1+Settings!$B$7),J59)</f>
        <v>0</v>
      </c>
      <c r="M59" s="16"/>
    </row>
    <row r="60" customFormat="false" ht="15" hidden="false" customHeight="false" outlineLevel="0" collapsed="false">
      <c r="A60" s="10" t="s">
        <v>304</v>
      </c>
      <c r="B60" s="10" t="s">
        <v>305</v>
      </c>
      <c r="C60" s="10" t="n">
        <v>2</v>
      </c>
      <c r="D60" s="16" t="s">
        <v>194</v>
      </c>
      <c r="E60" s="16" t="s">
        <v>306</v>
      </c>
      <c r="F60" s="11"/>
      <c r="G60" s="11"/>
      <c r="H60" s="16" t="s">
        <v>196</v>
      </c>
      <c r="I60" s="11"/>
      <c r="J60" s="11"/>
      <c r="K60" s="19" t="n">
        <f aca="false">IF(I60="",N(F60)*(1+Settings!$B$7),I60)</f>
        <v>0</v>
      </c>
      <c r="L60" s="19" t="n">
        <f aca="false">IF(J60="",N(G60)*(1+Settings!$B$7),J60)</f>
        <v>0</v>
      </c>
      <c r="M60" s="16"/>
    </row>
    <row r="61" customFormat="false" ht="15" hidden="false" customHeight="false" outlineLevel="0" collapsed="false">
      <c r="A61" s="10" t="s">
        <v>307</v>
      </c>
      <c r="B61" s="10" t="s">
        <v>305</v>
      </c>
      <c r="C61" s="10" t="n">
        <v>2</v>
      </c>
      <c r="D61" s="16" t="s">
        <v>194</v>
      </c>
      <c r="E61" s="16" t="s">
        <v>306</v>
      </c>
      <c r="F61" s="11"/>
      <c r="G61" s="11"/>
      <c r="H61" s="16" t="s">
        <v>196</v>
      </c>
      <c r="I61" s="11"/>
      <c r="J61" s="11"/>
      <c r="K61" s="19" t="n">
        <f aca="false">IF(I61="",N(F61)*(1+Settings!$B$7),I61)</f>
        <v>0</v>
      </c>
      <c r="L61" s="19" t="n">
        <f aca="false">IF(J61="",N(G61)*(1+Settings!$B$7),J61)</f>
        <v>0</v>
      </c>
      <c r="M61" s="16"/>
    </row>
    <row r="62" customFormat="false" ht="15" hidden="false" customHeight="false" outlineLevel="0" collapsed="false">
      <c r="A62" s="10" t="s">
        <v>308</v>
      </c>
      <c r="B62" s="10" t="s">
        <v>305</v>
      </c>
      <c r="C62" s="10" t="n">
        <v>2</v>
      </c>
      <c r="D62" s="16" t="s">
        <v>194</v>
      </c>
      <c r="E62" s="16" t="s">
        <v>306</v>
      </c>
      <c r="F62" s="11"/>
      <c r="G62" s="11"/>
      <c r="H62" s="16" t="s">
        <v>196</v>
      </c>
      <c r="I62" s="11"/>
      <c r="J62" s="11"/>
      <c r="K62" s="19" t="n">
        <f aca="false">IF(I62="",N(F62)*(1+Settings!$B$7),I62)</f>
        <v>0</v>
      </c>
      <c r="L62" s="19" t="n">
        <f aca="false">IF(J62="",N(G62)*(1+Settings!$B$7),J62)</f>
        <v>0</v>
      </c>
      <c r="M62" s="16"/>
    </row>
    <row r="63" customFormat="false" ht="15" hidden="false" customHeight="false" outlineLevel="0" collapsed="false">
      <c r="A63" s="10" t="s">
        <v>309</v>
      </c>
      <c r="B63" s="10" t="s">
        <v>305</v>
      </c>
      <c r="C63" s="10" t="n">
        <v>2</v>
      </c>
      <c r="D63" s="16" t="s">
        <v>194</v>
      </c>
      <c r="E63" s="16" t="s">
        <v>306</v>
      </c>
      <c r="F63" s="11"/>
      <c r="G63" s="11"/>
      <c r="H63" s="16" t="s">
        <v>196</v>
      </c>
      <c r="I63" s="11"/>
      <c r="J63" s="11"/>
      <c r="K63" s="19" t="n">
        <f aca="false">IF(I63="",N(F63)*(1+Settings!$B$7),I63)</f>
        <v>0</v>
      </c>
      <c r="L63" s="19" t="n">
        <f aca="false">IF(J63="",N(G63)*(1+Settings!$B$7),J63)</f>
        <v>0</v>
      </c>
      <c r="M63" s="16"/>
    </row>
    <row r="64" customFormat="false" ht="15" hidden="false" customHeight="false" outlineLevel="0" collapsed="false">
      <c r="A64" s="10" t="s">
        <v>310</v>
      </c>
      <c r="B64" s="10" t="s">
        <v>283</v>
      </c>
      <c r="C64" s="10" t="n">
        <v>0</v>
      </c>
      <c r="D64" s="16" t="s">
        <v>194</v>
      </c>
      <c r="E64" s="16" t="s">
        <v>311</v>
      </c>
      <c r="F64" s="11"/>
      <c r="G64" s="11"/>
      <c r="H64" s="16" t="s">
        <v>285</v>
      </c>
      <c r="I64" s="11"/>
      <c r="J64" s="11"/>
      <c r="K64" s="19" t="n">
        <f aca="false">IF(I64="",N(F64)*(1+Settings!$B$7),I64)</f>
        <v>0</v>
      </c>
      <c r="L64" s="19" t="n">
        <f aca="false">IF(J64="",N(G64)*(1+Settings!$B$7),J64)</f>
        <v>0</v>
      </c>
      <c r="M64" s="16"/>
    </row>
    <row r="65" customFormat="false" ht="15" hidden="false" customHeight="false" outlineLevel="0" collapsed="false">
      <c r="A65" s="10" t="s">
        <v>312</v>
      </c>
      <c r="B65" s="10" t="s">
        <v>313</v>
      </c>
      <c r="C65" s="10" t="n">
        <v>2</v>
      </c>
      <c r="D65" s="16" t="s">
        <v>194</v>
      </c>
      <c r="E65" s="16" t="s">
        <v>311</v>
      </c>
      <c r="F65" s="11"/>
      <c r="G65" s="11"/>
      <c r="H65" s="16" t="s">
        <v>196</v>
      </c>
      <c r="I65" s="11"/>
      <c r="J65" s="11"/>
      <c r="K65" s="19" t="n">
        <f aca="false">IF(I65="",N(F65)*(1+Settings!$B$7),I65)</f>
        <v>0</v>
      </c>
      <c r="L65" s="19" t="n">
        <f aca="false">IF(J65="",N(G65)*(1+Settings!$B$7),J65)</f>
        <v>0</v>
      </c>
      <c r="M65" s="16"/>
    </row>
    <row r="66" customFormat="false" ht="15" hidden="false" customHeight="false" outlineLevel="0" collapsed="false">
      <c r="A66" s="10" t="s">
        <v>314</v>
      </c>
      <c r="B66" s="10" t="s">
        <v>313</v>
      </c>
      <c r="C66" s="10" t="n">
        <v>2</v>
      </c>
      <c r="D66" s="16" t="s">
        <v>194</v>
      </c>
      <c r="E66" s="16" t="s">
        <v>311</v>
      </c>
      <c r="F66" s="11"/>
      <c r="G66" s="11"/>
      <c r="H66" s="16" t="s">
        <v>196</v>
      </c>
      <c r="I66" s="11"/>
      <c r="J66" s="11"/>
      <c r="K66" s="19" t="n">
        <f aca="false">IF(I66="",N(F66)*(1+Settings!$B$7),I66)</f>
        <v>0</v>
      </c>
      <c r="L66" s="19" t="n">
        <f aca="false">IF(J66="",N(G66)*(1+Settings!$B$7),J66)</f>
        <v>0</v>
      </c>
      <c r="M66" s="16"/>
    </row>
    <row r="67" customFormat="false" ht="15" hidden="false" customHeight="false" outlineLevel="0" collapsed="false">
      <c r="A67" s="10" t="s">
        <v>315</v>
      </c>
      <c r="B67" s="10" t="s">
        <v>313</v>
      </c>
      <c r="C67" s="10" t="n">
        <v>2</v>
      </c>
      <c r="D67" s="16" t="s">
        <v>194</v>
      </c>
      <c r="E67" s="16" t="s">
        <v>311</v>
      </c>
      <c r="F67" s="11"/>
      <c r="G67" s="11"/>
      <c r="H67" s="16" t="s">
        <v>196</v>
      </c>
      <c r="I67" s="11"/>
      <c r="J67" s="11"/>
      <c r="K67" s="19" t="n">
        <f aca="false">IF(I67="",N(F67)*(1+Settings!$B$7),I67)</f>
        <v>0</v>
      </c>
      <c r="L67" s="19" t="n">
        <f aca="false">IF(J67="",N(G67)*(1+Settings!$B$7),J67)</f>
        <v>0</v>
      </c>
      <c r="M67" s="16"/>
    </row>
    <row r="68" customFormat="false" ht="15" hidden="false" customHeight="false" outlineLevel="0" collapsed="false">
      <c r="A68" s="10" t="s">
        <v>316</v>
      </c>
      <c r="B68" s="10" t="s">
        <v>317</v>
      </c>
      <c r="C68" s="10" t="n">
        <v>1</v>
      </c>
      <c r="D68" s="16" t="s">
        <v>194</v>
      </c>
      <c r="E68" s="16" t="s">
        <v>318</v>
      </c>
      <c r="F68" s="11"/>
      <c r="G68" s="11"/>
      <c r="H68" s="16" t="s">
        <v>196</v>
      </c>
      <c r="I68" s="11"/>
      <c r="J68" s="11"/>
      <c r="K68" s="19" t="n">
        <f aca="false">IF(I68="",N(F68)*(1+Settings!$B$7),I68)</f>
        <v>0</v>
      </c>
      <c r="L68" s="19" t="n">
        <f aca="false">IF(J68="",N(G68)*(1+Settings!$B$7),J68)</f>
        <v>0</v>
      </c>
      <c r="M68" s="16"/>
    </row>
    <row r="69" customFormat="false" ht="15" hidden="false" customHeight="false" outlineLevel="0" collapsed="false">
      <c r="A69" s="10" t="s">
        <v>319</v>
      </c>
      <c r="B69" s="10" t="s">
        <v>320</v>
      </c>
      <c r="C69" s="10" t="n">
        <v>1</v>
      </c>
      <c r="D69" s="16" t="s">
        <v>194</v>
      </c>
      <c r="E69" s="16" t="s">
        <v>321</v>
      </c>
      <c r="F69" s="11"/>
      <c r="G69" s="11"/>
      <c r="H69" s="16" t="s">
        <v>196</v>
      </c>
      <c r="I69" s="11"/>
      <c r="J69" s="11"/>
      <c r="K69" s="19" t="n">
        <f aca="false">IF(I69="",N(F69)*(1+Settings!$B$7),I69)</f>
        <v>0</v>
      </c>
      <c r="L69" s="19" t="n">
        <f aca="false">IF(J69="",N(G69)*(1+Settings!$B$7),J69)</f>
        <v>0</v>
      </c>
      <c r="M69" s="16"/>
    </row>
    <row r="70" customFormat="false" ht="15" hidden="false" customHeight="false" outlineLevel="0" collapsed="false">
      <c r="A70" s="10" t="s">
        <v>322</v>
      </c>
      <c r="B70" s="10" t="s">
        <v>323</v>
      </c>
      <c r="C70" s="10" t="n">
        <v>1</v>
      </c>
      <c r="D70" s="16" t="s">
        <v>194</v>
      </c>
      <c r="E70" s="16" t="s">
        <v>324</v>
      </c>
      <c r="F70" s="11"/>
      <c r="G70" s="11"/>
      <c r="H70" s="16" t="s">
        <v>196</v>
      </c>
      <c r="I70" s="11"/>
      <c r="J70" s="11"/>
      <c r="K70" s="19" t="n">
        <f aca="false">IF(I70="",N(F70)*(1+Settings!$B$7),I70)</f>
        <v>0</v>
      </c>
      <c r="L70" s="19" t="n">
        <f aca="false">IF(J70="",N(G70)*(1+Settings!$B$7),J70)</f>
        <v>0</v>
      </c>
      <c r="M70" s="16"/>
    </row>
    <row r="71" customFormat="false" ht="15" hidden="false" customHeight="false" outlineLevel="0" collapsed="false">
      <c r="A71" s="10" t="s">
        <v>325</v>
      </c>
      <c r="B71" s="10" t="s">
        <v>323</v>
      </c>
      <c r="C71" s="10" t="n">
        <v>1</v>
      </c>
      <c r="D71" s="16" t="s">
        <v>194</v>
      </c>
      <c r="E71" s="16" t="s">
        <v>324</v>
      </c>
      <c r="F71" s="11"/>
      <c r="G71" s="11"/>
      <c r="H71" s="16" t="s">
        <v>196</v>
      </c>
      <c r="I71" s="11"/>
      <c r="J71" s="11"/>
      <c r="K71" s="19" t="n">
        <f aca="false">IF(I71="",N(F71)*(1+Settings!$B$7),I71)</f>
        <v>0</v>
      </c>
      <c r="L71" s="19" t="n">
        <f aca="false">IF(J71="",N(G71)*(1+Settings!$B$7),J71)</f>
        <v>0</v>
      </c>
      <c r="M71" s="16"/>
    </row>
    <row r="72" customFormat="false" ht="15" hidden="false" customHeight="false" outlineLevel="0" collapsed="false">
      <c r="A72" s="10" t="s">
        <v>326</v>
      </c>
      <c r="B72" s="10" t="s">
        <v>327</v>
      </c>
      <c r="C72" s="10" t="n">
        <v>1</v>
      </c>
      <c r="D72" s="16" t="s">
        <v>194</v>
      </c>
      <c r="E72" s="16" t="s">
        <v>328</v>
      </c>
      <c r="F72" s="11"/>
      <c r="G72" s="11"/>
      <c r="H72" s="16" t="s">
        <v>196</v>
      </c>
      <c r="I72" s="11"/>
      <c r="J72" s="11"/>
      <c r="K72" s="19" t="n">
        <f aca="false">IF(I72="",N(F72)*(1+Settings!$B$7),I72)</f>
        <v>0</v>
      </c>
      <c r="L72" s="19" t="n">
        <f aca="false">IF(J72="",N(G72)*(1+Settings!$B$7),J72)</f>
        <v>0</v>
      </c>
      <c r="M72" s="16"/>
    </row>
    <row r="73" customFormat="false" ht="15" hidden="false" customHeight="false" outlineLevel="0" collapsed="false">
      <c r="A73" s="10" t="s">
        <v>329</v>
      </c>
      <c r="B73" s="10" t="s">
        <v>327</v>
      </c>
      <c r="C73" s="10" t="n">
        <v>1</v>
      </c>
      <c r="D73" s="16" t="s">
        <v>194</v>
      </c>
      <c r="E73" s="16" t="s">
        <v>328</v>
      </c>
      <c r="F73" s="11"/>
      <c r="G73" s="11"/>
      <c r="H73" s="16" t="s">
        <v>196</v>
      </c>
      <c r="I73" s="11"/>
      <c r="J73" s="11"/>
      <c r="K73" s="19" t="n">
        <f aca="false">IF(I73="",N(F73)*(1+Settings!$B$7),I73)</f>
        <v>0</v>
      </c>
      <c r="L73" s="19" t="n">
        <f aca="false">IF(J73="",N(G73)*(1+Settings!$B$7),J73)</f>
        <v>0</v>
      </c>
      <c r="M73" s="16"/>
    </row>
    <row r="74" customFormat="false" ht="15" hidden="false" customHeight="false" outlineLevel="0" collapsed="false">
      <c r="A74" s="10" t="s">
        <v>330</v>
      </c>
      <c r="B74" s="10" t="s">
        <v>331</v>
      </c>
      <c r="C74" s="10" t="n">
        <v>5</v>
      </c>
      <c r="D74" s="16" t="s">
        <v>194</v>
      </c>
      <c r="E74" s="16" t="s">
        <v>332</v>
      </c>
      <c r="F74" s="11"/>
      <c r="G74" s="11"/>
      <c r="H74" s="16" t="s">
        <v>196</v>
      </c>
      <c r="I74" s="11"/>
      <c r="J74" s="11"/>
      <c r="K74" s="19" t="n">
        <f aca="false">IF(I74="",N(F74)*(1+Settings!$B$7),I74)</f>
        <v>0</v>
      </c>
      <c r="L74" s="19" t="n">
        <f aca="false">IF(J74="",N(G74)*(1+Settings!$B$7),J74)</f>
        <v>0</v>
      </c>
      <c r="M74" s="16"/>
    </row>
    <row r="75" customFormat="false" ht="15" hidden="false" customHeight="false" outlineLevel="0" collapsed="false">
      <c r="A75" s="10" t="s">
        <v>333</v>
      </c>
      <c r="B75" s="10" t="s">
        <v>334</v>
      </c>
      <c r="C75" s="10" t="n">
        <v>8</v>
      </c>
      <c r="D75" s="16" t="s">
        <v>194</v>
      </c>
      <c r="E75" s="16" t="s">
        <v>335</v>
      </c>
      <c r="F75" s="11"/>
      <c r="G75" s="11"/>
      <c r="H75" s="16" t="s">
        <v>196</v>
      </c>
      <c r="I75" s="11"/>
      <c r="J75" s="11"/>
      <c r="K75" s="19" t="n">
        <f aca="false">IF(I75="",N(F75)*(1+Settings!$B$7),I75)</f>
        <v>0</v>
      </c>
      <c r="L75" s="19" t="n">
        <f aca="false">IF(J75="",N(G75)*(1+Settings!$B$7),J75)</f>
        <v>0</v>
      </c>
      <c r="M75" s="16"/>
    </row>
    <row r="76" customFormat="false" ht="15" hidden="false" customHeight="false" outlineLevel="0" collapsed="false">
      <c r="A76" s="10" t="s">
        <v>336</v>
      </c>
      <c r="B76" s="10" t="s">
        <v>337</v>
      </c>
      <c r="C76" s="10" t="n">
        <v>1</v>
      </c>
      <c r="D76" s="16" t="s">
        <v>338</v>
      </c>
      <c r="E76" s="16" t="s">
        <v>339</v>
      </c>
      <c r="F76" s="11"/>
      <c r="G76" s="11"/>
      <c r="H76" s="16" t="s">
        <v>196</v>
      </c>
      <c r="I76" s="11"/>
      <c r="J76" s="11"/>
      <c r="K76" s="19" t="n">
        <f aca="false">IF(I76="",N(F76)*(1+Settings!$B$7),I76)</f>
        <v>0</v>
      </c>
      <c r="L76" s="19" t="n">
        <f aca="false">IF(J76="",N(G76)*(1+Settings!$B$7),J76)</f>
        <v>0</v>
      </c>
      <c r="M76" s="16"/>
    </row>
    <row r="77" customFormat="false" ht="15" hidden="false" customHeight="false" outlineLevel="0" collapsed="false">
      <c r="A77" s="10" t="s">
        <v>340</v>
      </c>
      <c r="B77" s="10" t="s">
        <v>341</v>
      </c>
      <c r="C77" s="10" t="n">
        <v>3</v>
      </c>
      <c r="D77" s="16" t="s">
        <v>194</v>
      </c>
      <c r="E77" s="16" t="s">
        <v>342</v>
      </c>
      <c r="F77" s="11"/>
      <c r="G77" s="11"/>
      <c r="H77" s="16" t="s">
        <v>196</v>
      </c>
      <c r="I77" s="11"/>
      <c r="J77" s="11"/>
      <c r="K77" s="19" t="n">
        <f aca="false">IF(I77="",N(F77)*(1+Settings!$B$7),I77)</f>
        <v>0</v>
      </c>
      <c r="L77" s="19" t="n">
        <f aca="false">IF(J77="",N(G77)*(1+Settings!$B$7),J77)</f>
        <v>0</v>
      </c>
      <c r="M77" s="16"/>
    </row>
    <row r="78" customFormat="false" ht="15" hidden="false" customHeight="false" outlineLevel="0" collapsed="false">
      <c r="A78" s="10" t="s">
        <v>343</v>
      </c>
      <c r="B78" s="10" t="s">
        <v>283</v>
      </c>
      <c r="C78" s="10" t="n">
        <v>0</v>
      </c>
      <c r="D78" s="16" t="s">
        <v>194</v>
      </c>
      <c r="E78" s="16" t="s">
        <v>344</v>
      </c>
      <c r="F78" s="11"/>
      <c r="G78" s="11"/>
      <c r="H78" s="16" t="s">
        <v>285</v>
      </c>
      <c r="I78" s="11"/>
      <c r="J78" s="11"/>
      <c r="K78" s="19" t="n">
        <f aca="false">IF(I78="",N(F78)*(1+Settings!$B$7),I78)</f>
        <v>0</v>
      </c>
      <c r="L78" s="19" t="n">
        <f aca="false">IF(J78="",N(G78)*(1+Settings!$B$7),J78)</f>
        <v>0</v>
      </c>
      <c r="M78" s="16"/>
    </row>
    <row r="79" customFormat="false" ht="15" hidden="false" customHeight="false" outlineLevel="0" collapsed="false">
      <c r="A79" s="10" t="s">
        <v>345</v>
      </c>
      <c r="B79" s="10" t="s">
        <v>346</v>
      </c>
      <c r="C79" s="10" t="n">
        <v>1</v>
      </c>
      <c r="D79" s="16" t="s">
        <v>194</v>
      </c>
      <c r="E79" s="16" t="s">
        <v>347</v>
      </c>
      <c r="F79" s="11"/>
      <c r="G79" s="11"/>
      <c r="H79" s="16" t="s">
        <v>196</v>
      </c>
      <c r="I79" s="11"/>
      <c r="J79" s="11"/>
      <c r="K79" s="19" t="n">
        <f aca="false">IF(I79="",N(F79)*(1+Settings!$B$7),I79)</f>
        <v>0</v>
      </c>
      <c r="L79" s="19" t="n">
        <f aca="false">IF(J79="",N(G79)*(1+Settings!$B$7),J79)</f>
        <v>0</v>
      </c>
      <c r="M79" s="16"/>
    </row>
    <row r="80" customFormat="false" ht="15" hidden="false" customHeight="false" outlineLevel="0" collapsed="false">
      <c r="A80" s="10" t="s">
        <v>348</v>
      </c>
      <c r="B80" s="10" t="s">
        <v>349</v>
      </c>
      <c r="C80" s="10" t="n">
        <v>1</v>
      </c>
      <c r="D80" s="16" t="s">
        <v>194</v>
      </c>
      <c r="E80" s="16" t="s">
        <v>350</v>
      </c>
      <c r="F80" s="11"/>
      <c r="G80" s="11"/>
      <c r="H80" s="16" t="s">
        <v>196</v>
      </c>
      <c r="I80" s="11"/>
      <c r="J80" s="11"/>
      <c r="K80" s="19" t="n">
        <f aca="false">IF(I80="",N(F80)*(1+Settings!$B$7),I80)</f>
        <v>0</v>
      </c>
      <c r="L80" s="19" t="n">
        <f aca="false">IF(J80="",N(G80)*(1+Settings!$B$7),J80)</f>
        <v>0</v>
      </c>
      <c r="M80" s="16"/>
    </row>
    <row r="81" customFormat="false" ht="15" hidden="false" customHeight="false" outlineLevel="0" collapsed="false">
      <c r="A81" s="10" t="s">
        <v>351</v>
      </c>
      <c r="B81" s="10" t="s">
        <v>352</v>
      </c>
      <c r="C81" s="10" t="n">
        <v>4</v>
      </c>
      <c r="D81" s="16" t="s">
        <v>194</v>
      </c>
      <c r="E81" s="16" t="s">
        <v>353</v>
      </c>
      <c r="F81" s="11"/>
      <c r="G81" s="11"/>
      <c r="H81" s="16" t="s">
        <v>196</v>
      </c>
      <c r="I81" s="11"/>
      <c r="J81" s="11"/>
      <c r="K81" s="19" t="n">
        <f aca="false">IF(I81="",N(F81)*(1+Settings!$B$7),I81)</f>
        <v>0</v>
      </c>
      <c r="L81" s="19" t="n">
        <f aca="false">IF(J81="",N(G81)*(1+Settings!$B$7),J81)</f>
        <v>0</v>
      </c>
      <c r="M81" s="16"/>
    </row>
    <row r="82" customFormat="false" ht="15" hidden="false" customHeight="false" outlineLevel="0" collapsed="false">
      <c r="A82" s="10" t="s">
        <v>354</v>
      </c>
      <c r="B82" s="10" t="s">
        <v>283</v>
      </c>
      <c r="C82" s="10" t="n">
        <v>0</v>
      </c>
      <c r="D82" s="16" t="s">
        <v>194</v>
      </c>
      <c r="E82" s="16" t="s">
        <v>355</v>
      </c>
      <c r="F82" s="11"/>
      <c r="G82" s="11"/>
      <c r="H82" s="16" t="s">
        <v>285</v>
      </c>
      <c r="I82" s="11"/>
      <c r="J82" s="11"/>
      <c r="K82" s="19" t="n">
        <f aca="false">IF(I82="",N(F82)*(1+Settings!$B$7),I82)</f>
        <v>0</v>
      </c>
      <c r="L82" s="19" t="n">
        <f aca="false">IF(J82="",N(G82)*(1+Settings!$B$7),J82)</f>
        <v>0</v>
      </c>
      <c r="M82" s="16"/>
    </row>
    <row r="83" customFormat="false" ht="15" hidden="false" customHeight="false" outlineLevel="0" collapsed="false">
      <c r="A83" s="10" t="s">
        <v>356</v>
      </c>
      <c r="B83" s="10" t="s">
        <v>283</v>
      </c>
      <c r="C83" s="10" t="n">
        <v>0</v>
      </c>
      <c r="D83" s="16" t="s">
        <v>194</v>
      </c>
      <c r="E83" s="16" t="s">
        <v>357</v>
      </c>
      <c r="F83" s="11"/>
      <c r="G83" s="11"/>
      <c r="H83" s="16" t="s">
        <v>285</v>
      </c>
      <c r="I83" s="11"/>
      <c r="J83" s="11"/>
      <c r="K83" s="19" t="n">
        <f aca="false">IF(I83="",N(F83)*(1+Settings!$B$7),I83)</f>
        <v>0</v>
      </c>
      <c r="L83" s="19" t="n">
        <f aca="false">IF(J83="",N(G83)*(1+Settings!$B$7),J83)</f>
        <v>0</v>
      </c>
      <c r="M83" s="16"/>
    </row>
    <row r="84" customFormat="false" ht="15" hidden="false" customHeight="false" outlineLevel="0" collapsed="false">
      <c r="A84" s="10" t="s">
        <v>358</v>
      </c>
      <c r="B84" s="10" t="s">
        <v>359</v>
      </c>
      <c r="C84" s="10" t="n">
        <v>3</v>
      </c>
      <c r="D84" s="16" t="s">
        <v>194</v>
      </c>
      <c r="E84" s="16" t="s">
        <v>360</v>
      </c>
      <c r="F84" s="11"/>
      <c r="G84" s="11"/>
      <c r="H84" s="16" t="s">
        <v>196</v>
      </c>
      <c r="I84" s="11"/>
      <c r="J84" s="11"/>
      <c r="K84" s="19" t="n">
        <f aca="false">IF(I84="",N(F84)*(1+Settings!$B$7),I84)</f>
        <v>0</v>
      </c>
      <c r="L84" s="19" t="n">
        <f aca="false">IF(J84="",N(G84)*(1+Settings!$B$7),J84)</f>
        <v>0</v>
      </c>
      <c r="M84" s="16"/>
    </row>
    <row r="85" customFormat="false" ht="15" hidden="false" customHeight="false" outlineLevel="0" collapsed="false">
      <c r="A85" s="10" t="s">
        <v>361</v>
      </c>
      <c r="B85" s="10" t="s">
        <v>362</v>
      </c>
      <c r="C85" s="10" t="n">
        <v>4</v>
      </c>
      <c r="D85" s="16" t="s">
        <v>194</v>
      </c>
      <c r="E85" s="16" t="s">
        <v>363</v>
      </c>
      <c r="F85" s="11"/>
      <c r="G85" s="11"/>
      <c r="H85" s="16" t="s">
        <v>196</v>
      </c>
      <c r="I85" s="11"/>
      <c r="J85" s="11"/>
      <c r="K85" s="19" t="n">
        <f aca="false">IF(I85="",N(F85)*(1+Settings!$B$7),I85)</f>
        <v>0</v>
      </c>
      <c r="L85" s="19" t="n">
        <f aca="false">IF(J85="",N(G85)*(1+Settings!$B$7),J85)</f>
        <v>0</v>
      </c>
      <c r="M85" s="16"/>
    </row>
    <row r="86" customFormat="false" ht="15" hidden="false" customHeight="false" outlineLevel="0" collapsed="false">
      <c r="A86" s="10" t="s">
        <v>364</v>
      </c>
      <c r="B86" s="10" t="s">
        <v>365</v>
      </c>
      <c r="C86" s="10" t="n">
        <v>2</v>
      </c>
      <c r="D86" s="16" t="s">
        <v>194</v>
      </c>
      <c r="E86" s="16" t="s">
        <v>366</v>
      </c>
      <c r="F86" s="11"/>
      <c r="G86" s="11"/>
      <c r="H86" s="16" t="s">
        <v>196</v>
      </c>
      <c r="I86" s="11"/>
      <c r="J86" s="11"/>
      <c r="K86" s="19" t="n">
        <f aca="false">IF(I86="",N(F86)*(1+Settings!$B$7),I86)</f>
        <v>0</v>
      </c>
      <c r="L86" s="19" t="n">
        <f aca="false">IF(J86="",N(G86)*(1+Settings!$B$7),J86)</f>
        <v>0</v>
      </c>
      <c r="M86" s="16"/>
    </row>
    <row r="87" customFormat="false" ht="15" hidden="false" customHeight="false" outlineLevel="0" collapsed="false">
      <c r="A87" s="10" t="s">
        <v>367</v>
      </c>
      <c r="B87" s="10" t="s">
        <v>368</v>
      </c>
      <c r="C87" s="10" t="n">
        <v>2</v>
      </c>
      <c r="D87" s="16" t="s">
        <v>194</v>
      </c>
      <c r="E87" s="16" t="s">
        <v>369</v>
      </c>
      <c r="F87" s="11"/>
      <c r="G87" s="11"/>
      <c r="H87" s="16" t="s">
        <v>196</v>
      </c>
      <c r="I87" s="11"/>
      <c r="J87" s="11"/>
      <c r="K87" s="19" t="n">
        <f aca="false">IF(I87="",N(F87)*(1+Settings!$B$7),I87)</f>
        <v>0</v>
      </c>
      <c r="L87" s="19" t="n">
        <f aca="false">IF(J87="",N(G87)*(1+Settings!$B$7),J87)</f>
        <v>0</v>
      </c>
      <c r="M87" s="16"/>
    </row>
    <row r="88" customFormat="false" ht="15" hidden="false" customHeight="false" outlineLevel="0" collapsed="false">
      <c r="A88" s="10" t="s">
        <v>370</v>
      </c>
      <c r="B88" s="10" t="s">
        <v>368</v>
      </c>
      <c r="C88" s="10" t="n">
        <v>2</v>
      </c>
      <c r="D88" s="16" t="s">
        <v>338</v>
      </c>
      <c r="E88" s="16" t="s">
        <v>369</v>
      </c>
      <c r="F88" s="11"/>
      <c r="G88" s="11"/>
      <c r="H88" s="16" t="s">
        <v>196</v>
      </c>
      <c r="I88" s="11"/>
      <c r="J88" s="11"/>
      <c r="K88" s="19" t="n">
        <f aca="false">IF(I88="",N(F88)*(1+Settings!$B$7),I88)</f>
        <v>0</v>
      </c>
      <c r="L88" s="19" t="n">
        <f aca="false">IF(J88="",N(G88)*(1+Settings!$B$7),J88)</f>
        <v>0</v>
      </c>
      <c r="M88" s="16"/>
    </row>
    <row r="89" customFormat="false" ht="15" hidden="false" customHeight="false" outlineLevel="0" collapsed="false">
      <c r="A89" s="10" t="s">
        <v>371</v>
      </c>
      <c r="B89" s="10" t="s">
        <v>372</v>
      </c>
      <c r="C89" s="10" t="n">
        <v>6</v>
      </c>
      <c r="D89" s="16" t="s">
        <v>194</v>
      </c>
      <c r="E89" s="16" t="s">
        <v>373</v>
      </c>
      <c r="F89" s="11"/>
      <c r="G89" s="11"/>
      <c r="H89" s="16" t="s">
        <v>196</v>
      </c>
      <c r="I89" s="11"/>
      <c r="J89" s="11"/>
      <c r="K89" s="19" t="n">
        <f aca="false">IF(I89="",N(F89)*(1+Settings!$B$7),I89)</f>
        <v>0</v>
      </c>
      <c r="L89" s="19" t="n">
        <f aca="false">IF(J89="",N(G89)*(1+Settings!$B$7),J89)</f>
        <v>0</v>
      </c>
      <c r="M89" s="16"/>
    </row>
    <row r="90" customFormat="false" ht="15" hidden="false" customHeight="false" outlineLevel="0" collapsed="false">
      <c r="A90" s="10" t="s">
        <v>374</v>
      </c>
      <c r="B90" s="10" t="s">
        <v>375</v>
      </c>
      <c r="C90" s="10" t="n">
        <v>5</v>
      </c>
      <c r="D90" s="16" t="s">
        <v>194</v>
      </c>
      <c r="E90" s="16" t="s">
        <v>376</v>
      </c>
      <c r="F90" s="11"/>
      <c r="G90" s="11"/>
      <c r="H90" s="16" t="s">
        <v>196</v>
      </c>
      <c r="I90" s="11"/>
      <c r="J90" s="11"/>
      <c r="K90" s="19" t="n">
        <f aca="false">IF(I90="",N(F90)*(1+Settings!$B$7),I90)</f>
        <v>0</v>
      </c>
      <c r="L90" s="19" t="n">
        <f aca="false">IF(J90="",N(G90)*(1+Settings!$B$7),J90)</f>
        <v>0</v>
      </c>
      <c r="M90" s="16"/>
    </row>
    <row r="91" customFormat="false" ht="15" hidden="false" customHeight="false" outlineLevel="0" collapsed="false">
      <c r="A91" s="10" t="s">
        <v>377</v>
      </c>
      <c r="B91" s="10" t="s">
        <v>378</v>
      </c>
      <c r="C91" s="10" t="n">
        <v>3</v>
      </c>
      <c r="D91" s="16" t="s">
        <v>194</v>
      </c>
      <c r="E91" s="16" t="s">
        <v>379</v>
      </c>
      <c r="F91" s="11"/>
      <c r="G91" s="11"/>
      <c r="H91" s="16" t="s">
        <v>196</v>
      </c>
      <c r="I91" s="11"/>
      <c r="J91" s="11"/>
      <c r="K91" s="19" t="n">
        <f aca="false">IF(I91="",N(F91)*(1+Settings!$B$7),I91)</f>
        <v>0</v>
      </c>
      <c r="L91" s="19" t="n">
        <f aca="false">IF(J91="",N(G91)*(1+Settings!$B$7),J91)</f>
        <v>0</v>
      </c>
      <c r="M91" s="16"/>
    </row>
    <row r="92" customFormat="false" ht="15" hidden="false" customHeight="false" outlineLevel="0" collapsed="false">
      <c r="A92" s="10" t="s">
        <v>380</v>
      </c>
      <c r="B92" s="10" t="s">
        <v>381</v>
      </c>
      <c r="C92" s="10" t="n">
        <v>9</v>
      </c>
      <c r="D92" s="16" t="s">
        <v>194</v>
      </c>
      <c r="E92" s="16" t="s">
        <v>382</v>
      </c>
      <c r="F92" s="11"/>
      <c r="G92" s="11"/>
      <c r="H92" s="16" t="s">
        <v>196</v>
      </c>
      <c r="I92" s="11"/>
      <c r="J92" s="11"/>
      <c r="K92" s="19" t="n">
        <f aca="false">IF(I92="",N(F92)*(1+Settings!$B$7),I92)</f>
        <v>0</v>
      </c>
      <c r="L92" s="19" t="n">
        <f aca="false">IF(J92="",N(G92)*(1+Settings!$B$7),J92)</f>
        <v>0</v>
      </c>
      <c r="M92" s="16"/>
    </row>
    <row r="93" customFormat="false" ht="15" hidden="false" customHeight="false" outlineLevel="0" collapsed="false">
      <c r="A93" s="10" t="s">
        <v>383</v>
      </c>
      <c r="B93" s="10" t="s">
        <v>384</v>
      </c>
      <c r="C93" s="10" t="n">
        <v>7</v>
      </c>
      <c r="D93" s="16" t="s">
        <v>194</v>
      </c>
      <c r="E93" s="16" t="s">
        <v>385</v>
      </c>
      <c r="F93" s="11"/>
      <c r="G93" s="11"/>
      <c r="H93" s="16" t="s">
        <v>196</v>
      </c>
      <c r="I93" s="11"/>
      <c r="J93" s="11"/>
      <c r="K93" s="19" t="n">
        <f aca="false">IF(I93="",N(F93)*(1+Settings!$B$7),I93)</f>
        <v>0</v>
      </c>
      <c r="L93" s="19" t="n">
        <f aca="false">IF(J93="",N(G93)*(1+Settings!$B$7),J93)</f>
        <v>0</v>
      </c>
      <c r="M93" s="16"/>
    </row>
    <row r="94" customFormat="false" ht="15" hidden="false" customHeight="false" outlineLevel="0" collapsed="false">
      <c r="A94" s="10" t="s">
        <v>386</v>
      </c>
      <c r="B94" s="10" t="s">
        <v>387</v>
      </c>
      <c r="C94" s="10" t="n">
        <v>1</v>
      </c>
      <c r="D94" s="16" t="s">
        <v>194</v>
      </c>
      <c r="E94" s="16" t="s">
        <v>388</v>
      </c>
      <c r="F94" s="11"/>
      <c r="G94" s="11"/>
      <c r="H94" s="16" t="s">
        <v>196</v>
      </c>
      <c r="I94" s="11"/>
      <c r="J94" s="11"/>
      <c r="K94" s="19" t="n">
        <f aca="false">IF(I94="",N(F94)*(1+Settings!$B$7),I94)</f>
        <v>0</v>
      </c>
      <c r="L94" s="19" t="n">
        <f aca="false">IF(J94="",N(G94)*(1+Settings!$B$7),J94)</f>
        <v>0</v>
      </c>
      <c r="M94" s="16"/>
    </row>
    <row r="95" customFormat="false" ht="15" hidden="false" customHeight="false" outlineLevel="0" collapsed="false">
      <c r="A95" s="10" t="s">
        <v>389</v>
      </c>
      <c r="B95" s="10" t="s">
        <v>387</v>
      </c>
      <c r="C95" s="10" t="n">
        <v>1</v>
      </c>
      <c r="D95" s="16" t="s">
        <v>194</v>
      </c>
      <c r="E95" s="16" t="s">
        <v>388</v>
      </c>
      <c r="F95" s="11"/>
      <c r="G95" s="11"/>
      <c r="H95" s="16" t="s">
        <v>196</v>
      </c>
      <c r="I95" s="11"/>
      <c r="J95" s="11"/>
      <c r="K95" s="19" t="n">
        <f aca="false">IF(I95="",N(F95)*(1+Settings!$B$7),I95)</f>
        <v>0</v>
      </c>
      <c r="L95" s="19" t="n">
        <f aca="false">IF(J95="",N(G95)*(1+Settings!$B$7),J95)</f>
        <v>0</v>
      </c>
      <c r="M95" s="16"/>
    </row>
    <row r="96" customFormat="false" ht="15" hidden="false" customHeight="false" outlineLevel="0" collapsed="false">
      <c r="A96" s="10" t="s">
        <v>390</v>
      </c>
      <c r="B96" s="10" t="s">
        <v>391</v>
      </c>
      <c r="C96" s="10" t="n">
        <v>6</v>
      </c>
      <c r="D96" s="16" t="s">
        <v>194</v>
      </c>
      <c r="E96" s="16" t="s">
        <v>392</v>
      </c>
      <c r="F96" s="11"/>
      <c r="G96" s="11"/>
      <c r="H96" s="16" t="s">
        <v>196</v>
      </c>
      <c r="I96" s="11"/>
      <c r="J96" s="11"/>
      <c r="K96" s="19" t="n">
        <f aca="false">IF(I96="",N(F96)*(1+Settings!$B$7),I96)</f>
        <v>0</v>
      </c>
      <c r="L96" s="19" t="n">
        <f aca="false">IF(J96="",N(G96)*(1+Settings!$B$7),J96)</f>
        <v>0</v>
      </c>
      <c r="M96" s="16"/>
    </row>
    <row r="97" customFormat="false" ht="15" hidden="false" customHeight="false" outlineLevel="0" collapsed="false">
      <c r="A97" s="10" t="s">
        <v>393</v>
      </c>
      <c r="B97" s="10" t="s">
        <v>391</v>
      </c>
      <c r="C97" s="10" t="n">
        <v>6</v>
      </c>
      <c r="D97" s="16" t="s">
        <v>194</v>
      </c>
      <c r="E97" s="16" t="s">
        <v>392</v>
      </c>
      <c r="F97" s="11"/>
      <c r="G97" s="11"/>
      <c r="H97" s="16" t="s">
        <v>196</v>
      </c>
      <c r="I97" s="11"/>
      <c r="J97" s="11"/>
      <c r="K97" s="19" t="n">
        <f aca="false">IF(I97="",N(F97)*(1+Settings!$B$7),I97)</f>
        <v>0</v>
      </c>
      <c r="L97" s="19" t="n">
        <f aca="false">IF(J97="",N(G97)*(1+Settings!$B$7),J97)</f>
        <v>0</v>
      </c>
      <c r="M97" s="16"/>
    </row>
    <row r="98" customFormat="false" ht="15" hidden="false" customHeight="false" outlineLevel="0" collapsed="false">
      <c r="A98" s="10" t="s">
        <v>394</v>
      </c>
      <c r="B98" s="10" t="s">
        <v>395</v>
      </c>
      <c r="C98" s="10" t="n">
        <v>3</v>
      </c>
      <c r="D98" s="16" t="s">
        <v>194</v>
      </c>
      <c r="E98" s="16" t="s">
        <v>396</v>
      </c>
      <c r="F98" s="11"/>
      <c r="G98" s="11"/>
      <c r="H98" s="16" t="s">
        <v>196</v>
      </c>
      <c r="I98" s="11"/>
      <c r="J98" s="11"/>
      <c r="K98" s="19" t="n">
        <f aca="false">IF(I98="",N(F98)*(1+Settings!$B$7),I98)</f>
        <v>0</v>
      </c>
      <c r="L98" s="19" t="n">
        <f aca="false">IF(J98="",N(G98)*(1+Settings!$B$7),J98)</f>
        <v>0</v>
      </c>
      <c r="M98" s="16"/>
    </row>
    <row r="99" customFormat="false" ht="15" hidden="false" customHeight="false" outlineLevel="0" collapsed="false">
      <c r="A99" s="10" t="s">
        <v>397</v>
      </c>
      <c r="B99" s="10" t="s">
        <v>398</v>
      </c>
      <c r="C99" s="10" t="n">
        <v>24</v>
      </c>
      <c r="D99" s="16" t="s">
        <v>226</v>
      </c>
      <c r="E99" s="16" t="s">
        <v>399</v>
      </c>
      <c r="F99" s="11"/>
      <c r="G99" s="11"/>
      <c r="H99" s="16" t="s">
        <v>196</v>
      </c>
      <c r="I99" s="11"/>
      <c r="J99" s="11"/>
      <c r="K99" s="19" t="n">
        <f aca="false">IF(I99="",N(F99)*(1+Settings!$B$7),I99)</f>
        <v>0</v>
      </c>
      <c r="L99" s="19" t="n">
        <f aca="false">IF(J99="",N(G99)*(1+Settings!$B$7),J99)</f>
        <v>0</v>
      </c>
      <c r="M99" s="16"/>
    </row>
    <row r="100" customFormat="false" ht="15" hidden="false" customHeight="false" outlineLevel="0" collapsed="false">
      <c r="A100" s="10" t="s">
        <v>400</v>
      </c>
      <c r="B100" s="10" t="s">
        <v>398</v>
      </c>
      <c r="C100" s="10" t="n">
        <v>24</v>
      </c>
      <c r="D100" s="16" t="s">
        <v>226</v>
      </c>
      <c r="E100" s="16" t="s">
        <v>399</v>
      </c>
      <c r="F100" s="11"/>
      <c r="G100" s="11"/>
      <c r="H100" s="16" t="s">
        <v>196</v>
      </c>
      <c r="I100" s="11"/>
      <c r="J100" s="11"/>
      <c r="K100" s="19" t="n">
        <f aca="false">IF(I100="",N(F100)*(1+Settings!$B$7),I100)</f>
        <v>0</v>
      </c>
      <c r="L100" s="19" t="n">
        <f aca="false">IF(J100="",N(G100)*(1+Settings!$B$7),J100)</f>
        <v>0</v>
      </c>
      <c r="M100" s="16"/>
    </row>
    <row r="101" customFormat="false" ht="15" hidden="false" customHeight="false" outlineLevel="0" collapsed="false">
      <c r="A101" s="10" t="s">
        <v>401</v>
      </c>
      <c r="B101" s="10" t="s">
        <v>402</v>
      </c>
      <c r="C101" s="10" t="n">
        <v>15</v>
      </c>
      <c r="D101" s="16" t="s">
        <v>194</v>
      </c>
      <c r="E101" s="16" t="s">
        <v>403</v>
      </c>
      <c r="F101" s="11"/>
      <c r="G101" s="11"/>
      <c r="H101" s="16" t="s">
        <v>196</v>
      </c>
      <c r="I101" s="11"/>
      <c r="J101" s="11"/>
      <c r="K101" s="19" t="n">
        <f aca="false">IF(I101="",N(F101)*(1+Settings!$B$7),I101)</f>
        <v>0</v>
      </c>
      <c r="L101" s="19" t="n">
        <f aca="false">IF(J101="",N(G101)*(1+Settings!$B$7),J101)</f>
        <v>0</v>
      </c>
      <c r="M101" s="16"/>
    </row>
    <row r="102" customFormat="false" ht="15" hidden="false" customHeight="false" outlineLevel="0" collapsed="false">
      <c r="A102" s="10" t="s">
        <v>404</v>
      </c>
      <c r="B102" s="10" t="s">
        <v>405</v>
      </c>
      <c r="C102" s="10" t="n">
        <v>15</v>
      </c>
      <c r="D102" s="16" t="s">
        <v>194</v>
      </c>
      <c r="E102" s="16" t="s">
        <v>406</v>
      </c>
      <c r="F102" s="11"/>
      <c r="G102" s="11"/>
      <c r="H102" s="16" t="s">
        <v>196</v>
      </c>
      <c r="I102" s="11"/>
      <c r="J102" s="11"/>
      <c r="K102" s="19" t="n">
        <f aca="false">IF(I102="",N(F102)*(1+Settings!$B$7),I102)</f>
        <v>0</v>
      </c>
      <c r="L102" s="19" t="n">
        <f aca="false">IF(J102="",N(G102)*(1+Settings!$B$7),J102)</f>
        <v>0</v>
      </c>
      <c r="M102" s="16"/>
    </row>
    <row r="103" customFormat="false" ht="15" hidden="false" customHeight="false" outlineLevel="0" collapsed="false">
      <c r="A103" s="10" t="s">
        <v>407</v>
      </c>
      <c r="B103" s="10" t="s">
        <v>408</v>
      </c>
      <c r="C103" s="10" t="n">
        <v>16</v>
      </c>
      <c r="D103" s="16" t="s">
        <v>194</v>
      </c>
      <c r="E103" s="16" t="s">
        <v>409</v>
      </c>
      <c r="F103" s="11"/>
      <c r="G103" s="11"/>
      <c r="H103" s="16" t="s">
        <v>196</v>
      </c>
      <c r="I103" s="11"/>
      <c r="J103" s="11"/>
      <c r="K103" s="19" t="n">
        <f aca="false">IF(I103="",N(F103)*(1+Settings!$B$7),I103)</f>
        <v>0</v>
      </c>
      <c r="L103" s="19" t="n">
        <f aca="false">IF(J103="",N(G103)*(1+Settings!$B$7),J103)</f>
        <v>0</v>
      </c>
      <c r="M103" s="16"/>
    </row>
    <row r="104" customFormat="false" ht="15" hidden="false" customHeight="false" outlineLevel="0" collapsed="false">
      <c r="A104" s="10" t="s">
        <v>410</v>
      </c>
      <c r="B104" s="10" t="s">
        <v>411</v>
      </c>
      <c r="C104" s="10" t="n">
        <v>10</v>
      </c>
      <c r="D104" s="16" t="s">
        <v>194</v>
      </c>
      <c r="E104" s="16" t="s">
        <v>412</v>
      </c>
      <c r="F104" s="11"/>
      <c r="G104" s="11"/>
      <c r="H104" s="16" t="s">
        <v>196</v>
      </c>
      <c r="I104" s="11"/>
      <c r="J104" s="11"/>
      <c r="K104" s="19" t="n">
        <f aca="false">IF(I104="",N(F104)*(1+Settings!$B$7),I104)</f>
        <v>0</v>
      </c>
      <c r="L104" s="19" t="n">
        <f aca="false">IF(J104="",N(G104)*(1+Settings!$B$7),J104)</f>
        <v>0</v>
      </c>
      <c r="M104" s="16"/>
    </row>
    <row r="105" customFormat="false" ht="15" hidden="false" customHeight="false" outlineLevel="0" collapsed="false">
      <c r="A105" s="10" t="s">
        <v>413</v>
      </c>
      <c r="B105" s="10" t="s">
        <v>411</v>
      </c>
      <c r="C105" s="10" t="n">
        <v>10</v>
      </c>
      <c r="D105" s="16" t="s">
        <v>194</v>
      </c>
      <c r="E105" s="16" t="s">
        <v>412</v>
      </c>
      <c r="F105" s="11"/>
      <c r="G105" s="11"/>
      <c r="H105" s="16" t="s">
        <v>196</v>
      </c>
      <c r="I105" s="11"/>
      <c r="J105" s="11"/>
      <c r="K105" s="19" t="n">
        <f aca="false">IF(I105="",N(F105)*(1+Settings!$B$7),I105)</f>
        <v>0</v>
      </c>
      <c r="L105" s="19" t="n">
        <f aca="false">IF(J105="",N(G105)*(1+Settings!$B$7),J105)</f>
        <v>0</v>
      </c>
      <c r="M105" s="16"/>
    </row>
    <row r="106" customFormat="false" ht="15" hidden="false" customHeight="false" outlineLevel="0" collapsed="false">
      <c r="A106" s="10" t="s">
        <v>414</v>
      </c>
      <c r="B106" s="10" t="s">
        <v>283</v>
      </c>
      <c r="C106" s="10" t="n">
        <v>0</v>
      </c>
      <c r="D106" s="16" t="s">
        <v>194</v>
      </c>
      <c r="E106" s="16" t="s">
        <v>415</v>
      </c>
      <c r="F106" s="11"/>
      <c r="G106" s="11"/>
      <c r="H106" s="16" t="s">
        <v>285</v>
      </c>
      <c r="I106" s="11"/>
      <c r="J106" s="11"/>
      <c r="K106" s="19" t="n">
        <f aca="false">IF(I106="",N(F106)*(1+Settings!$B$7),I106)</f>
        <v>0</v>
      </c>
      <c r="L106" s="19" t="n">
        <f aca="false">IF(J106="",N(G106)*(1+Settings!$B$7),J106)</f>
        <v>0</v>
      </c>
      <c r="M106" s="16"/>
    </row>
    <row r="107" customFormat="false" ht="15" hidden="false" customHeight="false" outlineLevel="0" collapsed="false">
      <c r="A107" s="10" t="s">
        <v>416</v>
      </c>
      <c r="B107" s="10" t="s">
        <v>417</v>
      </c>
      <c r="C107" s="10" t="n">
        <v>3</v>
      </c>
      <c r="D107" s="16" t="s">
        <v>226</v>
      </c>
      <c r="E107" s="16" t="s">
        <v>418</v>
      </c>
      <c r="F107" s="11"/>
      <c r="G107" s="11"/>
      <c r="H107" s="16" t="s">
        <v>196</v>
      </c>
      <c r="I107" s="11"/>
      <c r="J107" s="11"/>
      <c r="K107" s="19" t="n">
        <f aca="false">IF(I107="",N(F107)*(1+Settings!$B$7),I107)</f>
        <v>0</v>
      </c>
      <c r="L107" s="19" t="n">
        <f aca="false">IF(J107="",N(G107)*(1+Settings!$B$7),J107)</f>
        <v>0</v>
      </c>
      <c r="M107" s="16"/>
    </row>
    <row r="108" customFormat="false" ht="15" hidden="false" customHeight="false" outlineLevel="0" collapsed="false">
      <c r="A108" s="10" t="s">
        <v>419</v>
      </c>
      <c r="B108" s="10" t="s">
        <v>283</v>
      </c>
      <c r="C108" s="10" t="n">
        <v>0</v>
      </c>
      <c r="D108" s="16" t="s">
        <v>194</v>
      </c>
      <c r="E108" s="16" t="s">
        <v>420</v>
      </c>
      <c r="F108" s="11"/>
      <c r="G108" s="11"/>
      <c r="H108" s="16" t="s">
        <v>285</v>
      </c>
      <c r="I108" s="11"/>
      <c r="J108" s="11"/>
      <c r="K108" s="19" t="n">
        <f aca="false">IF(I108="",N(F108)*(1+Settings!$B$7),I108)</f>
        <v>0</v>
      </c>
      <c r="L108" s="19" t="n">
        <f aca="false">IF(J108="",N(G108)*(1+Settings!$B$7),J108)</f>
        <v>0</v>
      </c>
      <c r="M108" s="16"/>
    </row>
    <row r="109" customFormat="false" ht="15" hidden="false" customHeight="false" outlineLevel="0" collapsed="false">
      <c r="A109" s="10" t="s">
        <v>421</v>
      </c>
      <c r="B109" s="10" t="s">
        <v>283</v>
      </c>
      <c r="C109" s="10" t="n">
        <v>0</v>
      </c>
      <c r="D109" s="16" t="s">
        <v>194</v>
      </c>
      <c r="E109" s="16" t="s">
        <v>422</v>
      </c>
      <c r="F109" s="11"/>
      <c r="G109" s="11"/>
      <c r="H109" s="16" t="s">
        <v>285</v>
      </c>
      <c r="I109" s="11"/>
      <c r="J109" s="11"/>
      <c r="K109" s="19" t="n">
        <f aca="false">IF(I109="",N(F109)*(1+Settings!$B$7),I109)</f>
        <v>0</v>
      </c>
      <c r="L109" s="19" t="n">
        <f aca="false">IF(J109="",N(G109)*(1+Settings!$B$7),J109)</f>
        <v>0</v>
      </c>
      <c r="M109" s="16"/>
    </row>
    <row r="110" customFormat="false" ht="15" hidden="false" customHeight="false" outlineLevel="0" collapsed="false">
      <c r="A110" s="10" t="s">
        <v>423</v>
      </c>
      <c r="B110" s="10" t="s">
        <v>424</v>
      </c>
      <c r="C110" s="10" t="n">
        <v>9</v>
      </c>
      <c r="D110" s="16" t="s">
        <v>194</v>
      </c>
      <c r="E110" s="16" t="s">
        <v>425</v>
      </c>
      <c r="F110" s="11"/>
      <c r="G110" s="11"/>
      <c r="H110" s="16" t="s">
        <v>196</v>
      </c>
      <c r="I110" s="11"/>
      <c r="J110" s="11"/>
      <c r="K110" s="19" t="n">
        <f aca="false">IF(I110="",N(F110)*(1+Settings!$B$7),I110)</f>
        <v>0</v>
      </c>
      <c r="L110" s="19" t="n">
        <f aca="false">IF(J110="",N(G110)*(1+Settings!$B$7),J110)</f>
        <v>0</v>
      </c>
      <c r="M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9" t="n">
        <f aca="false">IF(I111="",N(F111)*(1+Settings!$B$7),I111)</f>
        <v>0</v>
      </c>
      <c r="L111" s="19" t="n">
        <f aca="false">IF(J111="",N(G111)*(1+Settings!$B$7),J111)</f>
        <v>0</v>
      </c>
    </row>
    <row r="112" customFormat="false" ht="15" hidden="false" customHeight="fals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9" t="n">
        <f aca="false">IF(I112="",N(F112)*(1+Settings!$B$7),I112)</f>
        <v>0</v>
      </c>
      <c r="L112" s="19" t="n">
        <f aca="false">IF(J112="",N(G112)*(1+Settings!$B$7),J112)</f>
        <v>0</v>
      </c>
    </row>
    <row r="113" customFormat="false" ht="15" hidden="false" customHeight="fals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9" t="n">
        <f aca="false">IF(I113="",N(F113)*(1+Settings!$B$7),I113)</f>
        <v>0</v>
      </c>
      <c r="L113" s="19" t="n">
        <f aca="false">IF(J113="",N(G113)*(1+Settings!$B$7),J113)</f>
        <v>0</v>
      </c>
    </row>
    <row r="114" customFormat="false" ht="15" hidden="false" customHeight="fals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9" t="n">
        <f aca="false">IF(I114="",N(F114)*(1+Settings!$B$7),I114)</f>
        <v>0</v>
      </c>
      <c r="L114" s="19" t="n">
        <f aca="false">IF(J114="",N(G114)*(1+Settings!$B$7),J114)</f>
        <v>0</v>
      </c>
    </row>
    <row r="115" customFormat="false" ht="15" hidden="false" customHeight="fals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9" t="n">
        <f aca="false">IF(I115="",N(F115)*(1+Settings!$B$7),I115)</f>
        <v>0</v>
      </c>
      <c r="L115" s="19" t="n">
        <f aca="false">IF(J115="",N(G115)*(1+Settings!$B$7),J115)</f>
        <v>0</v>
      </c>
    </row>
    <row r="116" customFormat="false" ht="15" hidden="false" customHeight="fals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9" t="n">
        <f aca="false">IF(I116="",N(F116)*(1+Settings!$B$7),I116)</f>
        <v>0</v>
      </c>
      <c r="L116" s="19" t="n">
        <f aca="false">IF(J116="",N(G116)*(1+Settings!$B$7),J116)</f>
        <v>0</v>
      </c>
    </row>
    <row r="117" customFormat="false" ht="15" hidden="false" customHeight="fals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9" t="n">
        <f aca="false">IF(I117="",N(F117)*(1+Settings!$B$7),I117)</f>
        <v>0</v>
      </c>
      <c r="L117" s="19" t="n">
        <f aca="false">IF(J117="",N(G117)*(1+Settings!$B$7),J117)</f>
        <v>0</v>
      </c>
    </row>
    <row r="118" customFormat="false" ht="15" hidden="false" customHeight="fals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9" t="n">
        <f aca="false">IF(I118="",N(F118)*(1+Settings!$B$7),I118)</f>
        <v>0</v>
      </c>
      <c r="L118" s="19" t="n">
        <f aca="false">IF(J118="",N(G118)*(1+Settings!$B$7),J118)</f>
        <v>0</v>
      </c>
    </row>
    <row r="119" customFormat="false" ht="15" hidden="false" customHeight="fals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9" t="n">
        <f aca="false">IF(I119="",N(F119)*(1+Settings!$B$7),I119)</f>
        <v>0</v>
      </c>
      <c r="L119" s="19" t="n">
        <f aca="false">IF(J119="",N(G119)*(1+Settings!$B$7),J119)</f>
        <v>0</v>
      </c>
    </row>
    <row r="120" customFormat="false" ht="15" hidden="false" customHeight="fals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9" t="n">
        <f aca="false">IF(I120="",N(F120)*(1+Settings!$B$7),I120)</f>
        <v>0</v>
      </c>
      <c r="L120" s="19" t="n">
        <f aca="false">IF(J120="",N(G120)*(1+Settings!$B$7),J120)</f>
        <v>0</v>
      </c>
    </row>
    <row r="121" customFormat="false" ht="15" hidden="false" customHeight="fals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9" t="n">
        <f aca="false">IF(I121="",N(F121)*(1+Settings!$B$7),I121)</f>
        <v>0</v>
      </c>
      <c r="L121" s="19" t="n">
        <f aca="false">IF(J121="",N(G121)*(1+Settings!$B$7),J121)</f>
        <v>0</v>
      </c>
    </row>
    <row r="122" customFormat="false" ht="15" hidden="false" customHeight="fals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9" t="n">
        <f aca="false">IF(I122="",N(F122)*(1+Settings!$B$7),I122)</f>
        <v>0</v>
      </c>
      <c r="L122" s="19" t="n">
        <f aca="false">IF(J122="",N(G122)*(1+Settings!$B$7),J122)</f>
        <v>0</v>
      </c>
    </row>
    <row r="123" customFormat="false" ht="15" hidden="false" customHeight="fals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9" t="n">
        <f aca="false">IF(I123="",N(F123)*(1+Settings!$B$7),I123)</f>
        <v>0</v>
      </c>
      <c r="L123" s="19" t="n">
        <f aca="false">IF(J123="",N(G123)*(1+Settings!$B$7),J123)</f>
        <v>0</v>
      </c>
    </row>
    <row r="124" customFormat="false" ht="15" hidden="false" customHeight="fals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9" t="n">
        <f aca="false">IF(I124="",N(F124)*(1+Settings!$B$7),I124)</f>
        <v>0</v>
      </c>
      <c r="L124" s="19" t="n">
        <f aca="false">IF(J124="",N(G124)*(1+Settings!$B$7),J124)</f>
        <v>0</v>
      </c>
    </row>
    <row r="125" customFormat="false" ht="15" hidden="false" customHeight="fals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9" t="n">
        <f aca="false">IF(I125="",N(F125)*(1+Settings!$B$7),I125)</f>
        <v>0</v>
      </c>
      <c r="L125" s="19" t="n">
        <f aca="false">IF(J125="",N(G125)*(1+Settings!$B$7),J125)</f>
        <v>0</v>
      </c>
    </row>
    <row r="126" customFormat="false" ht="15" hidden="false" customHeight="fals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9" t="n">
        <f aca="false">IF(I126="",N(F126)*(1+Settings!$B$7),I126)</f>
        <v>0</v>
      </c>
      <c r="L126" s="19" t="n">
        <f aca="false">IF(J126="",N(G126)*(1+Settings!$B$7),J126)</f>
        <v>0</v>
      </c>
    </row>
    <row r="127" customFormat="false" ht="15" hidden="false" customHeight="fals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9" t="n">
        <f aca="false">IF(I127="",N(F127)*(1+Settings!$B$7),I127)</f>
        <v>0</v>
      </c>
      <c r="L127" s="19" t="n">
        <f aca="false">IF(J127="",N(G127)*(1+Settings!$B$7),J127)</f>
        <v>0</v>
      </c>
    </row>
    <row r="128" customFormat="false" ht="15" hidden="false" customHeight="fals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9" t="n">
        <f aca="false">IF(I128="",N(F128)*(1+Settings!$B$7),I128)</f>
        <v>0</v>
      </c>
      <c r="L128" s="19" t="n">
        <f aca="false">IF(J128="",N(G128)*(1+Settings!$B$7),J128)</f>
        <v>0</v>
      </c>
    </row>
    <row r="129" customFormat="false" ht="15" hidden="false" customHeight="fals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9" t="n">
        <f aca="false">IF(I129="",N(F129)*(1+Settings!$B$7),I129)</f>
        <v>0</v>
      </c>
      <c r="L129" s="19" t="n">
        <f aca="false">IF(J129="",N(G129)*(1+Settings!$B$7),J129)</f>
        <v>0</v>
      </c>
    </row>
    <row r="130" customFormat="false" ht="15" hidden="false" customHeight="fals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9" t="n">
        <f aca="false">IF(I130="",N(F130)*(1+Settings!$B$7),I130)</f>
        <v>0</v>
      </c>
      <c r="L130" s="19" t="n">
        <f aca="false">IF(J130="",N(G130)*(1+Settings!$B$7),J130)</f>
        <v>0</v>
      </c>
    </row>
    <row r="131" customFormat="false" ht="15" hidden="false" customHeight="fals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9" t="n">
        <f aca="false">IF(I131="",N(F131)*(1+Settings!$B$7),I131)</f>
        <v>0</v>
      </c>
      <c r="L131" s="19" t="n">
        <f aca="false">IF(J131="",N(G131)*(1+Settings!$B$7),J131)</f>
        <v>0</v>
      </c>
    </row>
    <row r="132" customFormat="false" ht="15" hidden="false" customHeight="fals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9" t="n">
        <f aca="false">IF(I132="",N(F132)*(1+Settings!$B$7),I132)</f>
        <v>0</v>
      </c>
      <c r="L132" s="19" t="n">
        <f aca="false">IF(J132="",N(G132)*(1+Settings!$B$7),J132)</f>
        <v>0</v>
      </c>
    </row>
    <row r="133" customFormat="false" ht="15" hidden="false" customHeight="fals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9" t="n">
        <f aca="false">IF(I133="",N(F133)*(1+Settings!$B$7),I133)</f>
        <v>0</v>
      </c>
      <c r="L133" s="19" t="n">
        <f aca="false">IF(J133="",N(G133)*(1+Settings!$B$7),J133)</f>
        <v>0</v>
      </c>
    </row>
    <row r="134" customFormat="false" ht="15" hidden="false" customHeight="fals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9" t="n">
        <f aca="false">IF(I134="",N(F134)*(1+Settings!$B$7),I134)</f>
        <v>0</v>
      </c>
      <c r="L134" s="19" t="n">
        <f aca="false">IF(J134="",N(G134)*(1+Settings!$B$7),J134)</f>
        <v>0</v>
      </c>
    </row>
    <row r="135" customFormat="false" ht="15" hidden="false" customHeight="fals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9" t="n">
        <f aca="false">IF(I135="",N(F135)*(1+Settings!$B$7),I135)</f>
        <v>0</v>
      </c>
      <c r="L135" s="19" t="n">
        <f aca="false">IF(J135="",N(G135)*(1+Settings!$B$7),J135)</f>
        <v>0</v>
      </c>
    </row>
    <row r="136" customFormat="false" ht="15" hidden="false" customHeight="fals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9" t="n">
        <f aca="false">IF(I136="",N(F136)*(1+Settings!$B$7),I136)</f>
        <v>0</v>
      </c>
      <c r="L136" s="19" t="n">
        <f aca="false">IF(J136="",N(G136)*(1+Settings!$B$7),J136)</f>
        <v>0</v>
      </c>
    </row>
    <row r="137" customFormat="false" ht="15" hidden="false" customHeight="fals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9" t="n">
        <f aca="false">IF(I137="",N(F137)*(1+Settings!$B$7),I137)</f>
        <v>0</v>
      </c>
      <c r="L137" s="19" t="n">
        <f aca="false">IF(J137="",N(G137)*(1+Settings!$B$7),J137)</f>
        <v>0</v>
      </c>
    </row>
    <row r="138" customFormat="false" ht="15" hidden="false" customHeight="fals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9" t="n">
        <f aca="false">IF(I138="",N(F138)*(1+Settings!$B$7),I138)</f>
        <v>0</v>
      </c>
      <c r="L138" s="19" t="n">
        <f aca="false">IF(J138="",N(G138)*(1+Settings!$B$7),J138)</f>
        <v>0</v>
      </c>
    </row>
    <row r="139" customFormat="false" ht="15" hidden="false" customHeight="fals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9" t="n">
        <f aca="false">IF(I139="",N(F139)*(1+Settings!$B$7),I139)</f>
        <v>0</v>
      </c>
      <c r="L139" s="19" t="n">
        <f aca="false">IF(J139="",N(G139)*(1+Settings!$B$7),J139)</f>
        <v>0</v>
      </c>
    </row>
    <row r="140" customFormat="false" ht="15" hidden="false" customHeight="fals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9" t="n">
        <f aca="false">IF(I140="",N(F140)*(1+Settings!$B$7),I140)</f>
        <v>0</v>
      </c>
      <c r="L140" s="19" t="n">
        <f aca="false">IF(J140="",N(G140)*(1+Settings!$B$7),J140)</f>
        <v>0</v>
      </c>
    </row>
    <row r="141" customFormat="false" ht="15" hidden="false" customHeight="fals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9" t="n">
        <f aca="false">IF(I141="",N(F141)*(1+Settings!$B$7),I141)</f>
        <v>0</v>
      </c>
      <c r="L141" s="19" t="n">
        <f aca="false">IF(J141="",N(G141)*(1+Settings!$B$7),J141)</f>
        <v>0</v>
      </c>
    </row>
    <row r="142" customFormat="false" ht="15" hidden="false" customHeight="fals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9" t="n">
        <f aca="false">IF(I142="",N(F142)*(1+Settings!$B$7),I142)</f>
        <v>0</v>
      </c>
      <c r="L142" s="19" t="n">
        <f aca="false">IF(J142="",N(G142)*(1+Settings!$B$7),J142)</f>
        <v>0</v>
      </c>
    </row>
    <row r="143" customFormat="false" ht="15" hidden="false" customHeight="fals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9" t="n">
        <f aca="false">IF(I143="",N(F143)*(1+Settings!$B$7),I143)</f>
        <v>0</v>
      </c>
      <c r="L143" s="19" t="n">
        <f aca="false">IF(J143="",N(G143)*(1+Settings!$B$7),J143)</f>
        <v>0</v>
      </c>
    </row>
    <row r="144" customFormat="false" ht="15" hidden="false" customHeight="fals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9" t="n">
        <f aca="false">IF(I144="",N(F144)*(1+Settings!$B$7),I144)</f>
        <v>0</v>
      </c>
      <c r="L144" s="19" t="n">
        <f aca="false">IF(J144="",N(G144)*(1+Settings!$B$7),J144)</f>
        <v>0</v>
      </c>
    </row>
    <row r="145" customFormat="false" ht="15" hidden="false" customHeight="fals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9" t="n">
        <f aca="false">IF(I145="",N(F145)*(1+Settings!$B$7),I145)</f>
        <v>0</v>
      </c>
      <c r="L145" s="19" t="n">
        <f aca="false">IF(J145="",N(G145)*(1+Settings!$B$7),J145)</f>
        <v>0</v>
      </c>
    </row>
    <row r="146" customFormat="false" ht="15" hidden="false" customHeight="fals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9" t="n">
        <f aca="false">IF(I146="",N(F146)*(1+Settings!$B$7),I146)</f>
        <v>0</v>
      </c>
      <c r="L146" s="19" t="n">
        <f aca="false">IF(J146="",N(G146)*(1+Settings!$B$7),J146)</f>
        <v>0</v>
      </c>
    </row>
    <row r="147" customFormat="false" ht="15" hidden="false" customHeight="fals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9" t="n">
        <f aca="false">IF(I147="",N(F147)*(1+Settings!$B$7),I147)</f>
        <v>0</v>
      </c>
      <c r="L147" s="19" t="n">
        <f aca="false">IF(J147="",N(G147)*(1+Settings!$B$7),J147)</f>
        <v>0</v>
      </c>
    </row>
    <row r="148" customFormat="false" ht="15" hidden="false" customHeight="fals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9" t="n">
        <f aca="false">IF(I148="",N(F148)*(1+Settings!$B$7),I148)</f>
        <v>0</v>
      </c>
      <c r="L148" s="19" t="n">
        <f aca="false">IF(J148="",N(G148)*(1+Settings!$B$7),J148)</f>
        <v>0</v>
      </c>
    </row>
    <row r="149" customFormat="false" ht="15" hidden="false" customHeight="fals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9" t="n">
        <f aca="false">IF(I149="",N(F149)*(1+Settings!$B$7),I149)</f>
        <v>0</v>
      </c>
      <c r="L149" s="19" t="n">
        <f aca="false">IF(J149="",N(G149)*(1+Settings!$B$7),J149)</f>
        <v>0</v>
      </c>
    </row>
    <row r="150" customFormat="false" ht="15" hidden="false" customHeight="fals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9" t="n">
        <f aca="false">IF(I150="",N(F150)*(1+Settings!$B$7),I150)</f>
        <v>0</v>
      </c>
      <c r="L150" s="19" t="n">
        <f aca="false">IF(J150="",N(G150)*(1+Settings!$B$7),J150)</f>
        <v>0</v>
      </c>
    </row>
    <row r="151" customFormat="false" ht="15" hidden="false" customHeight="fals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9" t="n">
        <f aca="false">IF(I151="",N(F151)*(1+Settings!$B$7),I151)</f>
        <v>0</v>
      </c>
      <c r="L151" s="19" t="n">
        <f aca="false">IF(J151="",N(G151)*(1+Settings!$B$7),J151)</f>
        <v>0</v>
      </c>
    </row>
    <row r="152" customFormat="false" ht="15" hidden="false" customHeight="fals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9" t="n">
        <f aca="false">IF(I152="",N(F152)*(1+Settings!$B$7),I152)</f>
        <v>0</v>
      </c>
      <c r="L152" s="19" t="n">
        <f aca="false">IF(J152="",N(G152)*(1+Settings!$B$7),J152)</f>
        <v>0</v>
      </c>
    </row>
    <row r="153" customFormat="false" ht="15" hidden="false" customHeight="fals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9" t="n">
        <f aca="false">IF(I153="",N(F153)*(1+Settings!$B$7),I153)</f>
        <v>0</v>
      </c>
      <c r="L153" s="19" t="n">
        <f aca="false">IF(J153="",N(G153)*(1+Settings!$B$7),J153)</f>
        <v>0</v>
      </c>
    </row>
    <row r="154" customFormat="false" ht="15" hidden="false" customHeight="fals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9" t="n">
        <f aca="false">IF(I154="",N(F154)*(1+Settings!$B$7),I154)</f>
        <v>0</v>
      </c>
      <c r="L154" s="19" t="n">
        <f aca="false">IF(J154="",N(G154)*(1+Settings!$B$7),J154)</f>
        <v>0</v>
      </c>
    </row>
    <row r="156" customFormat="false" ht="15" hidden="false" customHeight="false" outlineLevel="0" collapsed="false">
      <c r="A156" s="20" t="s">
        <v>426</v>
      </c>
    </row>
  </sheetData>
  <autoFilter ref="A4:M154"/>
  <dataValidations count="1">
    <dataValidation allowBlank="true" errorStyle="stop" operator="between" showDropDown="false" showErrorMessage="false" showInputMessage="false" sqref="H5:H154" type="list">
      <formula1>"Marketed,Pipeline / no formula,Discontinued"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H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24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427</v>
      </c>
    </row>
    <row r="2" customFormat="false" ht="15" hidden="false" customHeight="false" outlineLevel="0" collapsed="false">
      <c r="A2" s="2" t="s">
        <v>428</v>
      </c>
    </row>
    <row r="4" customFormat="false" ht="45" hidden="false" customHeight="true" outlineLevel="0" collapsed="false">
      <c r="A4" s="7" t="s">
        <v>429</v>
      </c>
      <c r="B4" s="7" t="s">
        <v>430</v>
      </c>
      <c r="C4" s="7" t="s">
        <v>431</v>
      </c>
      <c r="D4" s="7" t="s">
        <v>432</v>
      </c>
      <c r="E4" s="7" t="s">
        <v>433</v>
      </c>
      <c r="F4" s="7" t="s">
        <v>434</v>
      </c>
      <c r="G4" s="7" t="s">
        <v>435</v>
      </c>
      <c r="H4" s="7" t="s">
        <v>178</v>
      </c>
    </row>
    <row r="5" customFormat="false" ht="15" hidden="false" customHeight="false" outlineLevel="0" collapsed="false">
      <c r="A5" s="10" t="s">
        <v>436</v>
      </c>
      <c r="B5" s="10" t="s">
        <v>437</v>
      </c>
      <c r="C5" s="10" t="n">
        <v>6</v>
      </c>
      <c r="D5" s="11"/>
      <c r="E5" s="11"/>
      <c r="F5" s="19" t="n">
        <f aca="false">IF(E5="",N(D5)*(1+Settings!$B$7),E5)</f>
        <v>0</v>
      </c>
      <c r="G5" s="16"/>
      <c r="H5" s="16"/>
    </row>
    <row r="6" customFormat="false" ht="15" hidden="false" customHeight="false" outlineLevel="0" collapsed="false">
      <c r="A6" s="10" t="s">
        <v>438</v>
      </c>
      <c r="B6" s="10" t="s">
        <v>437</v>
      </c>
      <c r="C6" s="10" t="n">
        <v>4</v>
      </c>
      <c r="D6" s="11"/>
      <c r="E6" s="11"/>
      <c r="F6" s="19" t="n">
        <f aca="false">IF(E6="",N(D6)*(1+Settings!$B$7),E6)</f>
        <v>0</v>
      </c>
      <c r="G6" s="16"/>
      <c r="H6" s="16"/>
    </row>
    <row r="7" customFormat="false" ht="15" hidden="false" customHeight="false" outlineLevel="0" collapsed="false">
      <c r="A7" s="10" t="s">
        <v>439</v>
      </c>
      <c r="B7" s="10" t="s">
        <v>437</v>
      </c>
      <c r="C7" s="10" t="n">
        <v>1</v>
      </c>
      <c r="D7" s="11"/>
      <c r="E7" s="11"/>
      <c r="F7" s="19" t="n">
        <f aca="false">IF(E7="",N(D7)*(1+Settings!$B$7),E7)</f>
        <v>0</v>
      </c>
      <c r="G7" s="16"/>
      <c r="H7" s="16"/>
    </row>
    <row r="8" customFormat="false" ht="15" hidden="false" customHeight="false" outlineLevel="0" collapsed="false">
      <c r="A8" s="10" t="s">
        <v>291</v>
      </c>
      <c r="B8" s="10" t="s">
        <v>437</v>
      </c>
      <c r="C8" s="10" t="n">
        <v>2</v>
      </c>
      <c r="D8" s="11"/>
      <c r="E8" s="11"/>
      <c r="F8" s="19" t="n">
        <f aca="false">IF(E8="",N(D8)*(1+Settings!$B$7),E8)</f>
        <v>0</v>
      </c>
      <c r="G8" s="16"/>
      <c r="H8" s="16"/>
    </row>
    <row r="9" customFormat="false" ht="15" hidden="false" customHeight="false" outlineLevel="0" collapsed="false">
      <c r="A9" s="10" t="s">
        <v>440</v>
      </c>
      <c r="B9" s="10" t="s">
        <v>437</v>
      </c>
      <c r="C9" s="10" t="n">
        <v>1</v>
      </c>
      <c r="D9" s="11"/>
      <c r="E9" s="11"/>
      <c r="F9" s="19" t="n">
        <f aca="false">IF(E9="",N(D9)*(1+Settings!$B$7),E9)</f>
        <v>0</v>
      </c>
      <c r="G9" s="16"/>
      <c r="H9" s="16"/>
    </row>
    <row r="10" customFormat="false" ht="15" hidden="false" customHeight="false" outlineLevel="0" collapsed="false">
      <c r="A10" s="10" t="s">
        <v>441</v>
      </c>
      <c r="B10" s="10" t="s">
        <v>437</v>
      </c>
      <c r="C10" s="10" t="n">
        <v>2</v>
      </c>
      <c r="D10" s="11"/>
      <c r="E10" s="11"/>
      <c r="F10" s="19" t="n">
        <f aca="false">IF(E10="",N(D10)*(1+Settings!$B$7),E10)</f>
        <v>0</v>
      </c>
      <c r="G10" s="16"/>
      <c r="H10" s="16"/>
    </row>
    <row r="11" customFormat="false" ht="15" hidden="false" customHeight="false" outlineLevel="0" collapsed="false">
      <c r="A11" s="10" t="s">
        <v>346</v>
      </c>
      <c r="B11" s="10" t="s">
        <v>437</v>
      </c>
      <c r="C11" s="10" t="n">
        <v>12</v>
      </c>
      <c r="D11" s="11"/>
      <c r="E11" s="11"/>
      <c r="F11" s="19" t="n">
        <f aca="false">IF(E11="",N(D11)*(1+Settings!$B$7),E11)</f>
        <v>0</v>
      </c>
      <c r="G11" s="16"/>
      <c r="H11" s="16"/>
    </row>
    <row r="12" customFormat="false" ht="15" hidden="false" customHeight="false" outlineLevel="0" collapsed="false">
      <c r="A12" s="10" t="s">
        <v>442</v>
      </c>
      <c r="B12" s="10" t="s">
        <v>437</v>
      </c>
      <c r="C12" s="10" t="n">
        <v>1</v>
      </c>
      <c r="D12" s="11"/>
      <c r="E12" s="11"/>
      <c r="F12" s="19" t="n">
        <f aca="false">IF(E12="",N(D12)*(1+Settings!$B$7),E12)</f>
        <v>0</v>
      </c>
      <c r="G12" s="16"/>
      <c r="H12" s="16"/>
    </row>
    <row r="13" customFormat="false" ht="15" hidden="false" customHeight="false" outlineLevel="0" collapsed="false">
      <c r="A13" s="10" t="s">
        <v>443</v>
      </c>
      <c r="B13" s="10" t="s">
        <v>437</v>
      </c>
      <c r="C13" s="10" t="n">
        <v>1</v>
      </c>
      <c r="D13" s="11"/>
      <c r="E13" s="11"/>
      <c r="F13" s="19" t="n">
        <f aca="false">IF(E13="",N(D13)*(1+Settings!$B$7),E13)</f>
        <v>0</v>
      </c>
      <c r="G13" s="16"/>
      <c r="H13" s="16"/>
    </row>
    <row r="14" customFormat="false" ht="15" hidden="false" customHeight="false" outlineLevel="0" collapsed="false">
      <c r="A14" s="10" t="s">
        <v>237</v>
      </c>
      <c r="B14" s="10" t="s">
        <v>437</v>
      </c>
      <c r="C14" s="10" t="n">
        <v>2</v>
      </c>
      <c r="D14" s="11"/>
      <c r="E14" s="11"/>
      <c r="F14" s="19" t="n">
        <f aca="false">IF(E14="",N(D14)*(1+Settings!$B$7),E14)</f>
        <v>0</v>
      </c>
      <c r="G14" s="16"/>
      <c r="H14" s="16"/>
    </row>
    <row r="15" customFormat="false" ht="15" hidden="false" customHeight="false" outlineLevel="0" collapsed="false">
      <c r="A15" s="10" t="s">
        <v>444</v>
      </c>
      <c r="B15" s="10" t="s">
        <v>437</v>
      </c>
      <c r="C15" s="10" t="n">
        <v>5</v>
      </c>
      <c r="D15" s="11"/>
      <c r="E15" s="11"/>
      <c r="F15" s="19" t="n">
        <f aca="false">IF(E15="",N(D15)*(1+Settings!$B$7),E15)</f>
        <v>0</v>
      </c>
      <c r="G15" s="16"/>
      <c r="H15" s="16"/>
    </row>
    <row r="16" customFormat="false" ht="15" hidden="false" customHeight="false" outlineLevel="0" collapsed="false">
      <c r="A16" s="10" t="s">
        <v>445</v>
      </c>
      <c r="B16" s="10" t="s">
        <v>437</v>
      </c>
      <c r="C16" s="10" t="n">
        <v>5</v>
      </c>
      <c r="D16" s="11"/>
      <c r="E16" s="11"/>
      <c r="F16" s="19" t="n">
        <f aca="false">IF(E16="",N(D16)*(1+Settings!$B$7),E16)</f>
        <v>0</v>
      </c>
      <c r="G16" s="16"/>
      <c r="H16" s="16"/>
    </row>
    <row r="17" customFormat="false" ht="15" hidden="false" customHeight="false" outlineLevel="0" collapsed="false">
      <c r="A17" s="10" t="s">
        <v>446</v>
      </c>
      <c r="B17" s="10" t="s">
        <v>437</v>
      </c>
      <c r="C17" s="10" t="n">
        <v>1</v>
      </c>
      <c r="D17" s="11"/>
      <c r="E17" s="11"/>
      <c r="F17" s="19" t="n">
        <f aca="false">IF(E17="",N(D17)*(1+Settings!$B$7),E17)</f>
        <v>0</v>
      </c>
      <c r="G17" s="16"/>
      <c r="H17" s="16"/>
    </row>
    <row r="18" customFormat="false" ht="15" hidden="false" customHeight="false" outlineLevel="0" collapsed="false">
      <c r="A18" s="10" t="s">
        <v>447</v>
      </c>
      <c r="B18" s="10" t="s">
        <v>437</v>
      </c>
      <c r="C18" s="10" t="n">
        <v>1</v>
      </c>
      <c r="D18" s="11"/>
      <c r="E18" s="11"/>
      <c r="F18" s="19" t="n">
        <f aca="false">IF(E18="",N(D18)*(1+Settings!$B$7),E18)</f>
        <v>0</v>
      </c>
      <c r="G18" s="16"/>
      <c r="H18" s="16"/>
    </row>
    <row r="19" customFormat="false" ht="15" hidden="false" customHeight="false" outlineLevel="0" collapsed="false">
      <c r="A19" s="10" t="s">
        <v>448</v>
      </c>
      <c r="B19" s="10" t="s">
        <v>437</v>
      </c>
      <c r="C19" s="10" t="n">
        <v>1</v>
      </c>
      <c r="D19" s="11"/>
      <c r="E19" s="11"/>
      <c r="F19" s="19" t="n">
        <f aca="false">IF(E19="",N(D19)*(1+Settings!$B$7),E19)</f>
        <v>0</v>
      </c>
      <c r="G19" s="16"/>
      <c r="H19" s="16"/>
    </row>
    <row r="20" customFormat="false" ht="15" hidden="false" customHeight="false" outlineLevel="0" collapsed="false">
      <c r="A20" s="10" t="s">
        <v>449</v>
      </c>
      <c r="B20" s="10" t="s">
        <v>437</v>
      </c>
      <c r="C20" s="10" t="n">
        <v>7</v>
      </c>
      <c r="D20" s="11"/>
      <c r="E20" s="11"/>
      <c r="F20" s="19" t="n">
        <f aca="false">IF(E20="",N(D20)*(1+Settings!$B$7),E20)</f>
        <v>0</v>
      </c>
      <c r="G20" s="16"/>
      <c r="H20" s="16"/>
    </row>
    <row r="21" customFormat="false" ht="15" hidden="false" customHeight="false" outlineLevel="0" collapsed="false">
      <c r="A21" s="10" t="s">
        <v>450</v>
      </c>
      <c r="B21" s="10" t="s">
        <v>437</v>
      </c>
      <c r="C21" s="10" t="n">
        <v>7</v>
      </c>
      <c r="D21" s="11"/>
      <c r="E21" s="11"/>
      <c r="F21" s="19" t="n">
        <f aca="false">IF(E21="",N(D21)*(1+Settings!$B$7),E21)</f>
        <v>0</v>
      </c>
      <c r="G21" s="16"/>
      <c r="H21" s="16"/>
    </row>
    <row r="22" customFormat="false" ht="15" hidden="false" customHeight="false" outlineLevel="0" collapsed="false">
      <c r="A22" s="10" t="s">
        <v>451</v>
      </c>
      <c r="B22" s="10" t="s">
        <v>437</v>
      </c>
      <c r="C22" s="10" t="n">
        <v>2</v>
      </c>
      <c r="D22" s="11"/>
      <c r="E22" s="11"/>
      <c r="F22" s="19" t="n">
        <f aca="false">IF(E22="",N(D22)*(1+Settings!$B$7),E22)</f>
        <v>0</v>
      </c>
      <c r="G22" s="16"/>
      <c r="H22" s="16"/>
    </row>
    <row r="23" customFormat="false" ht="15" hidden="false" customHeight="false" outlineLevel="0" collapsed="false">
      <c r="A23" s="10" t="s">
        <v>452</v>
      </c>
      <c r="B23" s="10" t="s">
        <v>437</v>
      </c>
      <c r="C23" s="10" t="n">
        <v>3</v>
      </c>
      <c r="D23" s="11"/>
      <c r="E23" s="11"/>
      <c r="F23" s="19" t="n">
        <f aca="false">IF(E23="",N(D23)*(1+Settings!$B$7),E23)</f>
        <v>0</v>
      </c>
      <c r="G23" s="16"/>
      <c r="H23" s="16"/>
    </row>
    <row r="24" customFormat="false" ht="15" hidden="false" customHeight="false" outlineLevel="0" collapsed="false">
      <c r="A24" s="10" t="s">
        <v>317</v>
      </c>
      <c r="B24" s="10" t="s">
        <v>437</v>
      </c>
      <c r="C24" s="10" t="n">
        <v>1</v>
      </c>
      <c r="D24" s="11"/>
      <c r="E24" s="11"/>
      <c r="F24" s="19" t="n">
        <f aca="false">IF(E24="",N(D24)*(1+Settings!$B$7),E24)</f>
        <v>0</v>
      </c>
      <c r="G24" s="16"/>
      <c r="H24" s="16"/>
    </row>
    <row r="25" customFormat="false" ht="15" hidden="false" customHeight="false" outlineLevel="0" collapsed="false">
      <c r="A25" s="10" t="s">
        <v>453</v>
      </c>
      <c r="B25" s="10" t="s">
        <v>437</v>
      </c>
      <c r="C25" s="10" t="n">
        <v>1</v>
      </c>
      <c r="D25" s="11"/>
      <c r="E25" s="11"/>
      <c r="F25" s="19" t="n">
        <f aca="false">IF(E25="",N(D25)*(1+Settings!$B$7),E25)</f>
        <v>0</v>
      </c>
      <c r="G25" s="16"/>
      <c r="H25" s="16"/>
    </row>
    <row r="26" customFormat="false" ht="15" hidden="false" customHeight="false" outlineLevel="0" collapsed="false">
      <c r="A26" s="10" t="s">
        <v>454</v>
      </c>
      <c r="B26" s="10" t="s">
        <v>437</v>
      </c>
      <c r="C26" s="10" t="n">
        <v>5</v>
      </c>
      <c r="D26" s="11"/>
      <c r="E26" s="11"/>
      <c r="F26" s="19" t="n">
        <f aca="false">IF(E26="",N(D26)*(1+Settings!$B$7),E26)</f>
        <v>0</v>
      </c>
      <c r="G26" s="16"/>
      <c r="H26" s="16"/>
    </row>
    <row r="27" customFormat="false" ht="15" hidden="false" customHeight="false" outlineLevel="0" collapsed="false">
      <c r="A27" s="10" t="s">
        <v>455</v>
      </c>
      <c r="B27" s="10" t="s">
        <v>437</v>
      </c>
      <c r="C27" s="10" t="n">
        <v>2</v>
      </c>
      <c r="D27" s="11"/>
      <c r="E27" s="11"/>
      <c r="F27" s="19" t="n">
        <f aca="false">IF(E27="",N(D27)*(1+Settings!$B$7),E27)</f>
        <v>0</v>
      </c>
      <c r="G27" s="16"/>
      <c r="H27" s="16"/>
    </row>
    <row r="28" customFormat="false" ht="15" hidden="false" customHeight="false" outlineLevel="0" collapsed="false">
      <c r="A28" s="10" t="s">
        <v>337</v>
      </c>
      <c r="B28" s="10" t="s">
        <v>437</v>
      </c>
      <c r="C28" s="10" t="n">
        <v>10</v>
      </c>
      <c r="D28" s="11"/>
      <c r="E28" s="11"/>
      <c r="F28" s="19" t="n">
        <f aca="false">IF(E28="",N(D28)*(1+Settings!$B$7),E28)</f>
        <v>0</v>
      </c>
      <c r="G28" s="16"/>
      <c r="H28" s="16"/>
    </row>
    <row r="29" customFormat="false" ht="15" hidden="false" customHeight="false" outlineLevel="0" collapsed="false">
      <c r="A29" s="10" t="s">
        <v>456</v>
      </c>
      <c r="B29" s="10" t="s">
        <v>437</v>
      </c>
      <c r="C29" s="10" t="n">
        <v>1</v>
      </c>
      <c r="D29" s="11"/>
      <c r="E29" s="11"/>
      <c r="F29" s="19" t="n">
        <f aca="false">IF(E29="",N(D29)*(1+Settings!$B$7),E29)</f>
        <v>0</v>
      </c>
      <c r="G29" s="16"/>
      <c r="H29" s="16"/>
    </row>
    <row r="30" customFormat="false" ht="15" hidden="false" customHeight="false" outlineLevel="0" collapsed="false">
      <c r="A30" s="10" t="s">
        <v>261</v>
      </c>
      <c r="B30" s="10" t="s">
        <v>437</v>
      </c>
      <c r="C30" s="10" t="n">
        <v>2</v>
      </c>
      <c r="D30" s="11"/>
      <c r="E30" s="11"/>
      <c r="F30" s="19" t="n">
        <f aca="false">IF(E30="",N(D30)*(1+Settings!$B$7),E30)</f>
        <v>0</v>
      </c>
      <c r="G30" s="16"/>
      <c r="H30" s="16"/>
    </row>
    <row r="31" customFormat="false" ht="15" hidden="false" customHeight="false" outlineLevel="0" collapsed="false">
      <c r="A31" s="10" t="s">
        <v>457</v>
      </c>
      <c r="B31" s="10" t="s">
        <v>437</v>
      </c>
      <c r="C31" s="10" t="n">
        <v>1</v>
      </c>
      <c r="D31" s="11"/>
      <c r="E31" s="11"/>
      <c r="F31" s="19" t="n">
        <f aca="false">IF(E31="",N(D31)*(1+Settings!$B$7),E31)</f>
        <v>0</v>
      </c>
      <c r="G31" s="16"/>
      <c r="H31" s="16"/>
    </row>
    <row r="32" customFormat="false" ht="15" hidden="false" customHeight="false" outlineLevel="0" collapsed="false">
      <c r="A32" s="10" t="s">
        <v>225</v>
      </c>
      <c r="B32" s="10" t="s">
        <v>437</v>
      </c>
      <c r="C32" s="10" t="n">
        <v>2</v>
      </c>
      <c r="D32" s="11"/>
      <c r="E32" s="11"/>
      <c r="F32" s="19" t="n">
        <f aca="false">IF(E32="",N(D32)*(1+Settings!$B$7),E32)</f>
        <v>0</v>
      </c>
      <c r="G32" s="16"/>
      <c r="H32" s="16"/>
    </row>
    <row r="33" customFormat="false" ht="15" hidden="false" customHeight="false" outlineLevel="0" collapsed="false">
      <c r="A33" s="10" t="s">
        <v>458</v>
      </c>
      <c r="B33" s="10" t="s">
        <v>437</v>
      </c>
      <c r="C33" s="10" t="n">
        <v>2</v>
      </c>
      <c r="D33" s="11"/>
      <c r="E33" s="11"/>
      <c r="F33" s="19" t="n">
        <f aca="false">IF(E33="",N(D33)*(1+Settings!$B$7),E33)</f>
        <v>0</v>
      </c>
      <c r="G33" s="16"/>
      <c r="H33" s="16"/>
    </row>
    <row r="34" customFormat="false" ht="15" hidden="false" customHeight="false" outlineLevel="0" collapsed="false">
      <c r="A34" s="10" t="s">
        <v>459</v>
      </c>
      <c r="B34" s="10" t="s">
        <v>437</v>
      </c>
      <c r="C34" s="10" t="n">
        <v>2</v>
      </c>
      <c r="D34" s="11"/>
      <c r="E34" s="11"/>
      <c r="F34" s="19" t="n">
        <f aca="false">IF(E34="",N(D34)*(1+Settings!$B$7),E34)</f>
        <v>0</v>
      </c>
      <c r="G34" s="16"/>
      <c r="H34" s="16"/>
    </row>
    <row r="35" customFormat="false" ht="15" hidden="false" customHeight="false" outlineLevel="0" collapsed="false">
      <c r="A35" s="10" t="s">
        <v>460</v>
      </c>
      <c r="B35" s="10" t="s">
        <v>437</v>
      </c>
      <c r="C35" s="10" t="n">
        <v>4</v>
      </c>
      <c r="D35" s="11"/>
      <c r="E35" s="11"/>
      <c r="F35" s="19" t="n">
        <f aca="false">IF(E35="",N(D35)*(1+Settings!$B$7),E35)</f>
        <v>0</v>
      </c>
      <c r="G35" s="16"/>
      <c r="H35" s="16"/>
    </row>
    <row r="36" customFormat="false" ht="15" hidden="false" customHeight="false" outlineLevel="0" collapsed="false">
      <c r="A36" s="10" t="s">
        <v>461</v>
      </c>
      <c r="B36" s="10" t="s">
        <v>437</v>
      </c>
      <c r="C36" s="10" t="n">
        <v>2</v>
      </c>
      <c r="D36" s="11"/>
      <c r="E36" s="11"/>
      <c r="F36" s="19" t="n">
        <f aca="false">IF(E36="",N(D36)*(1+Settings!$B$7),E36)</f>
        <v>0</v>
      </c>
      <c r="G36" s="16"/>
      <c r="H36" s="16"/>
    </row>
    <row r="37" customFormat="false" ht="15" hidden="false" customHeight="false" outlineLevel="0" collapsed="false">
      <c r="A37" s="10" t="s">
        <v>287</v>
      </c>
      <c r="B37" s="10" t="s">
        <v>437</v>
      </c>
      <c r="C37" s="10" t="n">
        <v>15</v>
      </c>
      <c r="D37" s="11"/>
      <c r="E37" s="11"/>
      <c r="F37" s="19" t="n">
        <f aca="false">IF(E37="",N(D37)*(1+Settings!$B$7),E37)</f>
        <v>0</v>
      </c>
      <c r="G37" s="16"/>
      <c r="H37" s="16"/>
    </row>
    <row r="38" customFormat="false" ht="15" hidden="false" customHeight="false" outlineLevel="0" collapsed="false">
      <c r="A38" s="10" t="s">
        <v>462</v>
      </c>
      <c r="B38" s="10" t="s">
        <v>437</v>
      </c>
      <c r="C38" s="10" t="n">
        <v>2</v>
      </c>
      <c r="D38" s="11"/>
      <c r="E38" s="11"/>
      <c r="F38" s="19" t="n">
        <f aca="false">IF(E38="",N(D38)*(1+Settings!$B$7),E38)</f>
        <v>0</v>
      </c>
      <c r="G38" s="16"/>
      <c r="H38" s="16"/>
    </row>
    <row r="39" customFormat="false" ht="15" hidden="false" customHeight="false" outlineLevel="0" collapsed="false">
      <c r="A39" s="10" t="s">
        <v>463</v>
      </c>
      <c r="B39" s="10" t="s">
        <v>437</v>
      </c>
      <c r="C39" s="10" t="n">
        <v>4</v>
      </c>
      <c r="D39" s="11"/>
      <c r="E39" s="11"/>
      <c r="F39" s="19" t="n">
        <f aca="false">IF(E39="",N(D39)*(1+Settings!$B$7),E39)</f>
        <v>0</v>
      </c>
      <c r="G39" s="16"/>
      <c r="H39" s="16"/>
    </row>
    <row r="40" customFormat="false" ht="15" hidden="false" customHeight="false" outlineLevel="0" collapsed="false">
      <c r="A40" s="10" t="s">
        <v>464</v>
      </c>
      <c r="B40" s="10" t="s">
        <v>437</v>
      </c>
      <c r="C40" s="10" t="n">
        <v>2</v>
      </c>
      <c r="D40" s="11"/>
      <c r="E40" s="11"/>
      <c r="F40" s="19" t="n">
        <f aca="false">IF(E40="",N(D40)*(1+Settings!$B$7),E40)</f>
        <v>0</v>
      </c>
      <c r="G40" s="16"/>
      <c r="H40" s="16"/>
    </row>
    <row r="41" customFormat="false" ht="15" hidden="false" customHeight="false" outlineLevel="0" collapsed="false">
      <c r="A41" s="10" t="s">
        <v>465</v>
      </c>
      <c r="B41" s="10" t="s">
        <v>437</v>
      </c>
      <c r="C41" s="10" t="n">
        <v>2</v>
      </c>
      <c r="D41" s="11"/>
      <c r="E41" s="11"/>
      <c r="F41" s="19" t="n">
        <f aca="false">IF(E41="",N(D41)*(1+Settings!$B$7),E41)</f>
        <v>0</v>
      </c>
      <c r="G41" s="16"/>
      <c r="H41" s="16"/>
    </row>
    <row r="42" customFormat="false" ht="15" hidden="false" customHeight="false" outlineLevel="0" collapsed="false">
      <c r="A42" s="10" t="s">
        <v>466</v>
      </c>
      <c r="B42" s="10" t="s">
        <v>437</v>
      </c>
      <c r="C42" s="10" t="n">
        <v>3</v>
      </c>
      <c r="D42" s="11"/>
      <c r="E42" s="11"/>
      <c r="F42" s="19" t="n">
        <f aca="false">IF(E42="",N(D42)*(1+Settings!$B$7),E42)</f>
        <v>0</v>
      </c>
      <c r="G42" s="16"/>
      <c r="H42" s="16"/>
    </row>
    <row r="43" customFormat="false" ht="15" hidden="false" customHeight="false" outlineLevel="0" collapsed="false">
      <c r="A43" s="10" t="s">
        <v>205</v>
      </c>
      <c r="B43" s="10" t="s">
        <v>437</v>
      </c>
      <c r="C43" s="10" t="n">
        <v>2</v>
      </c>
      <c r="D43" s="11"/>
      <c r="E43" s="11"/>
      <c r="F43" s="19" t="n">
        <f aca="false">IF(E43="",N(D43)*(1+Settings!$B$7),E43)</f>
        <v>0</v>
      </c>
      <c r="G43" s="16"/>
      <c r="H43" s="16"/>
    </row>
    <row r="44" customFormat="false" ht="15" hidden="false" customHeight="false" outlineLevel="0" collapsed="false">
      <c r="A44" s="10" t="s">
        <v>467</v>
      </c>
      <c r="B44" s="10" t="s">
        <v>437</v>
      </c>
      <c r="C44" s="10" t="n">
        <v>1</v>
      </c>
      <c r="D44" s="11"/>
      <c r="E44" s="11"/>
      <c r="F44" s="19" t="n">
        <f aca="false">IF(E44="",N(D44)*(1+Settings!$B$7),E44)</f>
        <v>0</v>
      </c>
      <c r="G44" s="16"/>
      <c r="H44" s="16"/>
    </row>
    <row r="45" customFormat="false" ht="15" hidden="false" customHeight="false" outlineLevel="0" collapsed="false">
      <c r="A45" s="10" t="s">
        <v>468</v>
      </c>
      <c r="B45" s="10" t="s">
        <v>437</v>
      </c>
      <c r="C45" s="10" t="n">
        <v>7</v>
      </c>
      <c r="D45" s="11"/>
      <c r="E45" s="11"/>
      <c r="F45" s="19" t="n">
        <f aca="false">IF(E45="",N(D45)*(1+Settings!$B$7),E45)</f>
        <v>0</v>
      </c>
      <c r="G45" s="16"/>
      <c r="H45" s="16"/>
    </row>
    <row r="46" customFormat="false" ht="15" hidden="false" customHeight="false" outlineLevel="0" collapsed="false">
      <c r="A46" s="10" t="s">
        <v>469</v>
      </c>
      <c r="B46" s="10" t="s">
        <v>437</v>
      </c>
      <c r="C46" s="10" t="n">
        <v>1</v>
      </c>
      <c r="D46" s="11"/>
      <c r="E46" s="11"/>
      <c r="F46" s="19" t="n">
        <f aca="false">IF(E46="",N(D46)*(1+Settings!$B$7),E46)</f>
        <v>0</v>
      </c>
      <c r="G46" s="16"/>
      <c r="H46" s="16"/>
    </row>
    <row r="47" customFormat="false" ht="15" hidden="false" customHeight="false" outlineLevel="0" collapsed="false">
      <c r="A47" s="10" t="s">
        <v>470</v>
      </c>
      <c r="B47" s="10" t="s">
        <v>437</v>
      </c>
      <c r="C47" s="10" t="n">
        <v>2</v>
      </c>
      <c r="D47" s="11"/>
      <c r="E47" s="11"/>
      <c r="F47" s="19" t="n">
        <f aca="false">IF(E47="",N(D47)*(1+Settings!$B$7),E47)</f>
        <v>0</v>
      </c>
      <c r="G47" s="16"/>
      <c r="H47" s="16"/>
    </row>
    <row r="48" customFormat="false" ht="15" hidden="false" customHeight="false" outlineLevel="0" collapsed="false">
      <c r="A48" s="10" t="s">
        <v>471</v>
      </c>
      <c r="B48" s="10" t="s">
        <v>437</v>
      </c>
      <c r="C48" s="10" t="n">
        <v>2</v>
      </c>
      <c r="D48" s="11"/>
      <c r="E48" s="11"/>
      <c r="F48" s="19" t="n">
        <f aca="false">IF(E48="",N(D48)*(1+Settings!$B$7),E48)</f>
        <v>0</v>
      </c>
      <c r="G48" s="16"/>
      <c r="H48" s="16"/>
    </row>
    <row r="49" customFormat="false" ht="15" hidden="false" customHeight="false" outlineLevel="0" collapsed="false">
      <c r="A49" s="10" t="s">
        <v>472</v>
      </c>
      <c r="B49" s="10" t="s">
        <v>437</v>
      </c>
      <c r="C49" s="10" t="n">
        <v>1</v>
      </c>
      <c r="D49" s="11"/>
      <c r="E49" s="11"/>
      <c r="F49" s="19" t="n">
        <f aca="false">IF(E49="",N(D49)*(1+Settings!$B$7),E49)</f>
        <v>0</v>
      </c>
      <c r="G49" s="16"/>
      <c r="H49" s="16"/>
    </row>
    <row r="50" customFormat="false" ht="15" hidden="false" customHeight="false" outlineLevel="0" collapsed="false">
      <c r="A50" s="10" t="s">
        <v>473</v>
      </c>
      <c r="B50" s="10" t="s">
        <v>437</v>
      </c>
      <c r="C50" s="10" t="n">
        <v>1</v>
      </c>
      <c r="D50" s="11"/>
      <c r="E50" s="11"/>
      <c r="F50" s="19" t="n">
        <f aca="false">IF(E50="",N(D50)*(1+Settings!$B$7),E50)</f>
        <v>0</v>
      </c>
      <c r="G50" s="16"/>
      <c r="H50" s="16"/>
    </row>
    <row r="51" customFormat="false" ht="15" hidden="false" customHeight="false" outlineLevel="0" collapsed="false">
      <c r="A51" s="10" t="s">
        <v>474</v>
      </c>
      <c r="B51" s="10" t="s">
        <v>437</v>
      </c>
      <c r="C51" s="10" t="n">
        <v>1</v>
      </c>
      <c r="D51" s="11"/>
      <c r="E51" s="11"/>
      <c r="F51" s="19" t="n">
        <f aca="false">IF(E51="",N(D51)*(1+Settings!$B$7),E51)</f>
        <v>0</v>
      </c>
      <c r="G51" s="16"/>
      <c r="H51" s="16"/>
    </row>
    <row r="52" customFormat="false" ht="15" hidden="false" customHeight="false" outlineLevel="0" collapsed="false">
      <c r="A52" s="10" t="s">
        <v>475</v>
      </c>
      <c r="B52" s="10" t="s">
        <v>437</v>
      </c>
      <c r="C52" s="10" t="n">
        <v>1</v>
      </c>
      <c r="D52" s="11"/>
      <c r="E52" s="11"/>
      <c r="F52" s="19" t="n">
        <f aca="false">IF(E52="",N(D52)*(1+Settings!$B$7),E52)</f>
        <v>0</v>
      </c>
      <c r="G52" s="16"/>
      <c r="H52" s="16"/>
    </row>
    <row r="53" customFormat="false" ht="15" hidden="false" customHeight="false" outlineLevel="0" collapsed="false">
      <c r="A53" s="10" t="s">
        <v>476</v>
      </c>
      <c r="B53" s="10" t="s">
        <v>437</v>
      </c>
      <c r="C53" s="10" t="n">
        <v>3</v>
      </c>
      <c r="D53" s="11"/>
      <c r="E53" s="11"/>
      <c r="F53" s="19" t="n">
        <f aca="false">IF(E53="",N(D53)*(1+Settings!$B$7),E53)</f>
        <v>0</v>
      </c>
      <c r="G53" s="16"/>
      <c r="H53" s="16"/>
    </row>
    <row r="54" customFormat="false" ht="15" hidden="false" customHeight="false" outlineLevel="0" collapsed="false">
      <c r="A54" s="10" t="s">
        <v>477</v>
      </c>
      <c r="B54" s="10" t="s">
        <v>437</v>
      </c>
      <c r="C54" s="10" t="n">
        <v>4</v>
      </c>
      <c r="D54" s="11"/>
      <c r="E54" s="11"/>
      <c r="F54" s="19" t="n">
        <f aca="false">IF(E54="",N(D54)*(1+Settings!$B$7),E54)</f>
        <v>0</v>
      </c>
      <c r="G54" s="16"/>
      <c r="H54" s="16"/>
    </row>
    <row r="55" customFormat="false" ht="15" hidden="false" customHeight="false" outlineLevel="0" collapsed="false">
      <c r="A55" s="10" t="s">
        <v>478</v>
      </c>
      <c r="B55" s="10" t="s">
        <v>437</v>
      </c>
      <c r="C55" s="10" t="n">
        <v>1</v>
      </c>
      <c r="D55" s="11"/>
      <c r="E55" s="11"/>
      <c r="F55" s="19" t="n">
        <f aca="false">IF(E55="",N(D55)*(1+Settings!$B$7),E55)</f>
        <v>0</v>
      </c>
      <c r="G55" s="16"/>
      <c r="H55" s="16"/>
    </row>
    <row r="56" customFormat="false" ht="15" hidden="false" customHeight="false" outlineLevel="0" collapsed="false">
      <c r="A56" s="10" t="s">
        <v>323</v>
      </c>
      <c r="B56" s="10" t="s">
        <v>437</v>
      </c>
      <c r="C56" s="10" t="n">
        <v>5</v>
      </c>
      <c r="D56" s="11"/>
      <c r="E56" s="11"/>
      <c r="F56" s="19" t="n">
        <f aca="false">IF(E56="",N(D56)*(1+Settings!$B$7),E56)</f>
        <v>0</v>
      </c>
      <c r="G56" s="16"/>
      <c r="H56" s="16"/>
    </row>
    <row r="57" customFormat="false" ht="15" hidden="false" customHeight="false" outlineLevel="0" collapsed="false">
      <c r="A57" s="10" t="s">
        <v>327</v>
      </c>
      <c r="B57" s="10" t="s">
        <v>437</v>
      </c>
      <c r="C57" s="10" t="n">
        <v>3</v>
      </c>
      <c r="D57" s="11"/>
      <c r="E57" s="11"/>
      <c r="F57" s="19" t="n">
        <f aca="false">IF(E57="",N(D57)*(1+Settings!$B$7),E57)</f>
        <v>0</v>
      </c>
      <c r="G57" s="16"/>
      <c r="H57" s="16"/>
    </row>
    <row r="58" customFormat="false" ht="15" hidden="false" customHeight="false" outlineLevel="0" collapsed="false">
      <c r="A58" s="10" t="s">
        <v>479</v>
      </c>
      <c r="B58" s="10" t="s">
        <v>437</v>
      </c>
      <c r="C58" s="10" t="n">
        <v>1</v>
      </c>
      <c r="D58" s="11"/>
      <c r="E58" s="11"/>
      <c r="F58" s="19" t="n">
        <f aca="false">IF(E58="",N(D58)*(1+Settings!$B$7),E58)</f>
        <v>0</v>
      </c>
      <c r="G58" s="16"/>
      <c r="H58" s="16"/>
    </row>
    <row r="59" customFormat="false" ht="15" hidden="false" customHeight="false" outlineLevel="0" collapsed="false">
      <c r="A59" s="10" t="s">
        <v>480</v>
      </c>
      <c r="B59" s="10" t="s">
        <v>437</v>
      </c>
      <c r="C59" s="10" t="n">
        <v>1</v>
      </c>
      <c r="D59" s="11"/>
      <c r="E59" s="11"/>
      <c r="F59" s="19" t="n">
        <f aca="false">IF(E59="",N(D59)*(1+Settings!$B$7),E59)</f>
        <v>0</v>
      </c>
      <c r="G59" s="16"/>
      <c r="H59" s="16"/>
    </row>
    <row r="60" customFormat="false" ht="15" hidden="false" customHeight="false" outlineLevel="0" collapsed="false">
      <c r="A60" s="10" t="s">
        <v>258</v>
      </c>
      <c r="B60" s="10" t="s">
        <v>437</v>
      </c>
      <c r="C60" s="10" t="n">
        <v>9</v>
      </c>
      <c r="D60" s="11"/>
      <c r="E60" s="11"/>
      <c r="F60" s="19" t="n">
        <f aca="false">IF(E60="",N(D60)*(1+Settings!$B$7),E60)</f>
        <v>0</v>
      </c>
      <c r="G60" s="16"/>
      <c r="H60" s="16"/>
    </row>
    <row r="61" customFormat="false" ht="15" hidden="false" customHeight="false" outlineLevel="0" collapsed="false">
      <c r="A61" s="10" t="s">
        <v>481</v>
      </c>
      <c r="B61" s="10" t="s">
        <v>437</v>
      </c>
      <c r="C61" s="10" t="n">
        <v>2</v>
      </c>
      <c r="D61" s="11"/>
      <c r="E61" s="11"/>
      <c r="F61" s="19" t="n">
        <f aca="false">IF(E61="",N(D61)*(1+Settings!$B$7),E61)</f>
        <v>0</v>
      </c>
      <c r="G61" s="16"/>
      <c r="H61" s="16"/>
    </row>
    <row r="62" customFormat="false" ht="15" hidden="false" customHeight="false" outlineLevel="0" collapsed="false">
      <c r="A62" s="10" t="s">
        <v>243</v>
      </c>
      <c r="B62" s="10" t="s">
        <v>437</v>
      </c>
      <c r="C62" s="10" t="n">
        <v>1</v>
      </c>
      <c r="D62" s="11"/>
      <c r="E62" s="11"/>
      <c r="F62" s="19" t="n">
        <f aca="false">IF(E62="",N(D62)*(1+Settings!$B$7),E62)</f>
        <v>0</v>
      </c>
      <c r="G62" s="16"/>
      <c r="H62" s="16"/>
    </row>
    <row r="63" customFormat="false" ht="15" hidden="false" customHeight="false" outlineLevel="0" collapsed="false">
      <c r="A63" s="10" t="s">
        <v>349</v>
      </c>
      <c r="B63" s="10" t="s">
        <v>437</v>
      </c>
      <c r="C63" s="10" t="n">
        <v>8</v>
      </c>
      <c r="D63" s="11"/>
      <c r="E63" s="11"/>
      <c r="F63" s="19" t="n">
        <f aca="false">IF(E63="",N(D63)*(1+Settings!$B$7),E63)</f>
        <v>0</v>
      </c>
      <c r="G63" s="16"/>
      <c r="H63" s="16"/>
    </row>
    <row r="64" customFormat="false" ht="15" hidden="false" customHeight="false" outlineLevel="0" collapsed="false">
      <c r="A64" s="10" t="s">
        <v>482</v>
      </c>
      <c r="B64" s="10" t="s">
        <v>437</v>
      </c>
      <c r="C64" s="10" t="n">
        <v>3</v>
      </c>
      <c r="D64" s="11"/>
      <c r="E64" s="11"/>
      <c r="F64" s="19" t="n">
        <f aca="false">IF(E64="",N(D64)*(1+Settings!$B$7),E64)</f>
        <v>0</v>
      </c>
      <c r="G64" s="16"/>
      <c r="H64" s="16"/>
    </row>
    <row r="65" customFormat="false" ht="15" hidden="false" customHeight="false" outlineLevel="0" collapsed="false">
      <c r="A65" s="10" t="s">
        <v>483</v>
      </c>
      <c r="B65" s="10" t="s">
        <v>437</v>
      </c>
      <c r="C65" s="10" t="n">
        <v>2</v>
      </c>
      <c r="D65" s="11"/>
      <c r="E65" s="11"/>
      <c r="F65" s="19" t="n">
        <f aca="false">IF(E65="",N(D65)*(1+Settings!$B$7),E65)</f>
        <v>0</v>
      </c>
      <c r="G65" s="16"/>
      <c r="H65" s="16"/>
    </row>
    <row r="66" customFormat="false" ht="15" hidden="false" customHeight="false" outlineLevel="0" collapsed="false">
      <c r="A66" s="10" t="s">
        <v>484</v>
      </c>
      <c r="B66" s="10" t="s">
        <v>437</v>
      </c>
      <c r="C66" s="10" t="n">
        <v>13</v>
      </c>
      <c r="D66" s="11"/>
      <c r="E66" s="11"/>
      <c r="F66" s="19" t="n">
        <f aca="false">IF(E66="",N(D66)*(1+Settings!$B$7),E66)</f>
        <v>0</v>
      </c>
      <c r="G66" s="16"/>
      <c r="H66" s="16"/>
    </row>
    <row r="67" customFormat="false" ht="15" hidden="false" customHeight="false" outlineLevel="0" collapsed="false">
      <c r="A67" s="10" t="s">
        <v>485</v>
      </c>
      <c r="B67" s="10" t="s">
        <v>437</v>
      </c>
      <c r="C67" s="10" t="n">
        <v>1</v>
      </c>
      <c r="D67" s="11"/>
      <c r="E67" s="11"/>
      <c r="F67" s="19" t="n">
        <f aca="false">IF(E67="",N(D67)*(1+Settings!$B$7),E67)</f>
        <v>0</v>
      </c>
      <c r="G67" s="16"/>
      <c r="H67" s="16"/>
    </row>
    <row r="68" customFormat="false" ht="15" hidden="false" customHeight="false" outlineLevel="0" collapsed="false">
      <c r="A68" s="10" t="s">
        <v>486</v>
      </c>
      <c r="B68" s="10" t="s">
        <v>437</v>
      </c>
      <c r="C68" s="10" t="n">
        <v>1</v>
      </c>
      <c r="D68" s="11"/>
      <c r="E68" s="11"/>
      <c r="F68" s="19" t="n">
        <f aca="false">IF(E68="",N(D68)*(1+Settings!$B$7),E68)</f>
        <v>0</v>
      </c>
      <c r="G68" s="16"/>
      <c r="H68" s="16"/>
    </row>
    <row r="69" customFormat="false" ht="15" hidden="false" customHeight="false" outlineLevel="0" collapsed="false">
      <c r="A69" s="10" t="s">
        <v>487</v>
      </c>
      <c r="B69" s="10" t="s">
        <v>437</v>
      </c>
      <c r="C69" s="10" t="n">
        <v>3</v>
      </c>
      <c r="D69" s="11"/>
      <c r="E69" s="11"/>
      <c r="F69" s="19" t="n">
        <f aca="false">IF(E69="",N(D69)*(1+Settings!$B$7),E69)</f>
        <v>0</v>
      </c>
      <c r="G69" s="16"/>
      <c r="H69" s="16"/>
    </row>
    <row r="70" customFormat="false" ht="15" hidden="false" customHeight="false" outlineLevel="0" collapsed="false">
      <c r="A70" s="10" t="s">
        <v>246</v>
      </c>
      <c r="B70" s="10" t="s">
        <v>437</v>
      </c>
      <c r="C70" s="10" t="n">
        <v>1</v>
      </c>
      <c r="D70" s="11"/>
      <c r="E70" s="11"/>
      <c r="F70" s="19" t="n">
        <f aca="false">IF(E70="",N(D70)*(1+Settings!$B$7),E70)</f>
        <v>0</v>
      </c>
      <c r="G70" s="16"/>
      <c r="H70" s="16"/>
    </row>
    <row r="71" customFormat="false" ht="15" hidden="false" customHeight="false" outlineLevel="0" collapsed="false">
      <c r="A71" s="10" t="s">
        <v>488</v>
      </c>
      <c r="B71" s="10" t="s">
        <v>437</v>
      </c>
      <c r="C71" s="10" t="n">
        <v>10</v>
      </c>
      <c r="D71" s="11"/>
      <c r="E71" s="11"/>
      <c r="F71" s="19" t="n">
        <f aca="false">IF(E71="",N(D71)*(1+Settings!$B$7),E71)</f>
        <v>0</v>
      </c>
      <c r="G71" s="16"/>
      <c r="H71" s="16"/>
    </row>
    <row r="72" customFormat="false" ht="15" hidden="false" customHeight="false" outlineLevel="0" collapsed="false">
      <c r="A72" s="10" t="s">
        <v>320</v>
      </c>
      <c r="B72" s="10" t="s">
        <v>437</v>
      </c>
      <c r="C72" s="10" t="n">
        <v>1</v>
      </c>
      <c r="D72" s="11"/>
      <c r="E72" s="11"/>
      <c r="F72" s="19" t="n">
        <f aca="false">IF(E72="",N(D72)*(1+Settings!$B$7),E72)</f>
        <v>0</v>
      </c>
      <c r="G72" s="16"/>
      <c r="H72" s="16"/>
    </row>
    <row r="73" customFormat="false" ht="15" hidden="false" customHeight="false" outlineLevel="0" collapsed="false">
      <c r="A73" s="10" t="s">
        <v>489</v>
      </c>
      <c r="B73" s="10" t="s">
        <v>437</v>
      </c>
      <c r="C73" s="10" t="n">
        <v>1</v>
      </c>
      <c r="D73" s="11"/>
      <c r="E73" s="11"/>
      <c r="F73" s="19" t="n">
        <f aca="false">IF(E73="",N(D73)*(1+Settings!$B$7),E73)</f>
        <v>0</v>
      </c>
      <c r="G73" s="16"/>
      <c r="H73" s="16"/>
    </row>
    <row r="74" customFormat="false" ht="15" hidden="false" customHeight="false" outlineLevel="0" collapsed="false">
      <c r="A74" s="10" t="s">
        <v>269</v>
      </c>
      <c r="B74" s="10" t="s">
        <v>437</v>
      </c>
      <c r="C74" s="10" t="n">
        <v>2</v>
      </c>
      <c r="D74" s="11"/>
      <c r="E74" s="11"/>
      <c r="F74" s="19" t="n">
        <f aca="false">IF(E74="",N(D74)*(1+Settings!$B$7),E74)</f>
        <v>0</v>
      </c>
      <c r="G74" s="16"/>
      <c r="H74" s="16"/>
    </row>
    <row r="75" customFormat="false" ht="15" hidden="false" customHeight="false" outlineLevel="0" collapsed="false">
      <c r="A75" s="10" t="s">
        <v>490</v>
      </c>
      <c r="B75" s="10" t="s">
        <v>437</v>
      </c>
      <c r="C75" s="10" t="n">
        <v>2</v>
      </c>
      <c r="D75" s="11"/>
      <c r="E75" s="11"/>
      <c r="F75" s="19" t="n">
        <f aca="false">IF(E75="",N(D75)*(1+Settings!$B$7),E75)</f>
        <v>0</v>
      </c>
      <c r="G75" s="16"/>
      <c r="H75" s="16"/>
    </row>
    <row r="76" customFormat="false" ht="15" hidden="false" customHeight="false" outlineLevel="0" collapsed="false">
      <c r="A76" s="10" t="s">
        <v>491</v>
      </c>
      <c r="B76" s="10" t="s">
        <v>437</v>
      </c>
      <c r="C76" s="10" t="n">
        <v>2</v>
      </c>
      <c r="D76" s="11"/>
      <c r="E76" s="11"/>
      <c r="F76" s="19" t="n">
        <f aca="false">IF(E76="",N(D76)*(1+Settings!$B$7),E76)</f>
        <v>0</v>
      </c>
      <c r="G76" s="16"/>
      <c r="H76" s="16"/>
    </row>
    <row r="77" customFormat="false" ht="15" hidden="false" customHeight="false" outlineLevel="0" collapsed="false">
      <c r="A77" s="10" t="s">
        <v>492</v>
      </c>
      <c r="B77" s="10" t="s">
        <v>437</v>
      </c>
      <c r="C77" s="10" t="n">
        <v>6</v>
      </c>
      <c r="D77" s="11"/>
      <c r="E77" s="11"/>
      <c r="F77" s="19" t="n">
        <f aca="false">IF(E77="",N(D77)*(1+Settings!$B$7),E77)</f>
        <v>0</v>
      </c>
      <c r="G77" s="16"/>
      <c r="H77" s="16"/>
    </row>
    <row r="78" customFormat="false" ht="15" hidden="false" customHeight="false" outlineLevel="0" collapsed="false">
      <c r="A78" s="10" t="s">
        <v>493</v>
      </c>
      <c r="B78" s="10" t="s">
        <v>437</v>
      </c>
      <c r="C78" s="10" t="n">
        <v>3</v>
      </c>
      <c r="D78" s="11"/>
      <c r="E78" s="11"/>
      <c r="F78" s="19" t="n">
        <f aca="false">IF(E78="",N(D78)*(1+Settings!$B$7),E78)</f>
        <v>0</v>
      </c>
      <c r="G78" s="16"/>
      <c r="H78" s="16"/>
    </row>
    <row r="79" customFormat="false" ht="15" hidden="false" customHeight="false" outlineLevel="0" collapsed="false">
      <c r="A79" s="10" t="s">
        <v>494</v>
      </c>
      <c r="B79" s="10" t="s">
        <v>437</v>
      </c>
      <c r="C79" s="10" t="n">
        <v>1</v>
      </c>
      <c r="D79" s="11"/>
      <c r="E79" s="11"/>
      <c r="F79" s="19" t="n">
        <f aca="false">IF(E79="",N(D79)*(1+Settings!$B$7),E79)</f>
        <v>0</v>
      </c>
      <c r="G79" s="16"/>
      <c r="H79" s="16"/>
    </row>
    <row r="80" customFormat="false" ht="15" hidden="false" customHeight="false" outlineLevel="0" collapsed="false">
      <c r="A80" s="10" t="s">
        <v>230</v>
      </c>
      <c r="B80" s="10" t="s">
        <v>437</v>
      </c>
      <c r="C80" s="10" t="n">
        <v>2</v>
      </c>
      <c r="D80" s="11"/>
      <c r="E80" s="11"/>
      <c r="F80" s="19" t="n">
        <f aca="false">IF(E80="",N(D80)*(1+Settings!$B$7),E80)</f>
        <v>0</v>
      </c>
      <c r="G80" s="16"/>
      <c r="H80" s="16"/>
    </row>
    <row r="81" customFormat="false" ht="15" hidden="false" customHeight="false" outlineLevel="0" collapsed="false">
      <c r="A81" s="10" t="s">
        <v>495</v>
      </c>
      <c r="B81" s="10" t="s">
        <v>437</v>
      </c>
      <c r="C81" s="10" t="n">
        <v>13</v>
      </c>
      <c r="D81" s="11"/>
      <c r="E81" s="11"/>
      <c r="F81" s="19" t="n">
        <f aca="false">IF(E81="",N(D81)*(1+Settings!$B$7),E81)</f>
        <v>0</v>
      </c>
      <c r="G81" s="16"/>
      <c r="H81" s="16"/>
    </row>
    <row r="82" customFormat="false" ht="15" hidden="false" customHeight="false" outlineLevel="0" collapsed="false">
      <c r="A82" s="10" t="s">
        <v>234</v>
      </c>
      <c r="B82" s="10" t="s">
        <v>437</v>
      </c>
      <c r="C82" s="10" t="n">
        <v>1</v>
      </c>
      <c r="D82" s="11"/>
      <c r="E82" s="11"/>
      <c r="F82" s="19" t="n">
        <f aca="false">IF(E82="",N(D82)*(1+Settings!$B$7),E82)</f>
        <v>0</v>
      </c>
      <c r="G82" s="16"/>
      <c r="H82" s="16"/>
    </row>
    <row r="83" customFormat="false" ht="15" hidden="false" customHeight="false" outlineLevel="0" collapsed="false">
      <c r="A83" s="10" t="s">
        <v>200</v>
      </c>
      <c r="B83" s="10" t="s">
        <v>437</v>
      </c>
      <c r="C83" s="10" t="n">
        <v>3</v>
      </c>
      <c r="D83" s="11"/>
      <c r="E83" s="11"/>
      <c r="F83" s="19" t="n">
        <f aca="false">IF(E83="",N(D83)*(1+Settings!$B$7),E83)</f>
        <v>0</v>
      </c>
      <c r="G83" s="16"/>
      <c r="H83" s="16"/>
    </row>
    <row r="84" customFormat="false" ht="15" hidden="false" customHeight="false" outlineLevel="0" collapsed="false">
      <c r="A84" s="10" t="s">
        <v>496</v>
      </c>
      <c r="B84" s="10" t="s">
        <v>437</v>
      </c>
      <c r="C84" s="10" t="n">
        <v>9</v>
      </c>
      <c r="D84" s="11"/>
      <c r="E84" s="11"/>
      <c r="F84" s="19" t="n">
        <f aca="false">IF(E84="",N(D84)*(1+Settings!$B$7),E84)</f>
        <v>0</v>
      </c>
      <c r="G84" s="16"/>
      <c r="H84" s="16"/>
    </row>
    <row r="85" customFormat="false" ht="15" hidden="false" customHeight="false" outlineLevel="0" collapsed="false">
      <c r="A85" s="10" t="s">
        <v>497</v>
      </c>
      <c r="B85" s="10" t="s">
        <v>437</v>
      </c>
      <c r="C85" s="10" t="n">
        <v>3</v>
      </c>
      <c r="D85" s="11"/>
      <c r="E85" s="11"/>
      <c r="F85" s="19" t="n">
        <f aca="false">IF(E85="",N(D85)*(1+Settings!$B$7),E85)</f>
        <v>0</v>
      </c>
      <c r="G85" s="16"/>
      <c r="H85" s="16"/>
    </row>
    <row r="86" customFormat="false" ht="15" hidden="false" customHeight="false" outlineLevel="0" collapsed="false">
      <c r="A86" s="10" t="s">
        <v>253</v>
      </c>
      <c r="B86" s="10" t="s">
        <v>437</v>
      </c>
      <c r="C86" s="10" t="n">
        <v>3</v>
      </c>
      <c r="D86" s="11"/>
      <c r="E86" s="11"/>
      <c r="F86" s="19" t="n">
        <f aca="false">IF(E86="",N(D86)*(1+Settings!$B$7),E86)</f>
        <v>0</v>
      </c>
      <c r="G86" s="16"/>
      <c r="H86" s="16"/>
    </row>
    <row r="87" customFormat="false" ht="15" hidden="false" customHeight="false" outlineLevel="0" collapsed="false">
      <c r="A87" s="10" t="s">
        <v>498</v>
      </c>
      <c r="B87" s="10" t="s">
        <v>437</v>
      </c>
      <c r="C87" s="10" t="n">
        <v>1</v>
      </c>
      <c r="D87" s="11"/>
      <c r="E87" s="11"/>
      <c r="F87" s="19" t="n">
        <f aca="false">IF(E87="",N(D87)*(1+Settings!$B$7),E87)</f>
        <v>0</v>
      </c>
      <c r="G87" s="16"/>
      <c r="H87" s="16"/>
    </row>
    <row r="88" customFormat="false" ht="15" hidden="false" customHeight="false" outlineLevel="0" collapsed="false">
      <c r="A88" s="10" t="s">
        <v>499</v>
      </c>
      <c r="B88" s="10" t="s">
        <v>437</v>
      </c>
      <c r="C88" s="10" t="n">
        <v>4</v>
      </c>
      <c r="D88" s="11"/>
      <c r="E88" s="11"/>
      <c r="F88" s="19" t="n">
        <f aca="false">IF(E88="",N(D88)*(1+Settings!$B$7),E88)</f>
        <v>0</v>
      </c>
      <c r="G88" s="16"/>
      <c r="H88" s="16"/>
    </row>
    <row r="89" customFormat="false" ht="15" hidden="false" customHeight="false" outlineLevel="0" collapsed="false">
      <c r="A89" s="10" t="s">
        <v>500</v>
      </c>
      <c r="B89" s="10" t="s">
        <v>437</v>
      </c>
      <c r="C89" s="10" t="n">
        <v>1</v>
      </c>
      <c r="D89" s="11"/>
      <c r="E89" s="11"/>
      <c r="F89" s="19" t="n">
        <f aca="false">IF(E89="",N(D89)*(1+Settings!$B$7),E89)</f>
        <v>0</v>
      </c>
      <c r="G89" s="16"/>
      <c r="H89" s="16"/>
    </row>
    <row r="90" customFormat="false" ht="15" hidden="false" customHeight="false" outlineLevel="0" collapsed="false">
      <c r="A90" s="10" t="s">
        <v>501</v>
      </c>
      <c r="B90" s="10" t="s">
        <v>437</v>
      </c>
      <c r="C90" s="10" t="n">
        <v>4</v>
      </c>
      <c r="D90" s="11"/>
      <c r="E90" s="11"/>
      <c r="F90" s="19" t="n">
        <f aca="false">IF(E90="",N(D90)*(1+Settings!$B$7),E90)</f>
        <v>0</v>
      </c>
      <c r="G90" s="16"/>
      <c r="H90" s="16"/>
    </row>
    <row r="91" customFormat="false" ht="15" hidden="false" customHeight="false" outlineLevel="0" collapsed="false">
      <c r="A91" s="10" t="s">
        <v>502</v>
      </c>
      <c r="B91" s="10" t="s">
        <v>437</v>
      </c>
      <c r="C91" s="10" t="n">
        <v>1</v>
      </c>
      <c r="D91" s="11"/>
      <c r="E91" s="11"/>
      <c r="F91" s="19" t="n">
        <f aca="false">IF(E91="",N(D91)*(1+Settings!$B$7),E91)</f>
        <v>0</v>
      </c>
      <c r="G91" s="16"/>
      <c r="H91" s="16"/>
    </row>
    <row r="92" customFormat="false" ht="15" hidden="false" customHeight="false" outlineLevel="0" collapsed="false">
      <c r="A92" s="10" t="s">
        <v>209</v>
      </c>
      <c r="B92" s="10" t="s">
        <v>437</v>
      </c>
      <c r="C92" s="10" t="n">
        <v>10</v>
      </c>
      <c r="D92" s="11"/>
      <c r="E92" s="11"/>
      <c r="F92" s="19" t="n">
        <f aca="false">IF(E92="",N(D92)*(1+Settings!$B$7),E92)</f>
        <v>0</v>
      </c>
      <c r="G92" s="16"/>
      <c r="H92" s="16"/>
    </row>
    <row r="93" customFormat="false" ht="15" hidden="false" customHeight="false" outlineLevel="0" collapsed="false">
      <c r="A93" s="10" t="s">
        <v>503</v>
      </c>
      <c r="B93" s="10" t="s">
        <v>437</v>
      </c>
      <c r="C93" s="10" t="n">
        <v>9</v>
      </c>
      <c r="D93" s="11"/>
      <c r="E93" s="11"/>
      <c r="F93" s="19" t="n">
        <f aca="false">IF(E93="",N(D93)*(1+Settings!$B$7),E93)</f>
        <v>0</v>
      </c>
      <c r="G93" s="16"/>
      <c r="H93" s="16"/>
    </row>
    <row r="94" customFormat="false" ht="15" hidden="false" customHeight="false" outlineLevel="0" collapsed="false">
      <c r="A94" s="10" t="s">
        <v>504</v>
      </c>
      <c r="B94" s="10" t="s">
        <v>437</v>
      </c>
      <c r="C94" s="10" t="n">
        <v>2</v>
      </c>
      <c r="D94" s="11"/>
      <c r="E94" s="11"/>
      <c r="F94" s="19" t="n">
        <f aca="false">IF(E94="",N(D94)*(1+Settings!$B$7),E94)</f>
        <v>0</v>
      </c>
      <c r="G94" s="16"/>
      <c r="H94" s="16"/>
    </row>
    <row r="95" customFormat="false" ht="15" hidden="false" customHeight="false" outlineLevel="0" collapsed="false">
      <c r="A95" s="10" t="s">
        <v>387</v>
      </c>
      <c r="B95" s="10" t="s">
        <v>437</v>
      </c>
      <c r="C95" s="10" t="n">
        <v>3</v>
      </c>
      <c r="D95" s="11"/>
      <c r="E95" s="11"/>
      <c r="F95" s="19" t="n">
        <f aca="false">IF(E95="",N(D95)*(1+Settings!$B$7),E95)</f>
        <v>0</v>
      </c>
      <c r="G95" s="16"/>
      <c r="H95" s="16"/>
    </row>
    <row r="96" customFormat="false" ht="15" hidden="false" customHeight="false" outlineLevel="0" collapsed="false">
      <c r="A96" s="10" t="s">
        <v>505</v>
      </c>
      <c r="B96" s="10" t="s">
        <v>437</v>
      </c>
      <c r="C96" s="10" t="n">
        <v>8</v>
      </c>
      <c r="D96" s="11"/>
      <c r="E96" s="11"/>
      <c r="F96" s="19" t="n">
        <f aca="false">IF(E96="",N(D96)*(1+Settings!$B$7),E96)</f>
        <v>0</v>
      </c>
      <c r="G96" s="16"/>
      <c r="H96" s="16"/>
    </row>
    <row r="97" customFormat="false" ht="15" hidden="false" customHeight="false" outlineLevel="0" collapsed="false">
      <c r="A97" s="10" t="s">
        <v>506</v>
      </c>
      <c r="B97" s="10" t="s">
        <v>437</v>
      </c>
      <c r="C97" s="10" t="n">
        <v>2</v>
      </c>
      <c r="D97" s="11"/>
      <c r="E97" s="11"/>
      <c r="F97" s="19" t="n">
        <f aca="false">IF(E97="",N(D97)*(1+Settings!$B$7),E97)</f>
        <v>0</v>
      </c>
      <c r="G97" s="16"/>
      <c r="H97" s="16"/>
    </row>
    <row r="98" customFormat="false" ht="15" hidden="false" customHeight="false" outlineLevel="0" collapsed="false">
      <c r="A98" s="10" t="s">
        <v>507</v>
      </c>
      <c r="B98" s="10" t="s">
        <v>437</v>
      </c>
      <c r="C98" s="10" t="n">
        <v>10</v>
      </c>
      <c r="D98" s="11"/>
      <c r="E98" s="11"/>
      <c r="F98" s="19" t="n">
        <f aca="false">IF(E98="",N(D98)*(1+Settings!$B$7),E98)</f>
        <v>0</v>
      </c>
      <c r="G98" s="16"/>
      <c r="H98" s="16"/>
    </row>
    <row r="99" customFormat="false" ht="15" hidden="false" customHeight="false" outlineLevel="0" collapsed="false">
      <c r="A99" s="10" t="s">
        <v>508</v>
      </c>
      <c r="B99" s="10" t="s">
        <v>509</v>
      </c>
      <c r="C99" s="10" t="n">
        <v>10</v>
      </c>
      <c r="D99" s="11"/>
      <c r="E99" s="11"/>
      <c r="F99" s="19" t="n">
        <f aca="false">IF(E99="",N(D99)*(1+Settings!$B$7),E99)</f>
        <v>0</v>
      </c>
      <c r="G99" s="16"/>
      <c r="H99" s="16"/>
    </row>
    <row r="100" customFormat="false" ht="15" hidden="false" customHeight="false" outlineLevel="0" collapsed="false">
      <c r="A100" s="10" t="s">
        <v>510</v>
      </c>
      <c r="B100" s="10" t="s">
        <v>509</v>
      </c>
      <c r="C100" s="10" t="n">
        <v>11</v>
      </c>
      <c r="D100" s="11"/>
      <c r="E100" s="11"/>
      <c r="F100" s="19" t="n">
        <f aca="false">IF(E100="",N(D100)*(1+Settings!$B$7),E100)</f>
        <v>0</v>
      </c>
      <c r="G100" s="16"/>
      <c r="H100" s="16"/>
    </row>
    <row r="101" customFormat="false" ht="15" hidden="false" customHeight="false" outlineLevel="0" collapsed="false">
      <c r="A101" s="10" t="s">
        <v>511</v>
      </c>
      <c r="B101" s="10" t="s">
        <v>512</v>
      </c>
      <c r="C101" s="10" t="n">
        <v>54</v>
      </c>
      <c r="D101" s="11"/>
      <c r="E101" s="11"/>
      <c r="F101" s="19" t="n">
        <f aca="false">IF(E101="",N(D101)*(1+Settings!$B$7),E101)</f>
        <v>0</v>
      </c>
      <c r="G101" s="16"/>
      <c r="H101" s="16"/>
    </row>
    <row r="102" customFormat="false" ht="15" hidden="false" customHeight="false" outlineLevel="0" collapsed="false">
      <c r="A102" s="10" t="s">
        <v>513</v>
      </c>
      <c r="B102" s="10" t="s">
        <v>512</v>
      </c>
      <c r="C102" s="10" t="n">
        <v>12</v>
      </c>
      <c r="D102" s="11"/>
      <c r="E102" s="11"/>
      <c r="F102" s="19" t="n">
        <f aca="false">IF(E102="",N(D102)*(1+Settings!$B$7),E102)</f>
        <v>0</v>
      </c>
      <c r="G102" s="16"/>
      <c r="H102" s="16"/>
    </row>
    <row r="103" customFormat="false" ht="15" hidden="false" customHeight="false" outlineLevel="0" collapsed="false">
      <c r="A103" s="10" t="s">
        <v>514</v>
      </c>
      <c r="B103" s="10" t="s">
        <v>515</v>
      </c>
      <c r="C103" s="10" t="n">
        <v>1</v>
      </c>
      <c r="D103" s="11"/>
      <c r="E103" s="11"/>
      <c r="F103" s="19" t="n">
        <f aca="false">IF(E103="",N(D103)*(1+Settings!$B$7),E103)</f>
        <v>0</v>
      </c>
      <c r="G103" s="16"/>
      <c r="H103" s="16"/>
    </row>
    <row r="104" customFormat="false" ht="15" hidden="false" customHeight="false" outlineLevel="0" collapsed="false">
      <c r="A104" s="10" t="s">
        <v>516</v>
      </c>
      <c r="B104" s="10" t="s">
        <v>515</v>
      </c>
      <c r="C104" s="10" t="n">
        <v>57</v>
      </c>
      <c r="D104" s="11"/>
      <c r="E104" s="11"/>
      <c r="F104" s="19" t="n">
        <f aca="false">IF(E104="",N(D104)*(1+Settings!$B$7),E104)</f>
        <v>0</v>
      </c>
      <c r="G104" s="16"/>
      <c r="H104" s="16"/>
    </row>
    <row r="105" customFormat="false" ht="15" hidden="false" customHeight="false" outlineLevel="0" collapsed="false">
      <c r="A105" s="10" t="s">
        <v>517</v>
      </c>
      <c r="B105" s="10" t="s">
        <v>518</v>
      </c>
      <c r="C105" s="10" t="n">
        <v>5</v>
      </c>
      <c r="D105" s="11"/>
      <c r="E105" s="11"/>
      <c r="F105" s="19" t="n">
        <f aca="false">IF(E105="",N(D105)*(1+Settings!$B$7),E105)</f>
        <v>0</v>
      </c>
      <c r="G105" s="16"/>
      <c r="H105" s="16"/>
    </row>
    <row r="106" customFormat="false" ht="15" hidden="false" customHeight="false" outlineLevel="0" collapsed="false">
      <c r="A106" s="10" t="s">
        <v>519</v>
      </c>
      <c r="B106" s="10" t="s">
        <v>520</v>
      </c>
      <c r="C106" s="10" t="n">
        <v>6</v>
      </c>
      <c r="D106" s="11"/>
      <c r="E106" s="11"/>
      <c r="F106" s="19" t="n">
        <f aca="false">IF(E106="",N(D106)*(1+Settings!$B$7),E106)</f>
        <v>0</v>
      </c>
      <c r="G106" s="16"/>
      <c r="H106" s="16"/>
    </row>
    <row r="107" customFormat="false" ht="15" hidden="false" customHeight="false" outlineLevel="0" collapsed="false">
      <c r="A107" s="10" t="s">
        <v>521</v>
      </c>
      <c r="B107" s="10" t="s">
        <v>522</v>
      </c>
      <c r="C107" s="10" t="n">
        <v>10</v>
      </c>
      <c r="D107" s="11"/>
      <c r="E107" s="11"/>
      <c r="F107" s="19" t="n">
        <f aca="false">IF(E107="",N(D107)*(1+Settings!$B$7),E107)</f>
        <v>0</v>
      </c>
      <c r="G107" s="16"/>
      <c r="H107" s="16"/>
    </row>
    <row r="108" customFormat="false" ht="15" hidden="false" customHeight="false" outlineLevel="0" collapsed="false">
      <c r="A108" s="10" t="s">
        <v>523</v>
      </c>
      <c r="B108" s="10" t="s">
        <v>522</v>
      </c>
      <c r="C108" s="10" t="n">
        <v>2</v>
      </c>
      <c r="D108" s="11"/>
      <c r="E108" s="11"/>
      <c r="F108" s="19" t="n">
        <f aca="false">IF(E108="",N(D108)*(1+Settings!$B$7),E108)</f>
        <v>0</v>
      </c>
      <c r="G108" s="16"/>
      <c r="H108" s="16"/>
    </row>
    <row r="109" customFormat="false" ht="15" hidden="false" customHeight="false" outlineLevel="0" collapsed="false">
      <c r="A109" s="10" t="s">
        <v>524</v>
      </c>
      <c r="B109" s="10" t="s">
        <v>522</v>
      </c>
      <c r="C109" s="10" t="n">
        <v>4</v>
      </c>
      <c r="D109" s="11"/>
      <c r="E109" s="11"/>
      <c r="F109" s="19" t="n">
        <f aca="false">IF(E109="",N(D109)*(1+Settings!$B$7),E109)</f>
        <v>0</v>
      </c>
      <c r="G109" s="16"/>
      <c r="H109" s="16"/>
    </row>
    <row r="110" customFormat="false" ht="15" hidden="false" customHeight="false" outlineLevel="0" collapsed="false">
      <c r="A110" s="10" t="s">
        <v>525</v>
      </c>
      <c r="B110" s="10" t="s">
        <v>522</v>
      </c>
      <c r="C110" s="10" t="n">
        <v>1</v>
      </c>
      <c r="D110" s="11"/>
      <c r="E110" s="11"/>
      <c r="F110" s="19" t="n">
        <f aca="false">IF(E110="",N(D110)*(1+Settings!$B$7),E110)</f>
        <v>0</v>
      </c>
      <c r="G110" s="16"/>
      <c r="H110" s="16"/>
    </row>
    <row r="111" customFormat="false" ht="15" hidden="false" customHeight="false" outlineLevel="0" collapsed="false">
      <c r="A111" s="10" t="s">
        <v>526</v>
      </c>
      <c r="B111" s="10" t="s">
        <v>522</v>
      </c>
      <c r="C111" s="10" t="n">
        <v>3</v>
      </c>
      <c r="D111" s="11"/>
      <c r="E111" s="11"/>
      <c r="F111" s="19" t="n">
        <f aca="false">IF(E111="",N(D111)*(1+Settings!$B$7),E111)</f>
        <v>0</v>
      </c>
      <c r="G111" s="16"/>
      <c r="H111" s="16"/>
    </row>
    <row r="112" customFormat="false" ht="15" hidden="false" customHeight="false" outlineLevel="0" collapsed="false">
      <c r="A112" s="10" t="s">
        <v>527</v>
      </c>
      <c r="B112" s="10" t="s">
        <v>522</v>
      </c>
      <c r="C112" s="10" t="n">
        <v>1</v>
      </c>
      <c r="D112" s="11"/>
      <c r="E112" s="11"/>
      <c r="F112" s="19" t="n">
        <f aca="false">IF(E112="",N(D112)*(1+Settings!$B$7),E112)</f>
        <v>0</v>
      </c>
      <c r="G112" s="16"/>
      <c r="H112" s="16"/>
    </row>
    <row r="113" customFormat="false" ht="15" hidden="false" customHeight="false" outlineLevel="0" collapsed="false">
      <c r="A113" s="10" t="s">
        <v>528</v>
      </c>
      <c r="B113" s="10" t="s">
        <v>522</v>
      </c>
      <c r="C113" s="10" t="n">
        <v>6</v>
      </c>
      <c r="D113" s="11"/>
      <c r="E113" s="11"/>
      <c r="F113" s="19" t="n">
        <f aca="false">IF(E113="",N(D113)*(1+Settings!$B$7),E113)</f>
        <v>0</v>
      </c>
      <c r="G113" s="16"/>
      <c r="H113" s="16"/>
    </row>
    <row r="114" customFormat="false" ht="15" hidden="false" customHeight="false" outlineLevel="0" collapsed="false">
      <c r="A114" s="10" t="s">
        <v>529</v>
      </c>
      <c r="B114" s="10" t="s">
        <v>522</v>
      </c>
      <c r="C114" s="10" t="n">
        <v>4</v>
      </c>
      <c r="D114" s="11"/>
      <c r="E114" s="11"/>
      <c r="F114" s="19" t="n">
        <f aca="false">IF(E114="",N(D114)*(1+Settings!$B$7),E114)</f>
        <v>0</v>
      </c>
      <c r="G114" s="16"/>
      <c r="H114" s="16"/>
    </row>
    <row r="115" customFormat="false" ht="15" hidden="false" customHeight="false" outlineLevel="0" collapsed="false">
      <c r="A115" s="10" t="s">
        <v>530</v>
      </c>
      <c r="B115" s="10" t="s">
        <v>522</v>
      </c>
      <c r="C115" s="10" t="n">
        <v>2</v>
      </c>
      <c r="D115" s="11"/>
      <c r="E115" s="11"/>
      <c r="F115" s="19" t="n">
        <f aca="false">IF(E115="",N(D115)*(1+Settings!$B$7),E115)</f>
        <v>0</v>
      </c>
      <c r="G115" s="16"/>
      <c r="H115" s="16"/>
    </row>
    <row r="116" customFormat="false" ht="15" hidden="false" customHeight="false" outlineLevel="0" collapsed="false">
      <c r="A116" s="10" t="s">
        <v>531</v>
      </c>
      <c r="B116" s="10" t="s">
        <v>522</v>
      </c>
      <c r="C116" s="10" t="n">
        <v>8</v>
      </c>
      <c r="D116" s="11"/>
      <c r="E116" s="11"/>
      <c r="F116" s="19" t="n">
        <f aca="false">IF(E116="",N(D116)*(1+Settings!$B$7),E116)</f>
        <v>0</v>
      </c>
      <c r="G116" s="16"/>
      <c r="H116" s="16"/>
    </row>
    <row r="117" customFormat="false" ht="15" hidden="false" customHeight="false" outlineLevel="0" collapsed="false">
      <c r="A117" s="10" t="s">
        <v>532</v>
      </c>
      <c r="B117" s="10" t="s">
        <v>522</v>
      </c>
      <c r="C117" s="10" t="n">
        <v>15</v>
      </c>
      <c r="D117" s="11"/>
      <c r="E117" s="11"/>
      <c r="F117" s="19" t="n">
        <f aca="false">IF(E117="",N(D117)*(1+Settings!$B$7),E117)</f>
        <v>0</v>
      </c>
      <c r="G117" s="16"/>
      <c r="H117" s="16"/>
    </row>
    <row r="118" customFormat="false" ht="15" hidden="false" customHeight="false" outlineLevel="0" collapsed="false">
      <c r="A118" s="10" t="s">
        <v>533</v>
      </c>
      <c r="B118" s="10" t="s">
        <v>522</v>
      </c>
      <c r="C118" s="10" t="n">
        <v>20</v>
      </c>
      <c r="D118" s="11"/>
      <c r="E118" s="11"/>
      <c r="F118" s="19" t="n">
        <f aca="false">IF(E118="",N(D118)*(1+Settings!$B$7),E118)</f>
        <v>0</v>
      </c>
      <c r="G118" s="16"/>
      <c r="H118" s="16"/>
    </row>
    <row r="119" customFormat="false" ht="15" hidden="false" customHeight="false" outlineLevel="0" collapsed="false">
      <c r="A119" s="10" t="s">
        <v>534</v>
      </c>
      <c r="B119" s="10" t="s">
        <v>522</v>
      </c>
      <c r="C119" s="10" t="n">
        <v>13</v>
      </c>
      <c r="D119" s="11"/>
      <c r="E119" s="11"/>
      <c r="F119" s="19" t="n">
        <f aca="false">IF(E119="",N(D119)*(1+Settings!$B$7),E119)</f>
        <v>0</v>
      </c>
      <c r="G119" s="16"/>
      <c r="H119" s="16"/>
    </row>
    <row r="120" customFormat="false" ht="15" hidden="false" customHeight="false" outlineLevel="0" collapsed="false">
      <c r="A120" s="10" t="s">
        <v>535</v>
      </c>
      <c r="B120" s="10" t="s">
        <v>536</v>
      </c>
      <c r="C120" s="10" t="n">
        <v>26</v>
      </c>
      <c r="D120" s="11"/>
      <c r="E120" s="11"/>
      <c r="F120" s="19" t="n">
        <f aca="false">IF(E120="",N(D120)*(1+Settings!$B$7),E120)</f>
        <v>0</v>
      </c>
      <c r="G120" s="16"/>
      <c r="H120" s="16"/>
    </row>
    <row r="121" customFormat="false" ht="15" hidden="false" customHeight="false" outlineLevel="0" collapsed="false">
      <c r="A121" s="10" t="s">
        <v>537</v>
      </c>
      <c r="B121" s="10" t="s">
        <v>536</v>
      </c>
      <c r="C121" s="10" t="n">
        <v>34</v>
      </c>
      <c r="D121" s="11"/>
      <c r="E121" s="11"/>
      <c r="F121" s="19" t="n">
        <f aca="false">IF(E121="",N(D121)*(1+Settings!$B$7),E121)</f>
        <v>0</v>
      </c>
      <c r="G121" s="16"/>
      <c r="H121" s="16"/>
    </row>
    <row r="122" customFormat="false" ht="15" hidden="false" customHeight="false" outlineLevel="0" collapsed="false">
      <c r="A122" s="10" t="s">
        <v>538</v>
      </c>
      <c r="B122" s="10" t="s">
        <v>536</v>
      </c>
      <c r="C122" s="10" t="n">
        <v>1</v>
      </c>
      <c r="D122" s="11"/>
      <c r="E122" s="11"/>
      <c r="F122" s="19" t="n">
        <f aca="false">IF(E122="",N(D122)*(1+Settings!$B$7),E122)</f>
        <v>0</v>
      </c>
      <c r="G122" s="16"/>
      <c r="H122" s="16"/>
    </row>
    <row r="123" customFormat="false" ht="15" hidden="false" customHeight="false" outlineLevel="0" collapsed="false">
      <c r="A123" s="10" t="s">
        <v>539</v>
      </c>
      <c r="B123" s="10" t="s">
        <v>540</v>
      </c>
      <c r="C123" s="10" t="n">
        <v>15</v>
      </c>
      <c r="D123" s="11"/>
      <c r="E123" s="11"/>
      <c r="F123" s="19" t="n">
        <f aca="false">IF(E123="",N(D123)*(1+Settings!$B$7),E123)</f>
        <v>0</v>
      </c>
      <c r="G123" s="16"/>
      <c r="H123" s="16"/>
    </row>
    <row r="124" customFormat="false" ht="15" hidden="false" customHeight="false" outlineLevel="0" collapsed="false">
      <c r="A124" s="10" t="s">
        <v>541</v>
      </c>
      <c r="B124" s="10" t="s">
        <v>540</v>
      </c>
      <c r="C124" s="10" t="n">
        <v>4</v>
      </c>
      <c r="D124" s="11"/>
      <c r="E124" s="11"/>
      <c r="F124" s="19" t="n">
        <f aca="false">IF(E124="",N(D124)*(1+Settings!$B$7),E124)</f>
        <v>0</v>
      </c>
      <c r="G124" s="16"/>
      <c r="H124" s="16"/>
    </row>
    <row r="125" customFormat="false" ht="15" hidden="false" customHeight="false" outlineLevel="0" collapsed="false">
      <c r="A125" s="10" t="s">
        <v>542</v>
      </c>
      <c r="B125" s="10" t="s">
        <v>540</v>
      </c>
      <c r="C125" s="10" t="n">
        <v>1</v>
      </c>
      <c r="D125" s="11"/>
      <c r="E125" s="11"/>
      <c r="F125" s="19" t="n">
        <f aca="false">IF(E125="",N(D125)*(1+Settings!$B$7),E125)</f>
        <v>0</v>
      </c>
      <c r="G125" s="16"/>
      <c r="H125" s="16"/>
    </row>
    <row r="126" customFormat="false" ht="15" hidden="false" customHeight="false" outlineLevel="0" collapsed="false">
      <c r="A126" s="10" t="s">
        <v>543</v>
      </c>
      <c r="B126" s="10" t="s">
        <v>540</v>
      </c>
      <c r="C126" s="10" t="n">
        <v>9</v>
      </c>
      <c r="D126" s="11"/>
      <c r="E126" s="11"/>
      <c r="F126" s="19" t="n">
        <f aca="false">IF(E126="",N(D126)*(1+Settings!$B$7),E126)</f>
        <v>0</v>
      </c>
      <c r="G126" s="16"/>
      <c r="H126" s="16"/>
    </row>
    <row r="127" customFormat="false" ht="15" hidden="false" customHeight="false" outlineLevel="0" collapsed="false">
      <c r="A127" s="10" t="s">
        <v>544</v>
      </c>
      <c r="B127" s="10" t="s">
        <v>540</v>
      </c>
      <c r="C127" s="10" t="n">
        <v>1</v>
      </c>
      <c r="D127" s="11"/>
      <c r="E127" s="11"/>
      <c r="F127" s="19" t="n">
        <f aca="false">IF(E127="",N(D127)*(1+Settings!$B$7),E127)</f>
        <v>0</v>
      </c>
      <c r="G127" s="16"/>
      <c r="H127" s="16"/>
    </row>
    <row r="128" customFormat="false" ht="15" hidden="false" customHeight="false" outlineLevel="0" collapsed="false">
      <c r="A128" s="10" t="s">
        <v>545</v>
      </c>
      <c r="B128" s="10" t="s">
        <v>540</v>
      </c>
      <c r="C128" s="10" t="n">
        <v>25</v>
      </c>
      <c r="D128" s="11"/>
      <c r="E128" s="11"/>
      <c r="F128" s="19" t="n">
        <f aca="false">IF(E128="",N(D128)*(1+Settings!$B$7),E128)</f>
        <v>0</v>
      </c>
      <c r="G128" s="16"/>
      <c r="H128" s="16"/>
    </row>
    <row r="129" customFormat="false" ht="15" hidden="false" customHeight="false" outlineLevel="0" collapsed="false">
      <c r="A129" s="10" t="s">
        <v>546</v>
      </c>
      <c r="B129" s="10" t="s">
        <v>540</v>
      </c>
      <c r="C129" s="10" t="n">
        <v>47</v>
      </c>
      <c r="D129" s="11"/>
      <c r="E129" s="11"/>
      <c r="F129" s="19" t="n">
        <f aca="false">IF(E129="",N(D129)*(1+Settings!$B$7),E129)</f>
        <v>0</v>
      </c>
      <c r="G129" s="16"/>
      <c r="H129" s="16"/>
    </row>
    <row r="130" customFormat="false" ht="15" hidden="false" customHeight="false" outlineLevel="0" collapsed="false">
      <c r="A130" s="10" t="s">
        <v>547</v>
      </c>
      <c r="B130" s="10" t="s">
        <v>540</v>
      </c>
      <c r="C130" s="10" t="n">
        <v>28</v>
      </c>
      <c r="D130" s="11"/>
      <c r="E130" s="11"/>
      <c r="F130" s="19" t="n">
        <f aca="false">IF(E130="",N(D130)*(1+Settings!$B$7),E130)</f>
        <v>0</v>
      </c>
      <c r="G130" s="16"/>
      <c r="H130" s="16"/>
    </row>
    <row r="131" customFormat="false" ht="15" hidden="false" customHeight="false" outlineLevel="0" collapsed="false">
      <c r="A131" s="10" t="s">
        <v>548</v>
      </c>
      <c r="B131" s="10" t="s">
        <v>540</v>
      </c>
      <c r="C131" s="10" t="n">
        <v>1</v>
      </c>
      <c r="D131" s="11"/>
      <c r="E131" s="11"/>
      <c r="F131" s="19" t="n">
        <f aca="false">IF(E131="",N(D131)*(1+Settings!$B$7),E131)</f>
        <v>0</v>
      </c>
      <c r="G131" s="16"/>
      <c r="H131" s="16"/>
    </row>
    <row r="132" customFormat="false" ht="15" hidden="false" customHeight="false" outlineLevel="0" collapsed="false">
      <c r="A132" s="10" t="s">
        <v>549</v>
      </c>
      <c r="B132" s="10" t="s">
        <v>550</v>
      </c>
      <c r="C132" s="10" t="n">
        <v>1</v>
      </c>
      <c r="D132" s="11"/>
      <c r="E132" s="11"/>
      <c r="F132" s="19" t="n">
        <f aca="false">IF(E132="",N(D132)*(1+Settings!$B$7),E132)</f>
        <v>0</v>
      </c>
      <c r="G132" s="16"/>
      <c r="H132" s="16"/>
    </row>
    <row r="133" customFormat="false" ht="15" hidden="false" customHeight="false" outlineLevel="0" collapsed="false">
      <c r="A133" s="10" t="s">
        <v>551</v>
      </c>
      <c r="B133" s="10" t="s">
        <v>550</v>
      </c>
      <c r="C133" s="10" t="n">
        <v>6</v>
      </c>
      <c r="D133" s="11"/>
      <c r="E133" s="11"/>
      <c r="F133" s="19" t="n">
        <f aca="false">IF(E133="",N(D133)*(1+Settings!$B$7),E133)</f>
        <v>0</v>
      </c>
      <c r="G133" s="16"/>
      <c r="H133" s="16"/>
    </row>
    <row r="134" customFormat="false" ht="15" hidden="false" customHeight="false" outlineLevel="0" collapsed="false">
      <c r="A134" s="10" t="s">
        <v>552</v>
      </c>
      <c r="B134" s="10" t="s">
        <v>550</v>
      </c>
      <c r="C134" s="10" t="n">
        <v>7</v>
      </c>
      <c r="D134" s="11"/>
      <c r="E134" s="11"/>
      <c r="F134" s="19" t="n">
        <f aca="false">IF(E134="",N(D134)*(1+Settings!$B$7),E134)</f>
        <v>0</v>
      </c>
      <c r="G134" s="16"/>
      <c r="H134" s="16"/>
    </row>
    <row r="135" customFormat="false" ht="15" hidden="false" customHeight="false" outlineLevel="0" collapsed="false">
      <c r="A135" s="10" t="s">
        <v>553</v>
      </c>
      <c r="B135" s="10" t="s">
        <v>550</v>
      </c>
      <c r="C135" s="10" t="n">
        <v>1</v>
      </c>
      <c r="D135" s="11"/>
      <c r="E135" s="11"/>
      <c r="F135" s="19" t="n">
        <f aca="false">IF(E135="",N(D135)*(1+Settings!$B$7),E135)</f>
        <v>0</v>
      </c>
      <c r="G135" s="16"/>
      <c r="H135" s="16"/>
    </row>
    <row r="136" customFormat="false" ht="15" hidden="false" customHeight="false" outlineLevel="0" collapsed="false">
      <c r="A136" s="10" t="s">
        <v>554</v>
      </c>
      <c r="B136" s="10" t="s">
        <v>550</v>
      </c>
      <c r="C136" s="10" t="n">
        <v>8</v>
      </c>
      <c r="D136" s="11"/>
      <c r="E136" s="11"/>
      <c r="F136" s="19" t="n">
        <f aca="false">IF(E136="",N(D136)*(1+Settings!$B$7),E136)</f>
        <v>0</v>
      </c>
      <c r="G136" s="16"/>
      <c r="H136" s="16"/>
    </row>
    <row r="137" customFormat="false" ht="15" hidden="false" customHeight="false" outlineLevel="0" collapsed="false">
      <c r="A137" s="10" t="s">
        <v>555</v>
      </c>
      <c r="B137" s="10" t="s">
        <v>550</v>
      </c>
      <c r="C137" s="10" t="n">
        <v>1</v>
      </c>
      <c r="D137" s="11"/>
      <c r="E137" s="11"/>
      <c r="F137" s="19" t="n">
        <f aca="false">IF(E137="",N(D137)*(1+Settings!$B$7),E137)</f>
        <v>0</v>
      </c>
      <c r="G137" s="16"/>
      <c r="H137" s="16"/>
    </row>
    <row r="138" customFormat="false" ht="15" hidden="false" customHeight="false" outlineLevel="0" collapsed="false">
      <c r="A138" s="10" t="s">
        <v>556</v>
      </c>
      <c r="B138" s="10" t="s">
        <v>550</v>
      </c>
      <c r="C138" s="10" t="n">
        <v>2</v>
      </c>
      <c r="D138" s="11"/>
      <c r="E138" s="11"/>
      <c r="F138" s="19" t="n">
        <f aca="false">IF(E138="",N(D138)*(1+Settings!$B$7),E138)</f>
        <v>0</v>
      </c>
      <c r="G138" s="16"/>
      <c r="H138" s="16"/>
    </row>
    <row r="139" customFormat="false" ht="15" hidden="false" customHeight="false" outlineLevel="0" collapsed="false">
      <c r="A139" s="10" t="s">
        <v>557</v>
      </c>
      <c r="B139" s="10" t="s">
        <v>550</v>
      </c>
      <c r="C139" s="10" t="n">
        <v>6</v>
      </c>
      <c r="D139" s="11"/>
      <c r="E139" s="11"/>
      <c r="F139" s="19" t="n">
        <f aca="false">IF(E139="",N(D139)*(1+Settings!$B$7),E139)</f>
        <v>0</v>
      </c>
      <c r="G139" s="16"/>
      <c r="H139" s="16"/>
    </row>
    <row r="140" customFormat="false" ht="15" hidden="false" customHeight="false" outlineLevel="0" collapsed="false">
      <c r="A140" s="10" t="s">
        <v>558</v>
      </c>
      <c r="B140" s="10" t="s">
        <v>550</v>
      </c>
      <c r="C140" s="10" t="n">
        <v>1</v>
      </c>
      <c r="D140" s="11"/>
      <c r="E140" s="11"/>
      <c r="F140" s="19" t="n">
        <f aca="false">IF(E140="",N(D140)*(1+Settings!$B$7),E140)</f>
        <v>0</v>
      </c>
      <c r="G140" s="16"/>
      <c r="H140" s="16"/>
    </row>
    <row r="141" customFormat="false" ht="15" hidden="false" customHeight="false" outlineLevel="0" collapsed="false">
      <c r="A141" s="10" t="s">
        <v>559</v>
      </c>
      <c r="B141" s="10" t="s">
        <v>550</v>
      </c>
      <c r="C141" s="10" t="n">
        <v>1</v>
      </c>
      <c r="D141" s="11"/>
      <c r="E141" s="11"/>
      <c r="F141" s="19" t="n">
        <f aca="false">IF(E141="",N(D141)*(1+Settings!$B$7),E141)</f>
        <v>0</v>
      </c>
      <c r="G141" s="16"/>
      <c r="H141" s="16"/>
    </row>
    <row r="142" customFormat="false" ht="15" hidden="false" customHeight="false" outlineLevel="0" collapsed="false">
      <c r="A142" s="10" t="s">
        <v>560</v>
      </c>
      <c r="B142" s="10" t="s">
        <v>561</v>
      </c>
      <c r="C142" s="10" t="n">
        <v>75</v>
      </c>
      <c r="D142" s="11"/>
      <c r="E142" s="11"/>
      <c r="F142" s="19" t="n">
        <f aca="false">IF(E142="",N(D142)*(1+Settings!$B$7),E142)</f>
        <v>0</v>
      </c>
      <c r="G142" s="16"/>
      <c r="H142" s="16"/>
    </row>
    <row r="143" customFormat="false" ht="15" hidden="false" customHeight="false" outlineLevel="0" collapsed="false">
      <c r="A143" s="10" t="s">
        <v>562</v>
      </c>
      <c r="B143" s="10" t="s">
        <v>563</v>
      </c>
      <c r="C143" s="10" t="n">
        <v>57</v>
      </c>
      <c r="D143" s="11"/>
      <c r="E143" s="11"/>
      <c r="F143" s="19" t="n">
        <f aca="false">IF(E143="",N(D143)*(1+Settings!$B$7),E143)</f>
        <v>0</v>
      </c>
      <c r="G143" s="16"/>
      <c r="H143" s="16"/>
    </row>
    <row r="144" customFormat="false" ht="15" hidden="false" customHeight="false" outlineLevel="0" collapsed="false">
      <c r="A144" s="10" t="s">
        <v>564</v>
      </c>
      <c r="B144" s="10" t="s">
        <v>565</v>
      </c>
      <c r="C144" s="10" t="n">
        <v>73</v>
      </c>
      <c r="D144" s="11"/>
      <c r="E144" s="11"/>
      <c r="F144" s="19" t="n">
        <f aca="false">IF(E144="",N(D144)*(1+Settings!$B$7),E144)</f>
        <v>0</v>
      </c>
      <c r="G144" s="16"/>
      <c r="H144" s="16"/>
    </row>
    <row r="145" customFormat="false" ht="15" hidden="false" customHeight="false" outlineLevel="0" collapsed="false">
      <c r="A145" s="10" t="s">
        <v>566</v>
      </c>
      <c r="B145" s="10" t="s">
        <v>565</v>
      </c>
      <c r="C145" s="10" t="n">
        <v>11</v>
      </c>
      <c r="D145" s="11"/>
      <c r="E145" s="11"/>
      <c r="F145" s="19" t="n">
        <f aca="false">IF(E145="",N(D145)*(1+Settings!$B$7),E145)</f>
        <v>0</v>
      </c>
      <c r="G145" s="16"/>
      <c r="H145" s="16"/>
    </row>
    <row r="146" customFormat="false" ht="15" hidden="false" customHeight="false" outlineLevel="0" collapsed="false">
      <c r="A146" s="10" t="s">
        <v>567</v>
      </c>
      <c r="B146" s="10" t="s">
        <v>568</v>
      </c>
      <c r="C146" s="10" t="n">
        <v>57</v>
      </c>
      <c r="D146" s="11"/>
      <c r="E146" s="11"/>
      <c r="F146" s="19" t="n">
        <f aca="false">IF(E146="",N(D146)*(1+Settings!$B$7),E146)</f>
        <v>0</v>
      </c>
      <c r="G146" s="16"/>
      <c r="H146" s="16"/>
    </row>
    <row r="147" customFormat="false" ht="15" hidden="false" customHeight="false" outlineLevel="0" collapsed="false">
      <c r="A147" s="10" t="s">
        <v>569</v>
      </c>
      <c r="B147" s="10" t="s">
        <v>570</v>
      </c>
      <c r="C147" s="10" t="n">
        <v>1</v>
      </c>
      <c r="D147" s="11"/>
      <c r="E147" s="11"/>
      <c r="F147" s="19" t="n">
        <f aca="false">IF(E147="",N(D147)*(1+Settings!$B$7),E147)</f>
        <v>0</v>
      </c>
      <c r="G147" s="16"/>
      <c r="H147" s="16"/>
    </row>
    <row r="148" customFormat="false" ht="15" hidden="false" customHeight="false" outlineLevel="0" collapsed="false">
      <c r="A148" s="10" t="s">
        <v>571</v>
      </c>
      <c r="B148" s="10" t="s">
        <v>570</v>
      </c>
      <c r="C148" s="10" t="n">
        <v>2</v>
      </c>
      <c r="D148" s="11"/>
      <c r="E148" s="11"/>
      <c r="F148" s="19" t="n">
        <f aca="false">IF(E148="",N(D148)*(1+Settings!$B$7),E148)</f>
        <v>0</v>
      </c>
      <c r="G148" s="16"/>
      <c r="H148" s="16"/>
    </row>
    <row r="149" customFormat="false" ht="15" hidden="false" customHeight="false" outlineLevel="0" collapsed="false">
      <c r="A149" s="10" t="s">
        <v>572</v>
      </c>
      <c r="B149" s="10" t="s">
        <v>573</v>
      </c>
      <c r="C149" s="10" t="n">
        <v>3</v>
      </c>
      <c r="D149" s="11"/>
      <c r="E149" s="11"/>
      <c r="F149" s="19" t="n">
        <f aca="false">IF(E149="",N(D149)*(1+Settings!$B$7),E149)</f>
        <v>0</v>
      </c>
      <c r="G149" s="16"/>
      <c r="H149" s="16"/>
    </row>
    <row r="150" customFormat="false" ht="15" hidden="false" customHeight="false" outlineLevel="0" collapsed="false">
      <c r="A150" s="10" t="s">
        <v>574</v>
      </c>
      <c r="B150" s="10" t="s">
        <v>573</v>
      </c>
      <c r="C150" s="10" t="n">
        <v>54</v>
      </c>
      <c r="D150" s="11"/>
      <c r="E150" s="11"/>
      <c r="F150" s="19" t="n">
        <f aca="false">IF(E150="",N(D150)*(1+Settings!$B$7),E150)</f>
        <v>0</v>
      </c>
      <c r="G150" s="16"/>
      <c r="H150" s="16"/>
    </row>
    <row r="151" customFormat="false" ht="15" hidden="false" customHeight="false" outlineLevel="0" collapsed="false">
      <c r="A151" s="10" t="s">
        <v>575</v>
      </c>
      <c r="B151" s="10" t="s">
        <v>573</v>
      </c>
      <c r="C151" s="10" t="n">
        <v>2</v>
      </c>
      <c r="D151" s="11"/>
      <c r="E151" s="11"/>
      <c r="F151" s="19" t="n">
        <f aca="false">IF(E151="",N(D151)*(1+Settings!$B$7),E151)</f>
        <v>0</v>
      </c>
      <c r="G151" s="16"/>
      <c r="H151" s="16"/>
    </row>
    <row r="152" customFormat="false" ht="15" hidden="false" customHeight="false" outlineLevel="0" collapsed="false">
      <c r="A152" s="10" t="s">
        <v>576</v>
      </c>
      <c r="B152" s="10" t="s">
        <v>577</v>
      </c>
      <c r="C152" s="10" t="n">
        <v>1</v>
      </c>
      <c r="D152" s="11"/>
      <c r="E152" s="11"/>
      <c r="F152" s="19" t="n">
        <f aca="false">IF(E152="",N(D152)*(1+Settings!$B$7),E152)</f>
        <v>0</v>
      </c>
      <c r="G152" s="16"/>
      <c r="H152" s="16"/>
    </row>
    <row r="153" customFormat="false" ht="15" hidden="false" customHeight="false" outlineLevel="0" collapsed="false">
      <c r="A153" s="10" t="s">
        <v>578</v>
      </c>
      <c r="B153" s="10" t="s">
        <v>577</v>
      </c>
      <c r="C153" s="10" t="n">
        <v>6</v>
      </c>
      <c r="D153" s="11"/>
      <c r="E153" s="11"/>
      <c r="F153" s="19" t="n">
        <f aca="false">IF(E153="",N(D153)*(1+Settings!$B$7),E153)</f>
        <v>0</v>
      </c>
      <c r="G153" s="16"/>
      <c r="H153" s="16"/>
    </row>
    <row r="154" customFormat="false" ht="15" hidden="false" customHeight="false" outlineLevel="0" collapsed="false">
      <c r="A154" s="10" t="s">
        <v>579</v>
      </c>
      <c r="B154" s="10" t="s">
        <v>580</v>
      </c>
      <c r="C154" s="10" t="n">
        <v>1</v>
      </c>
      <c r="D154" s="11"/>
      <c r="E154" s="11"/>
      <c r="F154" s="19" t="n">
        <f aca="false">IF(E154="",N(D154)*(1+Settings!$B$7),E154)</f>
        <v>0</v>
      </c>
      <c r="G154" s="16"/>
      <c r="H154" s="16"/>
    </row>
    <row r="155" customFormat="false" ht="15" hidden="false" customHeight="false" outlineLevel="0" collapsed="false">
      <c r="A155" s="10" t="s">
        <v>581</v>
      </c>
      <c r="B155" s="10" t="s">
        <v>580</v>
      </c>
      <c r="C155" s="10" t="n">
        <v>5</v>
      </c>
      <c r="D155" s="11"/>
      <c r="E155" s="11"/>
      <c r="F155" s="19" t="n">
        <f aca="false">IF(E155="",N(D155)*(1+Settings!$B$7),E155)</f>
        <v>0</v>
      </c>
      <c r="G155" s="16"/>
      <c r="H155" s="16"/>
    </row>
    <row r="156" customFormat="false" ht="15" hidden="false" customHeight="false" outlineLevel="0" collapsed="false">
      <c r="A156" s="10" t="s">
        <v>582</v>
      </c>
      <c r="B156" s="10" t="s">
        <v>580</v>
      </c>
      <c r="C156" s="10" t="n">
        <v>5</v>
      </c>
      <c r="D156" s="11"/>
      <c r="E156" s="11"/>
      <c r="F156" s="19" t="n">
        <f aca="false">IF(E156="",N(D156)*(1+Settings!$B$7),E156)</f>
        <v>0</v>
      </c>
      <c r="G156" s="16"/>
      <c r="H156" s="16"/>
    </row>
    <row r="157" customFormat="false" ht="15" hidden="false" customHeight="false" outlineLevel="0" collapsed="false">
      <c r="A157" s="10" t="s">
        <v>583</v>
      </c>
      <c r="B157" s="10" t="s">
        <v>580</v>
      </c>
      <c r="C157" s="10" t="n">
        <v>5</v>
      </c>
      <c r="D157" s="11"/>
      <c r="E157" s="11"/>
      <c r="F157" s="19" t="n">
        <f aca="false">IF(E157="",N(D157)*(1+Settings!$B$7),E157)</f>
        <v>0</v>
      </c>
      <c r="G157" s="16"/>
      <c r="H157" s="16"/>
    </row>
    <row r="158" customFormat="false" ht="15" hidden="false" customHeight="false" outlineLevel="0" collapsed="false">
      <c r="A158" s="10" t="s">
        <v>584</v>
      </c>
      <c r="B158" s="10" t="s">
        <v>585</v>
      </c>
      <c r="C158" s="10" t="n">
        <v>6</v>
      </c>
      <c r="D158" s="11"/>
      <c r="E158" s="11"/>
      <c r="F158" s="19" t="n">
        <f aca="false">IF(E158="",N(D158)*(1+Settings!$B$7),E158)</f>
        <v>0</v>
      </c>
      <c r="G158" s="16"/>
      <c r="H158" s="16"/>
    </row>
    <row r="159" customFormat="false" ht="15" hidden="false" customHeight="false" outlineLevel="0" collapsed="false">
      <c r="A159" s="10" t="s">
        <v>586</v>
      </c>
      <c r="B159" s="10" t="s">
        <v>585</v>
      </c>
      <c r="C159" s="10" t="n">
        <v>8</v>
      </c>
      <c r="D159" s="11"/>
      <c r="E159" s="11"/>
      <c r="F159" s="19" t="n">
        <f aca="false">IF(E159="",N(D159)*(1+Settings!$B$7),E159)</f>
        <v>0</v>
      </c>
      <c r="G159" s="16"/>
      <c r="H159" s="16"/>
    </row>
    <row r="160" customFormat="false" ht="15" hidden="false" customHeight="false" outlineLevel="0" collapsed="false">
      <c r="A160" s="10" t="s">
        <v>587</v>
      </c>
      <c r="B160" s="10" t="s">
        <v>585</v>
      </c>
      <c r="C160" s="10" t="n">
        <v>1</v>
      </c>
      <c r="D160" s="11"/>
      <c r="E160" s="11"/>
      <c r="F160" s="19" t="n">
        <f aca="false">IF(E160="",N(D160)*(1+Settings!$B$7),E160)</f>
        <v>0</v>
      </c>
      <c r="G160" s="16"/>
      <c r="H160" s="16"/>
    </row>
    <row r="161" customFormat="false" ht="15" hidden="false" customHeight="false" outlineLevel="0" collapsed="false">
      <c r="A161" s="10" t="s">
        <v>588</v>
      </c>
      <c r="B161" s="10" t="s">
        <v>585</v>
      </c>
      <c r="C161" s="10" t="n">
        <v>4</v>
      </c>
      <c r="D161" s="11"/>
      <c r="E161" s="11"/>
      <c r="F161" s="19" t="n">
        <f aca="false">IF(E161="",N(D161)*(1+Settings!$B$7),E161)</f>
        <v>0</v>
      </c>
      <c r="G161" s="16"/>
      <c r="H161" s="16"/>
    </row>
    <row r="162" customFormat="false" ht="15" hidden="false" customHeight="false" outlineLevel="0" collapsed="false">
      <c r="A162" s="10" t="s">
        <v>589</v>
      </c>
      <c r="B162" s="10" t="s">
        <v>585</v>
      </c>
      <c r="C162" s="10" t="n">
        <v>1</v>
      </c>
      <c r="D162" s="11"/>
      <c r="E162" s="11"/>
      <c r="F162" s="19" t="n">
        <f aca="false">IF(E162="",N(D162)*(1+Settings!$B$7),E162)</f>
        <v>0</v>
      </c>
      <c r="G162" s="16"/>
      <c r="H162" s="16"/>
    </row>
    <row r="163" customFormat="false" ht="15" hidden="false" customHeight="false" outlineLevel="0" collapsed="false">
      <c r="A163" s="10" t="s">
        <v>590</v>
      </c>
      <c r="B163" s="10" t="s">
        <v>591</v>
      </c>
      <c r="C163" s="10" t="n">
        <v>3</v>
      </c>
      <c r="D163" s="11"/>
      <c r="E163" s="11"/>
      <c r="F163" s="19" t="n">
        <f aca="false">IF(E163="",N(D163)*(1+Settings!$B$7),E163)</f>
        <v>0</v>
      </c>
      <c r="G163" s="16"/>
      <c r="H163" s="16"/>
    </row>
    <row r="164" customFormat="false" ht="15" hidden="false" customHeight="false" outlineLevel="0" collapsed="false">
      <c r="A164" s="10" t="s">
        <v>592</v>
      </c>
      <c r="B164" s="10" t="s">
        <v>591</v>
      </c>
      <c r="C164" s="10" t="n">
        <v>7</v>
      </c>
      <c r="D164" s="11"/>
      <c r="E164" s="11"/>
      <c r="F164" s="19" t="n">
        <f aca="false">IF(E164="",N(D164)*(1+Settings!$B$7),E164)</f>
        <v>0</v>
      </c>
      <c r="G164" s="16"/>
      <c r="H164" s="16"/>
    </row>
    <row r="165" customFormat="false" ht="15" hidden="false" customHeight="false" outlineLevel="0" collapsed="false">
      <c r="A165" s="10" t="s">
        <v>593</v>
      </c>
      <c r="B165" s="10" t="s">
        <v>591</v>
      </c>
      <c r="C165" s="10" t="n">
        <v>70</v>
      </c>
      <c r="D165" s="11"/>
      <c r="E165" s="11"/>
      <c r="F165" s="19" t="n">
        <f aca="false">IF(E165="",N(D165)*(1+Settings!$B$7),E165)</f>
        <v>0</v>
      </c>
      <c r="G165" s="16"/>
      <c r="H165" s="16"/>
    </row>
    <row r="166" customFormat="false" ht="15" hidden="false" customHeight="false" outlineLevel="0" collapsed="false">
      <c r="A166" s="10" t="s">
        <v>594</v>
      </c>
      <c r="B166" s="10" t="s">
        <v>591</v>
      </c>
      <c r="C166" s="10" t="n">
        <v>6</v>
      </c>
      <c r="D166" s="11"/>
      <c r="E166" s="11"/>
      <c r="F166" s="19" t="n">
        <f aca="false">IF(E166="",N(D166)*(1+Settings!$B$7),E166)</f>
        <v>0</v>
      </c>
      <c r="G166" s="16"/>
      <c r="H166" s="16"/>
    </row>
    <row r="167" customFormat="false" ht="15" hidden="false" customHeight="false" outlineLevel="0" collapsed="false">
      <c r="A167" s="10" t="s">
        <v>595</v>
      </c>
      <c r="B167" s="10" t="s">
        <v>591</v>
      </c>
      <c r="C167" s="10" t="n">
        <v>39</v>
      </c>
      <c r="D167" s="11"/>
      <c r="E167" s="11"/>
      <c r="F167" s="19" t="n">
        <f aca="false">IF(E167="",N(D167)*(1+Settings!$B$7),E167)</f>
        <v>0</v>
      </c>
      <c r="G167" s="16"/>
      <c r="H167" s="16"/>
    </row>
    <row r="168" customFormat="false" ht="15" hidden="false" customHeight="false" outlineLevel="0" collapsed="false">
      <c r="A168" s="10" t="s">
        <v>596</v>
      </c>
      <c r="B168" s="10" t="s">
        <v>591</v>
      </c>
      <c r="C168" s="10" t="n">
        <v>45</v>
      </c>
      <c r="D168" s="11"/>
      <c r="E168" s="11"/>
      <c r="F168" s="19" t="n">
        <f aca="false">IF(E168="",N(D168)*(1+Settings!$B$7),E168)</f>
        <v>0</v>
      </c>
      <c r="G168" s="16"/>
      <c r="H168" s="16"/>
    </row>
    <row r="169" customFormat="false" ht="15" hidden="false" customHeight="false" outlineLevel="0" collapsed="false">
      <c r="A169" s="10" t="s">
        <v>597</v>
      </c>
      <c r="B169" s="10" t="s">
        <v>591</v>
      </c>
      <c r="C169" s="10" t="n">
        <v>1</v>
      </c>
      <c r="D169" s="11"/>
      <c r="E169" s="11"/>
      <c r="F169" s="19" t="n">
        <f aca="false">IF(E169="",N(D169)*(1+Settings!$B$7),E169)</f>
        <v>0</v>
      </c>
      <c r="G169" s="16"/>
      <c r="H169" s="16"/>
    </row>
    <row r="170" customFormat="false" ht="15" hidden="false" customHeight="false" outlineLevel="0" collapsed="false">
      <c r="A170" s="10" t="s">
        <v>598</v>
      </c>
      <c r="B170" s="10" t="s">
        <v>599</v>
      </c>
      <c r="C170" s="10" t="n">
        <v>1</v>
      </c>
      <c r="D170" s="11"/>
      <c r="E170" s="11"/>
      <c r="F170" s="19" t="n">
        <f aca="false">IF(E170="",N(D170)*(1+Settings!$B$7),E170)</f>
        <v>0</v>
      </c>
      <c r="G170" s="16"/>
      <c r="H170" s="16"/>
    </row>
    <row r="171" customFormat="false" ht="15" hidden="false" customHeight="false" outlineLevel="0" collapsed="false">
      <c r="A171" s="10" t="s">
        <v>600</v>
      </c>
      <c r="B171" s="10" t="s">
        <v>599</v>
      </c>
      <c r="C171" s="10" t="n">
        <v>25</v>
      </c>
      <c r="D171" s="11"/>
      <c r="E171" s="11"/>
      <c r="F171" s="19" t="n">
        <f aca="false">IF(E171="",N(D171)*(1+Settings!$B$7),E171)</f>
        <v>0</v>
      </c>
      <c r="G171" s="16"/>
      <c r="H171" s="16"/>
    </row>
    <row r="172" customFormat="false" ht="15" hidden="false" customHeight="false" outlineLevel="0" collapsed="false">
      <c r="A172" s="10" t="s">
        <v>601</v>
      </c>
      <c r="B172" s="10" t="s">
        <v>602</v>
      </c>
      <c r="C172" s="10" t="n">
        <v>1</v>
      </c>
      <c r="D172" s="11"/>
      <c r="E172" s="11"/>
      <c r="F172" s="19" t="n">
        <f aca="false">IF(E172="",N(D172)*(1+Settings!$B$7),E172)</f>
        <v>0</v>
      </c>
      <c r="G172" s="16"/>
      <c r="H172" s="16"/>
    </row>
    <row r="173" customFormat="false" ht="15" hidden="false" customHeight="false" outlineLevel="0" collapsed="false">
      <c r="A173" s="10" t="s">
        <v>603</v>
      </c>
      <c r="B173" s="10" t="s">
        <v>602</v>
      </c>
      <c r="C173" s="10" t="n">
        <v>1</v>
      </c>
      <c r="D173" s="11"/>
      <c r="E173" s="11"/>
      <c r="F173" s="19" t="n">
        <f aca="false">IF(E173="",N(D173)*(1+Settings!$B$7),E173)</f>
        <v>0</v>
      </c>
      <c r="G173" s="16"/>
      <c r="H173" s="16"/>
    </row>
    <row r="174" customFormat="false" ht="15" hidden="false" customHeight="false" outlineLevel="0" collapsed="false">
      <c r="A174" s="10" t="s">
        <v>604</v>
      </c>
      <c r="B174" s="10" t="s">
        <v>605</v>
      </c>
      <c r="C174" s="10" t="n">
        <v>1</v>
      </c>
      <c r="D174" s="11"/>
      <c r="E174" s="11"/>
      <c r="F174" s="19" t="n">
        <f aca="false">IF(E174="",N(D174)*(1+Settings!$B$7),E174)</f>
        <v>0</v>
      </c>
      <c r="G174" s="16"/>
      <c r="H174" s="16"/>
    </row>
    <row r="175" customFormat="false" ht="15" hidden="false" customHeight="false" outlineLevel="0" collapsed="false">
      <c r="A175" s="10" t="s">
        <v>606</v>
      </c>
      <c r="B175" s="10" t="s">
        <v>605</v>
      </c>
      <c r="C175" s="10" t="n">
        <v>5</v>
      </c>
      <c r="D175" s="11"/>
      <c r="E175" s="11"/>
      <c r="F175" s="19" t="n">
        <f aca="false">IF(E175="",N(D175)*(1+Settings!$B$7),E175)</f>
        <v>0</v>
      </c>
      <c r="G175" s="16"/>
      <c r="H175" s="16"/>
    </row>
    <row r="176" customFormat="false" ht="15" hidden="false" customHeight="false" outlineLevel="0" collapsed="false">
      <c r="A176" s="10" t="s">
        <v>607</v>
      </c>
      <c r="B176" s="10" t="s">
        <v>605</v>
      </c>
      <c r="C176" s="10" t="n">
        <v>18</v>
      </c>
      <c r="D176" s="11"/>
      <c r="E176" s="11"/>
      <c r="F176" s="19" t="n">
        <f aca="false">IF(E176="",N(D176)*(1+Settings!$B$7),E176)</f>
        <v>0</v>
      </c>
      <c r="G176" s="16"/>
      <c r="H176" s="16"/>
    </row>
    <row r="177" customFormat="false" ht="15" hidden="false" customHeight="false" outlineLevel="0" collapsed="false">
      <c r="A177" s="10" t="s">
        <v>608</v>
      </c>
      <c r="B177" s="10" t="s">
        <v>609</v>
      </c>
      <c r="C177" s="10" t="n">
        <v>13</v>
      </c>
      <c r="D177" s="11"/>
      <c r="E177" s="11"/>
      <c r="F177" s="19" t="n">
        <f aca="false">IF(E177="",N(D177)*(1+Settings!$B$7),E177)</f>
        <v>0</v>
      </c>
      <c r="G177" s="16"/>
      <c r="H177" s="16"/>
    </row>
    <row r="178" customFormat="false" ht="15" hidden="false" customHeight="false" outlineLevel="0" collapsed="false">
      <c r="A178" s="10" t="s">
        <v>610</v>
      </c>
      <c r="B178" s="10" t="s">
        <v>609</v>
      </c>
      <c r="C178" s="10" t="n">
        <v>3</v>
      </c>
      <c r="D178" s="11"/>
      <c r="E178" s="11"/>
      <c r="F178" s="19" t="n">
        <f aca="false">IF(E178="",N(D178)*(1+Settings!$B$7),E178)</f>
        <v>0</v>
      </c>
      <c r="G178" s="16"/>
      <c r="H178" s="16"/>
    </row>
    <row r="179" customFormat="false" ht="15" hidden="false" customHeight="false" outlineLevel="0" collapsed="false">
      <c r="A179" s="10" t="s">
        <v>611</v>
      </c>
      <c r="B179" s="10" t="s">
        <v>612</v>
      </c>
      <c r="C179" s="10" t="n">
        <v>3</v>
      </c>
      <c r="D179" s="11"/>
      <c r="E179" s="11"/>
      <c r="F179" s="19" t="n">
        <f aca="false">IF(E179="",N(D179)*(1+Settings!$B$7),E179)</f>
        <v>0</v>
      </c>
      <c r="G179" s="16"/>
      <c r="H179" s="16"/>
    </row>
    <row r="180" customFormat="false" ht="15" hidden="false" customHeight="false" outlineLevel="0" collapsed="false">
      <c r="A180" s="10" t="s">
        <v>613</v>
      </c>
      <c r="B180" s="10" t="s">
        <v>612</v>
      </c>
      <c r="C180" s="10" t="n">
        <v>13</v>
      </c>
      <c r="D180" s="11"/>
      <c r="E180" s="11"/>
      <c r="F180" s="19" t="n">
        <f aca="false">IF(E180="",N(D180)*(1+Settings!$B$7),E180)</f>
        <v>0</v>
      </c>
      <c r="G180" s="16"/>
      <c r="H180" s="16"/>
    </row>
    <row r="181" customFormat="false" ht="15" hidden="false" customHeight="false" outlineLevel="0" collapsed="false">
      <c r="A181" s="10" t="s">
        <v>614</v>
      </c>
      <c r="B181" s="10" t="s">
        <v>612</v>
      </c>
      <c r="C181" s="10" t="n">
        <v>3</v>
      </c>
      <c r="D181" s="11"/>
      <c r="E181" s="11"/>
      <c r="F181" s="19" t="n">
        <f aca="false">IF(E181="",N(D181)*(1+Settings!$B$7),E181)</f>
        <v>0</v>
      </c>
      <c r="G181" s="16"/>
      <c r="H181" s="16"/>
    </row>
    <row r="182" customFormat="false" ht="15" hidden="false" customHeight="false" outlineLevel="0" collapsed="false">
      <c r="A182" s="10" t="s">
        <v>615</v>
      </c>
      <c r="B182" s="10" t="s">
        <v>612</v>
      </c>
      <c r="C182" s="10" t="n">
        <v>1</v>
      </c>
      <c r="D182" s="11"/>
      <c r="E182" s="11"/>
      <c r="F182" s="19" t="n">
        <f aca="false">IF(E182="",N(D182)*(1+Settings!$B$7),E182)</f>
        <v>0</v>
      </c>
      <c r="G182" s="16"/>
      <c r="H182" s="16"/>
    </row>
    <row r="183" customFormat="false" ht="15" hidden="false" customHeight="false" outlineLevel="0" collapsed="false">
      <c r="A183" s="10" t="s">
        <v>616</v>
      </c>
      <c r="B183" s="10" t="s">
        <v>612</v>
      </c>
      <c r="C183" s="10" t="n">
        <v>6</v>
      </c>
      <c r="D183" s="11"/>
      <c r="E183" s="11"/>
      <c r="F183" s="19" t="n">
        <f aca="false">IF(E183="",N(D183)*(1+Settings!$B$7),E183)</f>
        <v>0</v>
      </c>
      <c r="G183" s="16"/>
      <c r="H183" s="16"/>
    </row>
    <row r="184" customFormat="false" ht="15" hidden="false" customHeight="false" outlineLevel="0" collapsed="false">
      <c r="A184" s="10" t="s">
        <v>617</v>
      </c>
      <c r="B184" s="10" t="s">
        <v>612</v>
      </c>
      <c r="C184" s="10" t="n">
        <v>5</v>
      </c>
      <c r="D184" s="11"/>
      <c r="E184" s="11"/>
      <c r="F184" s="19" t="n">
        <f aca="false">IF(E184="",N(D184)*(1+Settings!$B$7),E184)</f>
        <v>0</v>
      </c>
      <c r="G184" s="16"/>
      <c r="H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  <c r="F185" s="19" t="n">
        <f aca="false">IF(E185="",N(D185)*(1+Settings!$B$7),E185)</f>
        <v>0</v>
      </c>
    </row>
    <row r="186" customFormat="false" ht="15" hidden="false" customHeight="false" outlineLevel="0" collapsed="false">
      <c r="A186" s="16"/>
      <c r="B186" s="16"/>
      <c r="C186" s="16"/>
      <c r="D186" s="16"/>
      <c r="E186" s="16"/>
      <c r="F186" s="19" t="n">
        <f aca="false">IF(E186="",N(D186)*(1+Settings!$B$7),E186)</f>
        <v>0</v>
      </c>
    </row>
    <row r="187" customFormat="false" ht="15" hidden="false" customHeight="false" outlineLevel="0" collapsed="false">
      <c r="A187" s="16"/>
      <c r="B187" s="16"/>
      <c r="C187" s="16"/>
      <c r="D187" s="16"/>
      <c r="E187" s="16"/>
      <c r="F187" s="19" t="n">
        <f aca="false">IF(E187="",N(D187)*(1+Settings!$B$7),E187)</f>
        <v>0</v>
      </c>
    </row>
    <row r="188" customFormat="false" ht="15" hidden="false" customHeight="false" outlineLevel="0" collapsed="false">
      <c r="A188" s="16"/>
      <c r="B188" s="16"/>
      <c r="C188" s="16"/>
      <c r="D188" s="16"/>
      <c r="E188" s="16"/>
      <c r="F188" s="19" t="n">
        <f aca="false">IF(E188="",N(D188)*(1+Settings!$B$7),E188)</f>
        <v>0</v>
      </c>
    </row>
    <row r="189" customFormat="false" ht="15" hidden="false" customHeight="false" outlineLevel="0" collapsed="false">
      <c r="A189" s="16"/>
      <c r="B189" s="16"/>
      <c r="C189" s="16"/>
      <c r="D189" s="16"/>
      <c r="E189" s="16"/>
      <c r="F189" s="19" t="n">
        <f aca="false">IF(E189="",N(D189)*(1+Settings!$B$7),E189)</f>
        <v>0</v>
      </c>
    </row>
    <row r="190" customFormat="false" ht="15" hidden="false" customHeight="false" outlineLevel="0" collapsed="false">
      <c r="A190" s="16"/>
      <c r="B190" s="16"/>
      <c r="C190" s="16"/>
      <c r="D190" s="16"/>
      <c r="E190" s="16"/>
      <c r="F190" s="19" t="n">
        <f aca="false">IF(E190="",N(D190)*(1+Settings!$B$7),E190)</f>
        <v>0</v>
      </c>
    </row>
    <row r="191" customFormat="false" ht="15" hidden="false" customHeight="false" outlineLevel="0" collapsed="false">
      <c r="A191" s="16"/>
      <c r="B191" s="16"/>
      <c r="C191" s="16"/>
      <c r="D191" s="16"/>
      <c r="E191" s="16"/>
      <c r="F191" s="19" t="n">
        <f aca="false">IF(E191="",N(D191)*(1+Settings!$B$7),E191)</f>
        <v>0</v>
      </c>
    </row>
    <row r="192" customFormat="false" ht="15" hidden="false" customHeight="false" outlineLevel="0" collapsed="false">
      <c r="A192" s="16"/>
      <c r="B192" s="16"/>
      <c r="C192" s="16"/>
      <c r="D192" s="16"/>
      <c r="E192" s="16"/>
      <c r="F192" s="19" t="n">
        <f aca="false">IF(E192="",N(D192)*(1+Settings!$B$7),E192)</f>
        <v>0</v>
      </c>
    </row>
    <row r="193" customFormat="false" ht="15" hidden="false" customHeight="false" outlineLevel="0" collapsed="false">
      <c r="A193" s="16"/>
      <c r="B193" s="16"/>
      <c r="C193" s="16"/>
      <c r="D193" s="16"/>
      <c r="E193" s="16"/>
      <c r="F193" s="19" t="n">
        <f aca="false">IF(E193="",N(D193)*(1+Settings!$B$7),E193)</f>
        <v>0</v>
      </c>
    </row>
    <row r="194" customFormat="false" ht="15" hidden="false" customHeight="false" outlineLevel="0" collapsed="false">
      <c r="A194" s="16"/>
      <c r="B194" s="16"/>
      <c r="C194" s="16"/>
      <c r="D194" s="16"/>
      <c r="E194" s="16"/>
      <c r="F194" s="19" t="n">
        <f aca="false">IF(E194="",N(D194)*(1+Settings!$B$7),E194)</f>
        <v>0</v>
      </c>
    </row>
    <row r="195" customFormat="false" ht="15" hidden="false" customHeight="false" outlineLevel="0" collapsed="false">
      <c r="A195" s="16"/>
      <c r="B195" s="16"/>
      <c r="C195" s="16"/>
      <c r="D195" s="16"/>
      <c r="E195" s="16"/>
      <c r="F195" s="19" t="n">
        <f aca="false">IF(E195="",N(D195)*(1+Settings!$B$7),E195)</f>
        <v>0</v>
      </c>
    </row>
    <row r="196" customFormat="false" ht="15" hidden="false" customHeight="false" outlineLevel="0" collapsed="false">
      <c r="A196" s="16"/>
      <c r="B196" s="16"/>
      <c r="C196" s="16"/>
      <c r="D196" s="16"/>
      <c r="E196" s="16"/>
      <c r="F196" s="19" t="n">
        <f aca="false">IF(E196="",N(D196)*(1+Settings!$B$7),E196)</f>
        <v>0</v>
      </c>
    </row>
    <row r="197" customFormat="false" ht="15" hidden="false" customHeight="false" outlineLevel="0" collapsed="false">
      <c r="A197" s="16"/>
      <c r="B197" s="16"/>
      <c r="C197" s="16"/>
      <c r="D197" s="16"/>
      <c r="E197" s="16"/>
      <c r="F197" s="19" t="n">
        <f aca="false">IF(E197="",N(D197)*(1+Settings!$B$7),E197)</f>
        <v>0</v>
      </c>
    </row>
    <row r="198" customFormat="false" ht="15" hidden="false" customHeight="false" outlineLevel="0" collapsed="false">
      <c r="A198" s="16"/>
      <c r="B198" s="16"/>
      <c r="C198" s="16"/>
      <c r="D198" s="16"/>
      <c r="E198" s="16"/>
      <c r="F198" s="19" t="n">
        <f aca="false">IF(E198="",N(D198)*(1+Settings!$B$7),E198)</f>
        <v>0</v>
      </c>
    </row>
    <row r="199" customFormat="false" ht="15" hidden="false" customHeight="false" outlineLevel="0" collapsed="false">
      <c r="A199" s="16"/>
      <c r="B199" s="16"/>
      <c r="C199" s="16"/>
      <c r="D199" s="16"/>
      <c r="E199" s="16"/>
      <c r="F199" s="19" t="n">
        <f aca="false">IF(E199="",N(D199)*(1+Settings!$B$7),E199)</f>
        <v>0</v>
      </c>
    </row>
    <row r="200" customFormat="false" ht="15" hidden="false" customHeight="false" outlineLevel="0" collapsed="false">
      <c r="A200" s="16"/>
      <c r="B200" s="16"/>
      <c r="C200" s="16"/>
      <c r="D200" s="16"/>
      <c r="E200" s="16"/>
      <c r="F200" s="19" t="n">
        <f aca="false">IF(E200="",N(D200)*(1+Settings!$B$7),E200)</f>
        <v>0</v>
      </c>
    </row>
    <row r="201" customFormat="false" ht="15" hidden="false" customHeight="false" outlineLevel="0" collapsed="false">
      <c r="A201" s="16"/>
      <c r="B201" s="16"/>
      <c r="C201" s="16"/>
      <c r="D201" s="16"/>
      <c r="E201" s="16"/>
      <c r="F201" s="19" t="n">
        <f aca="false">IF(E201="",N(D201)*(1+Settings!$B$7),E201)</f>
        <v>0</v>
      </c>
    </row>
    <row r="202" customFormat="false" ht="15" hidden="false" customHeight="false" outlineLevel="0" collapsed="false">
      <c r="A202" s="16"/>
      <c r="B202" s="16"/>
      <c r="C202" s="16"/>
      <c r="D202" s="16"/>
      <c r="E202" s="16"/>
      <c r="F202" s="19" t="n">
        <f aca="false">IF(E202="",N(D202)*(1+Settings!$B$7),E202)</f>
        <v>0</v>
      </c>
    </row>
    <row r="203" customFormat="false" ht="15" hidden="false" customHeight="false" outlineLevel="0" collapsed="false">
      <c r="A203" s="16"/>
      <c r="B203" s="16"/>
      <c r="C203" s="16"/>
      <c r="D203" s="16"/>
      <c r="E203" s="16"/>
      <c r="F203" s="19" t="n">
        <f aca="false">IF(E203="",N(D203)*(1+Settings!$B$7),E203)</f>
        <v>0</v>
      </c>
    </row>
    <row r="204" customFormat="false" ht="15" hidden="false" customHeight="false" outlineLevel="0" collapsed="false">
      <c r="A204" s="16"/>
      <c r="B204" s="16"/>
      <c r="C204" s="16"/>
      <c r="D204" s="16"/>
      <c r="E204" s="16"/>
      <c r="F204" s="19" t="n">
        <f aca="false">IF(E204="",N(D204)*(1+Settings!$B$7),E204)</f>
        <v>0</v>
      </c>
    </row>
    <row r="205" customFormat="false" ht="15" hidden="false" customHeight="false" outlineLevel="0" collapsed="false">
      <c r="A205" s="16"/>
      <c r="B205" s="16"/>
      <c r="C205" s="16"/>
      <c r="D205" s="16"/>
      <c r="E205" s="16"/>
      <c r="F205" s="19" t="n">
        <f aca="false">IF(E205="",N(D205)*(1+Settings!$B$7),E205)</f>
        <v>0</v>
      </c>
    </row>
    <row r="206" customFormat="false" ht="15" hidden="false" customHeight="false" outlineLevel="0" collapsed="false">
      <c r="A206" s="16"/>
      <c r="B206" s="16"/>
      <c r="C206" s="16"/>
      <c r="D206" s="16"/>
      <c r="E206" s="16"/>
      <c r="F206" s="19" t="n">
        <f aca="false">IF(E206="",N(D206)*(1+Settings!$B$7),E206)</f>
        <v>0</v>
      </c>
    </row>
    <row r="207" customFormat="false" ht="15" hidden="false" customHeight="false" outlineLevel="0" collapsed="false">
      <c r="A207" s="16"/>
      <c r="B207" s="16"/>
      <c r="C207" s="16"/>
      <c r="D207" s="16"/>
      <c r="E207" s="16"/>
      <c r="F207" s="19" t="n">
        <f aca="false">IF(E207="",N(D207)*(1+Settings!$B$7),E207)</f>
        <v>0</v>
      </c>
    </row>
    <row r="208" customFormat="false" ht="15" hidden="false" customHeight="false" outlineLevel="0" collapsed="false">
      <c r="A208" s="16"/>
      <c r="B208" s="16"/>
      <c r="C208" s="16"/>
      <c r="D208" s="16"/>
      <c r="E208" s="16"/>
      <c r="F208" s="19" t="n">
        <f aca="false">IF(E208="",N(D208)*(1+Settings!$B$7),E208)</f>
        <v>0</v>
      </c>
    </row>
    <row r="209" customFormat="false" ht="15" hidden="false" customHeight="false" outlineLevel="0" collapsed="false">
      <c r="A209" s="16"/>
      <c r="B209" s="16"/>
      <c r="C209" s="16"/>
      <c r="D209" s="16"/>
      <c r="E209" s="16"/>
      <c r="F209" s="19" t="n">
        <f aca="false">IF(E209="",N(D209)*(1+Settings!$B$7),E209)</f>
        <v>0</v>
      </c>
    </row>
    <row r="210" customFormat="false" ht="15" hidden="false" customHeight="false" outlineLevel="0" collapsed="false">
      <c r="A210" s="16"/>
      <c r="B210" s="16"/>
      <c r="C210" s="16"/>
      <c r="D210" s="16"/>
      <c r="E210" s="16"/>
      <c r="F210" s="19" t="n">
        <f aca="false">IF(E210="",N(D210)*(1+Settings!$B$7),E210)</f>
        <v>0</v>
      </c>
    </row>
    <row r="211" customFormat="false" ht="15" hidden="false" customHeight="false" outlineLevel="0" collapsed="false">
      <c r="A211" s="16"/>
      <c r="B211" s="16"/>
      <c r="C211" s="16"/>
      <c r="D211" s="16"/>
      <c r="E211" s="16"/>
      <c r="F211" s="19" t="n">
        <f aca="false">IF(E211="",N(D211)*(1+Settings!$B$7),E211)</f>
        <v>0</v>
      </c>
    </row>
    <row r="212" customFormat="false" ht="15" hidden="false" customHeight="false" outlineLevel="0" collapsed="false">
      <c r="A212" s="16"/>
      <c r="B212" s="16"/>
      <c r="C212" s="16"/>
      <c r="D212" s="16"/>
      <c r="E212" s="16"/>
      <c r="F212" s="19" t="n">
        <f aca="false">IF(E212="",N(D212)*(1+Settings!$B$7),E212)</f>
        <v>0</v>
      </c>
    </row>
    <row r="213" customFormat="false" ht="15" hidden="false" customHeight="false" outlineLevel="0" collapsed="false">
      <c r="A213" s="16"/>
      <c r="B213" s="16"/>
      <c r="C213" s="16"/>
      <c r="D213" s="16"/>
      <c r="E213" s="16"/>
      <c r="F213" s="19" t="n">
        <f aca="false">IF(E213="",N(D213)*(1+Settings!$B$7),E213)</f>
        <v>0</v>
      </c>
    </row>
    <row r="214" customFormat="false" ht="15" hidden="false" customHeight="false" outlineLevel="0" collapsed="false">
      <c r="A214" s="16"/>
      <c r="B214" s="16"/>
      <c r="C214" s="16"/>
      <c r="D214" s="16"/>
      <c r="E214" s="16"/>
      <c r="F214" s="19" t="n">
        <f aca="false">IF(E214="",N(D214)*(1+Settings!$B$7),E214)</f>
        <v>0</v>
      </c>
    </row>
    <row r="215" customFormat="false" ht="15" hidden="false" customHeight="false" outlineLevel="0" collapsed="false">
      <c r="A215" s="16"/>
      <c r="B215" s="16"/>
      <c r="C215" s="16"/>
      <c r="D215" s="16"/>
      <c r="E215" s="16"/>
      <c r="F215" s="19" t="n">
        <f aca="false">IF(E215="",N(D215)*(1+Settings!$B$7),E215)</f>
        <v>0</v>
      </c>
    </row>
    <row r="216" customFormat="false" ht="15" hidden="false" customHeight="false" outlineLevel="0" collapsed="false">
      <c r="A216" s="16"/>
      <c r="B216" s="16"/>
      <c r="C216" s="16"/>
      <c r="D216" s="16"/>
      <c r="E216" s="16"/>
      <c r="F216" s="19" t="n">
        <f aca="false">IF(E216="",N(D216)*(1+Settings!$B$7),E216)</f>
        <v>0</v>
      </c>
    </row>
    <row r="217" customFormat="false" ht="15" hidden="false" customHeight="false" outlineLevel="0" collapsed="false">
      <c r="A217" s="16"/>
      <c r="B217" s="16"/>
      <c r="C217" s="16"/>
      <c r="D217" s="16"/>
      <c r="E217" s="16"/>
      <c r="F217" s="19" t="n">
        <f aca="false">IF(E217="",N(D217)*(1+Settings!$B$7),E217)</f>
        <v>0</v>
      </c>
    </row>
    <row r="218" customFormat="false" ht="15" hidden="false" customHeight="false" outlineLevel="0" collapsed="false">
      <c r="A218" s="16"/>
      <c r="B218" s="16"/>
      <c r="C218" s="16"/>
      <c r="D218" s="16"/>
      <c r="E218" s="16"/>
      <c r="F218" s="19" t="n">
        <f aca="false">IF(E218="",N(D218)*(1+Settings!$B$7),E218)</f>
        <v>0</v>
      </c>
    </row>
    <row r="219" customFormat="false" ht="15" hidden="false" customHeight="false" outlineLevel="0" collapsed="false">
      <c r="A219" s="16"/>
      <c r="B219" s="16"/>
      <c r="C219" s="16"/>
      <c r="D219" s="16"/>
      <c r="E219" s="16"/>
      <c r="F219" s="19" t="n">
        <f aca="false">IF(E219="",N(D219)*(1+Settings!$B$7),E219)</f>
        <v>0</v>
      </c>
    </row>
    <row r="220" customFormat="false" ht="15" hidden="false" customHeight="false" outlineLevel="0" collapsed="false">
      <c r="A220" s="16"/>
      <c r="B220" s="16"/>
      <c r="C220" s="16"/>
      <c r="D220" s="16"/>
      <c r="E220" s="16"/>
      <c r="F220" s="19" t="n">
        <f aca="false">IF(E220="",N(D220)*(1+Settings!$B$7),E220)</f>
        <v>0</v>
      </c>
    </row>
    <row r="221" customFormat="false" ht="15" hidden="false" customHeight="false" outlineLevel="0" collapsed="false">
      <c r="A221" s="16"/>
      <c r="B221" s="16"/>
      <c r="C221" s="16"/>
      <c r="D221" s="16"/>
      <c r="E221" s="16"/>
      <c r="F221" s="19" t="n">
        <f aca="false">IF(E221="",N(D221)*(1+Settings!$B$7),E221)</f>
        <v>0</v>
      </c>
    </row>
    <row r="222" customFormat="false" ht="15" hidden="false" customHeight="false" outlineLevel="0" collapsed="false">
      <c r="A222" s="16"/>
      <c r="B222" s="16"/>
      <c r="C222" s="16"/>
      <c r="D222" s="16"/>
      <c r="E222" s="16"/>
      <c r="F222" s="19" t="n">
        <f aca="false">IF(E222="",N(D222)*(1+Settings!$B$7),E222)</f>
        <v>0</v>
      </c>
    </row>
    <row r="223" customFormat="false" ht="15" hidden="false" customHeight="false" outlineLevel="0" collapsed="false">
      <c r="A223" s="16"/>
      <c r="B223" s="16"/>
      <c r="C223" s="16"/>
      <c r="D223" s="16"/>
      <c r="E223" s="16"/>
      <c r="F223" s="19" t="n">
        <f aca="false">IF(E223="",N(D223)*(1+Settings!$B$7),E223)</f>
        <v>0</v>
      </c>
    </row>
    <row r="224" customFormat="false" ht="15" hidden="false" customHeight="false" outlineLevel="0" collapsed="false">
      <c r="A224" s="16"/>
      <c r="B224" s="16"/>
      <c r="C224" s="16"/>
      <c r="D224" s="16"/>
      <c r="E224" s="16"/>
      <c r="F224" s="19" t="n">
        <f aca="false">IF(E224="",N(D224)*(1+Settings!$B$7),E224)</f>
        <v>0</v>
      </c>
    </row>
  </sheetData>
  <autoFilter ref="A4:H2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O8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48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6" min="13" style="0" width="9"/>
    <col collapsed="false" customWidth="true" hidden="false" outlineLevel="0" max="19" min="17" style="0" width="10"/>
    <col collapsed="false" customWidth="true" hidden="false" outlineLevel="0" max="21" min="20" style="0" width="9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8"/>
    <col collapsed="false" customWidth="true" hidden="false" outlineLevel="0" max="25" min="25" style="0" width="10"/>
    <col collapsed="false" customWidth="true" hidden="false" outlineLevel="0" max="26" min="26" style="0" width="30"/>
    <col collapsed="false" customWidth="true" hidden="false" outlineLevel="0" max="41" min="27" style="0" width="10"/>
  </cols>
  <sheetData>
    <row r="1" customFormat="false" ht="17.35" hidden="false" customHeight="false" outlineLevel="0" collapsed="false">
      <c r="A1" s="1" t="s">
        <v>618</v>
      </c>
    </row>
    <row r="2" customFormat="false" ht="15" hidden="false" customHeight="false" outlineLevel="0" collapsed="false">
      <c r="A2" s="2" t="s">
        <v>619</v>
      </c>
    </row>
    <row r="4" customFormat="false" ht="45" hidden="false" customHeight="true" outlineLevel="0" collapsed="false">
      <c r="A4" s="7" t="s">
        <v>620</v>
      </c>
      <c r="B4" s="7" t="s">
        <v>158</v>
      </c>
      <c r="C4" s="7" t="s">
        <v>621</v>
      </c>
      <c r="D4" s="7" t="s">
        <v>622</v>
      </c>
      <c r="E4" s="7" t="s">
        <v>623</v>
      </c>
      <c r="F4" s="7" t="s">
        <v>624</v>
      </c>
      <c r="G4" s="7" t="s">
        <v>625</v>
      </c>
      <c r="H4" s="7" t="s">
        <v>49</v>
      </c>
      <c r="I4" s="7" t="s">
        <v>626</v>
      </c>
      <c r="J4" s="7" t="s">
        <v>627</v>
      </c>
      <c r="K4" s="7" t="s">
        <v>628</v>
      </c>
      <c r="L4" s="7" t="s">
        <v>629</v>
      </c>
      <c r="M4" s="7" t="s">
        <v>630</v>
      </c>
      <c r="N4" s="7" t="s">
        <v>631</v>
      </c>
      <c r="O4" s="7" t="s">
        <v>632</v>
      </c>
      <c r="P4" s="7" t="s">
        <v>633</v>
      </c>
      <c r="Q4" s="7" t="s">
        <v>634</v>
      </c>
      <c r="R4" s="7" t="s">
        <v>635</v>
      </c>
      <c r="S4" s="7" t="s">
        <v>636</v>
      </c>
      <c r="T4" s="7" t="s">
        <v>637</v>
      </c>
      <c r="U4" s="7" t="s">
        <v>638</v>
      </c>
      <c r="V4" s="7" t="s">
        <v>639</v>
      </c>
      <c r="W4" s="7" t="s">
        <v>640</v>
      </c>
      <c r="X4" s="7" t="s">
        <v>641</v>
      </c>
      <c r="Y4" s="7" t="s">
        <v>642</v>
      </c>
      <c r="Z4" s="7" t="s">
        <v>643</v>
      </c>
      <c r="AA4" s="7" t="s">
        <v>644</v>
      </c>
      <c r="AB4" s="7" t="s">
        <v>645</v>
      </c>
      <c r="AC4" s="7" t="s">
        <v>646</v>
      </c>
      <c r="AD4" s="7" t="s">
        <v>647</v>
      </c>
      <c r="AE4" s="7" t="s">
        <v>648</v>
      </c>
      <c r="AF4" s="7" t="s">
        <v>649</v>
      </c>
      <c r="AG4" s="7" t="s">
        <v>650</v>
      </c>
      <c r="AH4" s="7" t="s">
        <v>651</v>
      </c>
      <c r="AI4" s="7" t="s">
        <v>652</v>
      </c>
      <c r="AJ4" s="7" t="s">
        <v>653</v>
      </c>
      <c r="AK4" s="7" t="s">
        <v>654</v>
      </c>
      <c r="AL4" s="7" t="s">
        <v>655</v>
      </c>
      <c r="AM4" s="7" t="s">
        <v>656</v>
      </c>
      <c r="AN4" s="7" t="s">
        <v>657</v>
      </c>
      <c r="AO4" s="7" t="s">
        <v>658</v>
      </c>
    </row>
    <row r="5" customFormat="false" ht="15" hidden="false" customHeight="false" outlineLevel="0" collapsed="false">
      <c r="A5" s="10" t="s">
        <v>195</v>
      </c>
      <c r="B5" s="10" t="s">
        <v>659</v>
      </c>
      <c r="C5" s="10" t="s">
        <v>660</v>
      </c>
      <c r="D5" s="10" t="s">
        <v>661</v>
      </c>
      <c r="E5" s="21" t="str">
        <f aca="false">IF(A5="","",A5&amp;"|"&amp;D5)</f>
        <v>F01|Assay</v>
      </c>
      <c r="F5" s="16" t="s">
        <v>662</v>
      </c>
      <c r="G5" s="16" t="s">
        <v>147</v>
      </c>
      <c r="H5" s="16" t="s">
        <v>663</v>
      </c>
      <c r="I5" s="16" t="n">
        <v>1</v>
      </c>
      <c r="J5" s="16"/>
      <c r="K5" s="14"/>
      <c r="L5" s="14"/>
      <c r="M5" s="14"/>
      <c r="N5" s="14"/>
      <c r="O5" s="14"/>
      <c r="P5" s="18" t="n">
        <f aca="false">IF(N5="",0,IF(OR(M5="",O5=""),N5,(M5+4*N5+O5)/6))</f>
        <v>0</v>
      </c>
      <c r="Q5" s="14"/>
      <c r="R5" s="14"/>
      <c r="S5" s="14"/>
      <c r="T5" s="14"/>
      <c r="U5" s="16"/>
      <c r="V5" s="13"/>
      <c r="W5" s="16" t="s">
        <v>662</v>
      </c>
      <c r="X5" s="16"/>
      <c r="Y5" s="16"/>
      <c r="Z5" s="16"/>
      <c r="AA5" s="22" t="n">
        <f aca="false">IF(F5&lt;&gt;"Y",0,((SUMIF(Products!$E$5:$E$300,A5,Products!$F$5:$F$300)+SUMIF(RM_Lots!$A$5:$A$400,A5,RM_Lots!$D$5:$D$400))+IF(W5="Y",SUMIF(Products!$E$5:$E$300,A5,Products!$G$5:$G$300),0))*(1+N(V5)))</f>
        <v>0</v>
      </c>
      <c r="AB5" s="22" t="n">
        <f aca="false">IF(F5&lt;&gt;"Y",0,((SUMIF(Products!$E$5:$E$300,A5,Products!$K$5:$K$300)+SUMIF(RM_Lots!$A$5:$A$400,A5,RM_Lots!$F$5:$F$400))+IF(W5="Y",SUMIF(Products!$E$5:$E$300,A5,Products!$L$5:$L$300),0))*(1+N(V5)))</f>
        <v>0</v>
      </c>
      <c r="AC5" s="17" t="n">
        <f aca="false">IF(J5="",1,MAX(1,COUNTIFS($J$5:$J$863,J5,$F$5:$F$863,"Y")))</f>
        <v>1</v>
      </c>
      <c r="AD5" s="18" t="n">
        <f aca="false">(MAX(1,N(I5))*(P5+N(S5))+MAX(1,N(I5))*N(K5)/(MAX(1,N(U5))*AC5))*Settings!$B$9</f>
        <v>0</v>
      </c>
      <c r="AE5" s="18" t="n">
        <f aca="false">(MAX(1,N(I5))*N(Q5)+MAX(1,N(I5))*N(L5)/(MAX(1,N(U5))*AC5))*Settings!$B$8</f>
        <v>0</v>
      </c>
      <c r="AF5" s="18" t="n">
        <f aca="false">MAX(1,N(I5))*N(T5)</f>
        <v>0</v>
      </c>
      <c r="AG5" s="15" t="n">
        <f aca="false">AA5*N(AD5)</f>
        <v>0</v>
      </c>
      <c r="AH5" s="15" t="n">
        <f aca="false">AA5*N(AE5)</f>
        <v>0</v>
      </c>
      <c r="AI5" s="15" t="n">
        <f aca="false">AA5*N(AF5)</f>
        <v>0</v>
      </c>
      <c r="AJ5" s="15" t="n">
        <f aca="false">AA5*N(R5)</f>
        <v>0</v>
      </c>
      <c r="AK5" s="15" t="n">
        <f aca="false">AB5*N(AD5)</f>
        <v>0</v>
      </c>
      <c r="AL5" s="15" t="n">
        <f aca="false">AB5*N(AE5)</f>
        <v>0</v>
      </c>
      <c r="AM5" s="15" t="n">
        <f aca="false">AB5*N(AF5)</f>
        <v>0</v>
      </c>
      <c r="AN5" s="15" t="n">
        <f aca="false">AB5*N(R5)</f>
        <v>0</v>
      </c>
      <c r="AO5" s="21" t="str">
        <f aca="false">IF(F5&lt;&gt;"Y","n/a",IF(AND(N5&lt;&gt;"",OR(Q5&lt;&gt;"",G5="Other / bench",G5="None"),U5&lt;&gt;""),"OK","Missing"))</f>
        <v>Missing</v>
      </c>
    </row>
    <row r="6" customFormat="false" ht="15" hidden="false" customHeight="false" outlineLevel="0" collapsed="false">
      <c r="A6" s="10" t="s">
        <v>195</v>
      </c>
      <c r="B6" s="10" t="s">
        <v>659</v>
      </c>
      <c r="C6" s="10" t="s">
        <v>660</v>
      </c>
      <c r="D6" s="10" t="s">
        <v>664</v>
      </c>
      <c r="E6" s="21" t="str">
        <f aca="false">IF(A6="","",A6&amp;"|"&amp;D6)</f>
        <v>F01|Related substances / impurities</v>
      </c>
      <c r="F6" s="16" t="s">
        <v>662</v>
      </c>
      <c r="G6" s="16" t="s">
        <v>147</v>
      </c>
      <c r="H6" s="16" t="s">
        <v>663</v>
      </c>
      <c r="I6" s="16" t="n">
        <v>1</v>
      </c>
      <c r="J6" s="16"/>
      <c r="K6" s="14"/>
      <c r="L6" s="14"/>
      <c r="M6" s="14"/>
      <c r="N6" s="14"/>
      <c r="O6" s="14"/>
      <c r="P6" s="18" t="n">
        <f aca="false">IF(N6="",0,IF(OR(M6="",O6=""),N6,(M6+4*N6+O6)/6))</f>
        <v>0</v>
      </c>
      <c r="Q6" s="14"/>
      <c r="R6" s="14"/>
      <c r="S6" s="14"/>
      <c r="T6" s="14"/>
      <c r="U6" s="16"/>
      <c r="V6" s="13"/>
      <c r="W6" s="16" t="s">
        <v>662</v>
      </c>
      <c r="X6" s="16"/>
      <c r="Y6" s="16"/>
      <c r="Z6" s="16"/>
      <c r="AA6" s="22" t="n">
        <f aca="false">IF(F6&lt;&gt;"Y",0,((SUMIF(Products!$E$5:$E$300,A6,Products!$F$5:$F$300)+SUMIF(RM_Lots!$A$5:$A$400,A6,RM_Lots!$D$5:$D$400))+IF(W6="Y",SUMIF(Products!$E$5:$E$300,A6,Products!$G$5:$G$300),0))*(1+N(V6)))</f>
        <v>0</v>
      </c>
      <c r="AB6" s="22" t="n">
        <f aca="false">IF(F6&lt;&gt;"Y",0,((SUMIF(Products!$E$5:$E$300,A6,Products!$K$5:$K$300)+SUMIF(RM_Lots!$A$5:$A$400,A6,RM_Lots!$F$5:$F$400))+IF(W6="Y",SUMIF(Products!$E$5:$E$300,A6,Products!$L$5:$L$300),0))*(1+N(V6)))</f>
        <v>0</v>
      </c>
      <c r="AC6" s="17" t="n">
        <f aca="false">IF(J6="",1,MAX(1,COUNTIFS($J$5:$J$863,J6,$F$5:$F$863,"Y")))</f>
        <v>1</v>
      </c>
      <c r="AD6" s="18" t="n">
        <f aca="false">(MAX(1,N(I6))*(P6+N(S6))+MAX(1,N(I6))*N(K6)/(MAX(1,N(U6))*AC6))*Settings!$B$9</f>
        <v>0</v>
      </c>
      <c r="AE6" s="18" t="n">
        <f aca="false">(MAX(1,N(I6))*N(Q6)+MAX(1,N(I6))*N(L6)/(MAX(1,N(U6))*AC6))*Settings!$B$8</f>
        <v>0</v>
      </c>
      <c r="AF6" s="18" t="n">
        <f aca="false">MAX(1,N(I6))*N(T6)</f>
        <v>0</v>
      </c>
      <c r="AG6" s="15" t="n">
        <f aca="false">AA6*N(AD6)</f>
        <v>0</v>
      </c>
      <c r="AH6" s="15" t="n">
        <f aca="false">AA6*N(AE6)</f>
        <v>0</v>
      </c>
      <c r="AI6" s="15" t="n">
        <f aca="false">AA6*N(AF6)</f>
        <v>0</v>
      </c>
      <c r="AJ6" s="15" t="n">
        <f aca="false">AA6*N(R6)</f>
        <v>0</v>
      </c>
      <c r="AK6" s="15" t="n">
        <f aca="false">AB6*N(AD6)</f>
        <v>0</v>
      </c>
      <c r="AL6" s="15" t="n">
        <f aca="false">AB6*N(AE6)</f>
        <v>0</v>
      </c>
      <c r="AM6" s="15" t="n">
        <f aca="false">AB6*N(AF6)</f>
        <v>0</v>
      </c>
      <c r="AN6" s="15" t="n">
        <f aca="false">AB6*N(R6)</f>
        <v>0</v>
      </c>
      <c r="AO6" s="21" t="str">
        <f aca="false">IF(F6&lt;&gt;"Y","n/a",IF(AND(N6&lt;&gt;"",OR(Q6&lt;&gt;"",G6="Other / bench",G6="None"),U6&lt;&gt;""),"OK","Missing"))</f>
        <v>Missing</v>
      </c>
    </row>
    <row r="7" customFormat="false" ht="15" hidden="false" customHeight="false" outlineLevel="0" collapsed="false">
      <c r="A7" s="10" t="s">
        <v>195</v>
      </c>
      <c r="B7" s="10" t="s">
        <v>659</v>
      </c>
      <c r="C7" s="10" t="s">
        <v>660</v>
      </c>
      <c r="D7" s="10" t="s">
        <v>665</v>
      </c>
      <c r="E7" s="21" t="str">
        <f aca="false">IF(A7="","",A7&amp;"|"&amp;D7)</f>
        <v>F01|Dissolution</v>
      </c>
      <c r="F7" s="16" t="s">
        <v>662</v>
      </c>
      <c r="G7" s="16" t="s">
        <v>147</v>
      </c>
      <c r="H7" s="16" t="s">
        <v>663</v>
      </c>
      <c r="I7" s="16" t="n">
        <v>1</v>
      </c>
      <c r="J7" s="16"/>
      <c r="K7" s="14"/>
      <c r="L7" s="14"/>
      <c r="M7" s="14"/>
      <c r="N7" s="14"/>
      <c r="O7" s="14"/>
      <c r="P7" s="18" t="n">
        <f aca="false">IF(N7="",0,IF(OR(M7="",O7=""),N7,(M7+4*N7+O7)/6))</f>
        <v>0</v>
      </c>
      <c r="Q7" s="14"/>
      <c r="R7" s="14"/>
      <c r="S7" s="14"/>
      <c r="T7" s="14"/>
      <c r="U7" s="16"/>
      <c r="V7" s="13"/>
      <c r="W7" s="16" t="s">
        <v>662</v>
      </c>
      <c r="X7" s="16"/>
      <c r="Y7" s="16"/>
      <c r="Z7" s="16"/>
      <c r="AA7" s="22" t="n">
        <f aca="false">IF(F7&lt;&gt;"Y",0,((SUMIF(Products!$E$5:$E$300,A7,Products!$F$5:$F$300)+SUMIF(RM_Lots!$A$5:$A$400,A7,RM_Lots!$D$5:$D$400))+IF(W7="Y",SUMIF(Products!$E$5:$E$300,A7,Products!$G$5:$G$300),0))*(1+N(V7)))</f>
        <v>0</v>
      </c>
      <c r="AB7" s="22" t="n">
        <f aca="false">IF(F7&lt;&gt;"Y",0,((SUMIF(Products!$E$5:$E$300,A7,Products!$K$5:$K$300)+SUMIF(RM_Lots!$A$5:$A$400,A7,RM_Lots!$F$5:$F$400))+IF(W7="Y",SUMIF(Products!$E$5:$E$300,A7,Products!$L$5:$L$300),0))*(1+N(V7)))</f>
        <v>0</v>
      </c>
      <c r="AC7" s="17" t="n">
        <f aca="false">IF(J7="",1,MAX(1,COUNTIFS($J$5:$J$863,J7,$F$5:$F$863,"Y")))</f>
        <v>1</v>
      </c>
      <c r="AD7" s="18" t="n">
        <f aca="false">(MAX(1,N(I7))*(P7+N(S7))+MAX(1,N(I7))*N(K7)/(MAX(1,N(U7))*AC7))*Settings!$B$9</f>
        <v>0</v>
      </c>
      <c r="AE7" s="18" t="n">
        <f aca="false">(MAX(1,N(I7))*N(Q7)+MAX(1,N(I7))*N(L7)/(MAX(1,N(U7))*AC7))*Settings!$B$8</f>
        <v>0</v>
      </c>
      <c r="AF7" s="18" t="n">
        <f aca="false">MAX(1,N(I7))*N(T7)</f>
        <v>0</v>
      </c>
      <c r="AG7" s="15" t="n">
        <f aca="false">AA7*N(AD7)</f>
        <v>0</v>
      </c>
      <c r="AH7" s="15" t="n">
        <f aca="false">AA7*N(AE7)</f>
        <v>0</v>
      </c>
      <c r="AI7" s="15" t="n">
        <f aca="false">AA7*N(AF7)</f>
        <v>0</v>
      </c>
      <c r="AJ7" s="15" t="n">
        <f aca="false">AA7*N(R7)</f>
        <v>0</v>
      </c>
      <c r="AK7" s="15" t="n">
        <f aca="false">AB7*N(AD7)</f>
        <v>0</v>
      </c>
      <c r="AL7" s="15" t="n">
        <f aca="false">AB7*N(AE7)</f>
        <v>0</v>
      </c>
      <c r="AM7" s="15" t="n">
        <f aca="false">AB7*N(AF7)</f>
        <v>0</v>
      </c>
      <c r="AN7" s="15" t="n">
        <f aca="false">AB7*N(R7)</f>
        <v>0</v>
      </c>
      <c r="AO7" s="21" t="str">
        <f aca="false">IF(F7&lt;&gt;"Y","n/a",IF(AND(N7&lt;&gt;"",OR(Q7&lt;&gt;"",G7="Other / bench",G7="None"),U7&lt;&gt;""),"OK","Missing"))</f>
        <v>Missing</v>
      </c>
    </row>
    <row r="8" customFormat="false" ht="15" hidden="false" customHeight="false" outlineLevel="0" collapsed="false">
      <c r="A8" s="10" t="s">
        <v>195</v>
      </c>
      <c r="B8" s="10" t="s">
        <v>659</v>
      </c>
      <c r="C8" s="10" t="s">
        <v>660</v>
      </c>
      <c r="D8" s="10" t="s">
        <v>666</v>
      </c>
      <c r="E8" s="21" t="str">
        <f aca="false">IF(A8="","",A8&amp;"|"&amp;D8)</f>
        <v>F01|Content uniformity</v>
      </c>
      <c r="F8" s="16" t="s">
        <v>662</v>
      </c>
      <c r="G8" s="16" t="s">
        <v>147</v>
      </c>
      <c r="H8" s="16" t="s">
        <v>663</v>
      </c>
      <c r="I8" s="16" t="n">
        <v>1</v>
      </c>
      <c r="J8" s="16"/>
      <c r="K8" s="14"/>
      <c r="L8" s="14"/>
      <c r="M8" s="14"/>
      <c r="N8" s="14"/>
      <c r="O8" s="14"/>
      <c r="P8" s="18" t="n">
        <f aca="false">IF(N8="",0,IF(OR(M8="",O8=""),N8,(M8+4*N8+O8)/6))</f>
        <v>0</v>
      </c>
      <c r="Q8" s="14"/>
      <c r="R8" s="14"/>
      <c r="S8" s="14"/>
      <c r="T8" s="14"/>
      <c r="U8" s="16"/>
      <c r="V8" s="13"/>
      <c r="W8" s="16" t="s">
        <v>667</v>
      </c>
      <c r="X8" s="16"/>
      <c r="Y8" s="16"/>
      <c r="Z8" s="16"/>
      <c r="AA8" s="22" t="n">
        <f aca="false">IF(F8&lt;&gt;"Y",0,((SUMIF(Products!$E$5:$E$300,A8,Products!$F$5:$F$300)+SUMIF(RM_Lots!$A$5:$A$400,A8,RM_Lots!$D$5:$D$400))+IF(W8="Y",SUMIF(Products!$E$5:$E$300,A8,Products!$G$5:$G$300),0))*(1+N(V8)))</f>
        <v>0</v>
      </c>
      <c r="AB8" s="22" t="n">
        <f aca="false">IF(F8&lt;&gt;"Y",0,((SUMIF(Products!$E$5:$E$300,A8,Products!$K$5:$K$300)+SUMIF(RM_Lots!$A$5:$A$400,A8,RM_Lots!$F$5:$F$400))+IF(W8="Y",SUMIF(Products!$E$5:$E$300,A8,Products!$L$5:$L$300),0))*(1+N(V8)))</f>
        <v>0</v>
      </c>
      <c r="AC8" s="17" t="n">
        <f aca="false">IF(J8="",1,MAX(1,COUNTIFS($J$5:$J$863,J8,$F$5:$F$863,"Y")))</f>
        <v>1</v>
      </c>
      <c r="AD8" s="18" t="n">
        <f aca="false">(MAX(1,N(I8))*(P8+N(S8))+MAX(1,N(I8))*N(K8)/(MAX(1,N(U8))*AC8))*Settings!$B$9</f>
        <v>0</v>
      </c>
      <c r="AE8" s="18" t="n">
        <f aca="false">(MAX(1,N(I8))*N(Q8)+MAX(1,N(I8))*N(L8)/(MAX(1,N(U8))*AC8))*Settings!$B$8</f>
        <v>0</v>
      </c>
      <c r="AF8" s="18" t="n">
        <f aca="false">MAX(1,N(I8))*N(T8)</f>
        <v>0</v>
      </c>
      <c r="AG8" s="15" t="n">
        <f aca="false">AA8*N(AD8)</f>
        <v>0</v>
      </c>
      <c r="AH8" s="15" t="n">
        <f aca="false">AA8*N(AE8)</f>
        <v>0</v>
      </c>
      <c r="AI8" s="15" t="n">
        <f aca="false">AA8*N(AF8)</f>
        <v>0</v>
      </c>
      <c r="AJ8" s="15" t="n">
        <f aca="false">AA8*N(R8)</f>
        <v>0</v>
      </c>
      <c r="AK8" s="15" t="n">
        <f aca="false">AB8*N(AD8)</f>
        <v>0</v>
      </c>
      <c r="AL8" s="15" t="n">
        <f aca="false">AB8*N(AE8)</f>
        <v>0</v>
      </c>
      <c r="AM8" s="15" t="n">
        <f aca="false">AB8*N(AF8)</f>
        <v>0</v>
      </c>
      <c r="AN8" s="15" t="n">
        <f aca="false">AB8*N(R8)</f>
        <v>0</v>
      </c>
      <c r="AO8" s="21" t="str">
        <f aca="false">IF(F8&lt;&gt;"Y","n/a",IF(AND(N8&lt;&gt;"",OR(Q8&lt;&gt;"",G8="Other / bench",G8="None"),U8&lt;&gt;""),"OK","Missing"))</f>
        <v>Missing</v>
      </c>
    </row>
    <row r="9" customFormat="false" ht="15" hidden="false" customHeight="false" outlineLevel="0" collapsed="false">
      <c r="A9" s="10" t="s">
        <v>195</v>
      </c>
      <c r="B9" s="10" t="s">
        <v>659</v>
      </c>
      <c r="C9" s="10" t="s">
        <v>660</v>
      </c>
      <c r="D9" s="10" t="s">
        <v>668</v>
      </c>
      <c r="E9" s="21" t="str">
        <f aca="false">IF(A9="","",A9&amp;"|"&amp;D9)</f>
        <v>F01|Identification (if separate from assay)</v>
      </c>
      <c r="F9" s="16" t="s">
        <v>667</v>
      </c>
      <c r="G9" s="16" t="s">
        <v>147</v>
      </c>
      <c r="H9" s="16" t="s">
        <v>663</v>
      </c>
      <c r="I9" s="16" t="n">
        <v>1</v>
      </c>
      <c r="J9" s="16"/>
      <c r="K9" s="14"/>
      <c r="L9" s="14"/>
      <c r="M9" s="14"/>
      <c r="N9" s="14"/>
      <c r="O9" s="14"/>
      <c r="P9" s="18" t="n">
        <f aca="false">IF(N9="",0,IF(OR(M9="",O9=""),N9,(M9+4*N9+O9)/6))</f>
        <v>0</v>
      </c>
      <c r="Q9" s="14"/>
      <c r="R9" s="14"/>
      <c r="S9" s="14"/>
      <c r="T9" s="14"/>
      <c r="U9" s="16"/>
      <c r="V9" s="13"/>
      <c r="W9" s="16" t="s">
        <v>667</v>
      </c>
      <c r="X9" s="16"/>
      <c r="Y9" s="16"/>
      <c r="Z9" s="16"/>
      <c r="AA9" s="22" t="n">
        <f aca="false">IF(F9&lt;&gt;"Y",0,((SUMIF(Products!$E$5:$E$300,A9,Products!$F$5:$F$300)+SUMIF(RM_Lots!$A$5:$A$400,A9,RM_Lots!$D$5:$D$400))+IF(W9="Y",SUMIF(Products!$E$5:$E$300,A9,Products!$G$5:$G$300),0))*(1+N(V9)))</f>
        <v>0</v>
      </c>
      <c r="AB9" s="22" t="n">
        <f aca="false">IF(F9&lt;&gt;"Y",0,((SUMIF(Products!$E$5:$E$300,A9,Products!$K$5:$K$300)+SUMIF(RM_Lots!$A$5:$A$400,A9,RM_Lots!$F$5:$F$400))+IF(W9="Y",SUMIF(Products!$E$5:$E$300,A9,Products!$L$5:$L$300),0))*(1+N(V9)))</f>
        <v>0</v>
      </c>
      <c r="AC9" s="17" t="n">
        <f aca="false">IF(J9="",1,MAX(1,COUNTIFS($J$5:$J$863,J9,$F$5:$F$863,"Y")))</f>
        <v>1</v>
      </c>
      <c r="AD9" s="18" t="n">
        <f aca="false">(MAX(1,N(I9))*(P9+N(S9))+MAX(1,N(I9))*N(K9)/(MAX(1,N(U9))*AC9))*Settings!$B$9</f>
        <v>0</v>
      </c>
      <c r="AE9" s="18" t="n">
        <f aca="false">(MAX(1,N(I9))*N(Q9)+MAX(1,N(I9))*N(L9)/(MAX(1,N(U9))*AC9))*Settings!$B$8</f>
        <v>0</v>
      </c>
      <c r="AF9" s="18" t="n">
        <f aca="false">MAX(1,N(I9))*N(T9)</f>
        <v>0</v>
      </c>
      <c r="AG9" s="15" t="n">
        <f aca="false">AA9*N(AD9)</f>
        <v>0</v>
      </c>
      <c r="AH9" s="15" t="n">
        <f aca="false">AA9*N(AE9)</f>
        <v>0</v>
      </c>
      <c r="AI9" s="15" t="n">
        <f aca="false">AA9*N(AF9)</f>
        <v>0</v>
      </c>
      <c r="AJ9" s="15" t="n">
        <f aca="false">AA9*N(R9)</f>
        <v>0</v>
      </c>
      <c r="AK9" s="15" t="n">
        <f aca="false">AB9*N(AD9)</f>
        <v>0</v>
      </c>
      <c r="AL9" s="15" t="n">
        <f aca="false">AB9*N(AE9)</f>
        <v>0</v>
      </c>
      <c r="AM9" s="15" t="n">
        <f aca="false">AB9*N(AF9)</f>
        <v>0</v>
      </c>
      <c r="AN9" s="15" t="n">
        <f aca="false">AB9*N(R9)</f>
        <v>0</v>
      </c>
      <c r="AO9" s="21" t="str">
        <f aca="false">IF(F9&lt;&gt;"Y","n/a",IF(AND(N9&lt;&gt;"",OR(Q9&lt;&gt;"",G9="Other / bench",G9="None"),U9&lt;&gt;""),"OK","Missing"))</f>
        <v>n/a</v>
      </c>
    </row>
    <row r="10" customFormat="false" ht="15" hidden="false" customHeight="false" outlineLevel="0" collapsed="false">
      <c r="A10" s="10" t="s">
        <v>195</v>
      </c>
      <c r="B10" s="10" t="s">
        <v>659</v>
      </c>
      <c r="C10" s="10" t="s">
        <v>660</v>
      </c>
      <c r="D10" s="10" t="s">
        <v>669</v>
      </c>
      <c r="E10" s="21" t="str">
        <f aca="false">IF(A10="","",A10&amp;"|"&amp;D10)</f>
        <v>F01|Other tests (non-HPLC: physical, LOD/KF, disintegration, pH, micro...)</v>
      </c>
      <c r="F10" s="16" t="s">
        <v>662</v>
      </c>
      <c r="G10" s="16" t="s">
        <v>670</v>
      </c>
      <c r="H10" s="16" t="s">
        <v>663</v>
      </c>
      <c r="I10" s="16" t="n">
        <v>1</v>
      </c>
      <c r="J10" s="16"/>
      <c r="K10" s="14"/>
      <c r="L10" s="14"/>
      <c r="M10" s="14"/>
      <c r="N10" s="14"/>
      <c r="O10" s="14"/>
      <c r="P10" s="18" t="n">
        <f aca="false">IF(N10="",0,IF(OR(M10="",O10=""),N10,(M10+4*N10+O10)/6))</f>
        <v>0</v>
      </c>
      <c r="Q10" s="14"/>
      <c r="R10" s="14"/>
      <c r="S10" s="14"/>
      <c r="T10" s="14"/>
      <c r="U10" s="16"/>
      <c r="V10" s="13"/>
      <c r="W10" s="16" t="s">
        <v>662</v>
      </c>
      <c r="X10" s="16"/>
      <c r="Y10" s="16"/>
      <c r="Z10" s="16"/>
      <c r="AA10" s="22" t="n">
        <f aca="false">IF(F10&lt;&gt;"Y",0,((SUMIF(Products!$E$5:$E$300,A10,Products!$F$5:$F$300)+SUMIF(RM_Lots!$A$5:$A$400,A10,RM_Lots!$D$5:$D$400))+IF(W10="Y",SUMIF(Products!$E$5:$E$300,A10,Products!$G$5:$G$300),0))*(1+N(V10)))</f>
        <v>0</v>
      </c>
      <c r="AB10" s="22" t="n">
        <f aca="false">IF(F10&lt;&gt;"Y",0,((SUMIF(Products!$E$5:$E$300,A10,Products!$K$5:$K$300)+SUMIF(RM_Lots!$A$5:$A$400,A10,RM_Lots!$F$5:$F$400))+IF(W10="Y",SUMIF(Products!$E$5:$E$300,A10,Products!$L$5:$L$300),0))*(1+N(V10)))</f>
        <v>0</v>
      </c>
      <c r="AC10" s="17" t="n">
        <f aca="false">IF(J10="",1,MAX(1,COUNTIFS($J$5:$J$863,J10,$F$5:$F$863,"Y")))</f>
        <v>1</v>
      </c>
      <c r="AD10" s="18" t="n">
        <f aca="false">(MAX(1,N(I10))*(P10+N(S10))+MAX(1,N(I10))*N(K10)/(MAX(1,N(U10))*AC10))*Settings!$B$9</f>
        <v>0</v>
      </c>
      <c r="AE10" s="18" t="n">
        <f aca="false">(MAX(1,N(I10))*N(Q10)+MAX(1,N(I10))*N(L10)/(MAX(1,N(U10))*AC10))*Settings!$B$8</f>
        <v>0</v>
      </c>
      <c r="AF10" s="18" t="n">
        <f aca="false">MAX(1,N(I10))*N(T10)</f>
        <v>0</v>
      </c>
      <c r="AG10" s="15" t="n">
        <f aca="false">AA10*N(AD10)</f>
        <v>0</v>
      </c>
      <c r="AH10" s="15" t="n">
        <f aca="false">AA10*N(AE10)</f>
        <v>0</v>
      </c>
      <c r="AI10" s="15" t="n">
        <f aca="false">AA10*N(AF10)</f>
        <v>0</v>
      </c>
      <c r="AJ10" s="15" t="n">
        <f aca="false">AA10*N(R10)</f>
        <v>0</v>
      </c>
      <c r="AK10" s="15" t="n">
        <f aca="false">AB10*N(AD10)</f>
        <v>0</v>
      </c>
      <c r="AL10" s="15" t="n">
        <f aca="false">AB10*N(AE10)</f>
        <v>0</v>
      </c>
      <c r="AM10" s="15" t="n">
        <f aca="false">AB10*N(AF10)</f>
        <v>0</v>
      </c>
      <c r="AN10" s="15" t="n">
        <f aca="false">AB10*N(R10)</f>
        <v>0</v>
      </c>
      <c r="AO10" s="21" t="str">
        <f aca="false">IF(F10&lt;&gt;"Y","n/a",IF(AND(N10&lt;&gt;"",OR(Q10&lt;&gt;"",G10="Other / bench",G10="None"),U10&lt;&gt;""),"OK","Missing"))</f>
        <v>Missing</v>
      </c>
    </row>
    <row r="11" customFormat="false" ht="15" hidden="false" customHeight="false" outlineLevel="0" collapsed="false">
      <c r="A11" s="10" t="s">
        <v>201</v>
      </c>
      <c r="B11" s="10" t="s">
        <v>659</v>
      </c>
      <c r="C11" s="10" t="s">
        <v>671</v>
      </c>
      <c r="D11" s="10" t="s">
        <v>661</v>
      </c>
      <c r="E11" s="21" t="str">
        <f aca="false">IF(A11="","",A11&amp;"|"&amp;D11)</f>
        <v>F02|Assay</v>
      </c>
      <c r="F11" s="16" t="s">
        <v>662</v>
      </c>
      <c r="G11" s="16" t="s">
        <v>147</v>
      </c>
      <c r="H11" s="16" t="s">
        <v>672</v>
      </c>
      <c r="I11" s="16" t="n">
        <v>1</v>
      </c>
      <c r="J11" s="16"/>
      <c r="K11" s="14"/>
      <c r="L11" s="14"/>
      <c r="M11" s="14"/>
      <c r="N11" s="14"/>
      <c r="O11" s="14"/>
      <c r="P11" s="18" t="n">
        <f aca="false">IF(N11="",0,IF(OR(M11="",O11=""),N11,(M11+4*N11+O11)/6))</f>
        <v>0</v>
      </c>
      <c r="Q11" s="14"/>
      <c r="R11" s="14"/>
      <c r="S11" s="14"/>
      <c r="T11" s="14"/>
      <c r="U11" s="16"/>
      <c r="V11" s="13"/>
      <c r="W11" s="16" t="s">
        <v>662</v>
      </c>
      <c r="X11" s="16"/>
      <c r="Y11" s="16"/>
      <c r="Z11" s="16"/>
      <c r="AA11" s="22" t="n">
        <f aca="false">IF(F11&lt;&gt;"Y",0,((SUMIF(Products!$E$5:$E$300,A11,Products!$F$5:$F$300)+SUMIF(RM_Lots!$A$5:$A$400,A11,RM_Lots!$D$5:$D$400))+IF(W11="Y",SUMIF(Products!$E$5:$E$300,A11,Products!$G$5:$G$300),0))*(1+N(V11)))</f>
        <v>0</v>
      </c>
      <c r="AB11" s="22" t="n">
        <f aca="false">IF(F11&lt;&gt;"Y",0,((SUMIF(Products!$E$5:$E$300,A11,Products!$K$5:$K$300)+SUMIF(RM_Lots!$A$5:$A$400,A11,RM_Lots!$F$5:$F$400))+IF(W11="Y",SUMIF(Products!$E$5:$E$300,A11,Products!$L$5:$L$300),0))*(1+N(V11)))</f>
        <v>0</v>
      </c>
      <c r="AC11" s="17" t="n">
        <f aca="false">IF(J11="",1,MAX(1,COUNTIFS($J$5:$J$863,J11,$F$5:$F$863,"Y")))</f>
        <v>1</v>
      </c>
      <c r="AD11" s="18" t="n">
        <f aca="false">(MAX(1,N(I11))*(P11+N(S11))+MAX(1,N(I11))*N(K11)/(MAX(1,N(U11))*AC11))*Settings!$B$9</f>
        <v>0</v>
      </c>
      <c r="AE11" s="18" t="n">
        <f aca="false">(MAX(1,N(I11))*N(Q11)+MAX(1,N(I11))*N(L11)/(MAX(1,N(U11))*AC11))*Settings!$B$8</f>
        <v>0</v>
      </c>
      <c r="AF11" s="18" t="n">
        <f aca="false">MAX(1,N(I11))*N(T11)</f>
        <v>0</v>
      </c>
      <c r="AG11" s="15" t="n">
        <f aca="false">AA11*N(AD11)</f>
        <v>0</v>
      </c>
      <c r="AH11" s="15" t="n">
        <f aca="false">AA11*N(AE11)</f>
        <v>0</v>
      </c>
      <c r="AI11" s="15" t="n">
        <f aca="false">AA11*N(AF11)</f>
        <v>0</v>
      </c>
      <c r="AJ11" s="15" t="n">
        <f aca="false">AA11*N(R11)</f>
        <v>0</v>
      </c>
      <c r="AK11" s="15" t="n">
        <f aca="false">AB11*N(AD11)</f>
        <v>0</v>
      </c>
      <c r="AL11" s="15" t="n">
        <f aca="false">AB11*N(AE11)</f>
        <v>0</v>
      </c>
      <c r="AM11" s="15" t="n">
        <f aca="false">AB11*N(AF11)</f>
        <v>0</v>
      </c>
      <c r="AN11" s="15" t="n">
        <f aca="false">AB11*N(R11)</f>
        <v>0</v>
      </c>
      <c r="AO11" s="21" t="str">
        <f aca="false">IF(F11&lt;&gt;"Y","n/a",IF(AND(N11&lt;&gt;"",OR(Q11&lt;&gt;"",G11="Other / bench",G11="None"),U11&lt;&gt;""),"OK","Missing"))</f>
        <v>Missing</v>
      </c>
    </row>
    <row r="12" customFormat="false" ht="15" hidden="false" customHeight="false" outlineLevel="0" collapsed="false">
      <c r="A12" s="10" t="s">
        <v>201</v>
      </c>
      <c r="B12" s="10" t="s">
        <v>659</v>
      </c>
      <c r="C12" s="10" t="s">
        <v>671</v>
      </c>
      <c r="D12" s="10" t="s">
        <v>664</v>
      </c>
      <c r="E12" s="21" t="str">
        <f aca="false">IF(A12="","",A12&amp;"|"&amp;D12)</f>
        <v>F02|Related substances / impurities</v>
      </c>
      <c r="F12" s="16" t="s">
        <v>662</v>
      </c>
      <c r="G12" s="16" t="s">
        <v>147</v>
      </c>
      <c r="H12" s="16" t="s">
        <v>672</v>
      </c>
      <c r="I12" s="16" t="n">
        <v>1</v>
      </c>
      <c r="J12" s="16"/>
      <c r="K12" s="14"/>
      <c r="L12" s="14"/>
      <c r="M12" s="14"/>
      <c r="N12" s="14"/>
      <c r="O12" s="14"/>
      <c r="P12" s="18" t="n">
        <f aca="false">IF(N12="",0,IF(OR(M12="",O12=""),N12,(M12+4*N12+O12)/6))</f>
        <v>0</v>
      </c>
      <c r="Q12" s="14"/>
      <c r="R12" s="14"/>
      <c r="S12" s="14"/>
      <c r="T12" s="14"/>
      <c r="U12" s="16"/>
      <c r="V12" s="13"/>
      <c r="W12" s="16" t="s">
        <v>662</v>
      </c>
      <c r="X12" s="16"/>
      <c r="Y12" s="16"/>
      <c r="Z12" s="16"/>
      <c r="AA12" s="22" t="n">
        <f aca="false">IF(F12&lt;&gt;"Y",0,((SUMIF(Products!$E$5:$E$300,A12,Products!$F$5:$F$300)+SUMIF(RM_Lots!$A$5:$A$400,A12,RM_Lots!$D$5:$D$400))+IF(W12="Y",SUMIF(Products!$E$5:$E$300,A12,Products!$G$5:$G$300),0))*(1+N(V12)))</f>
        <v>0</v>
      </c>
      <c r="AB12" s="22" t="n">
        <f aca="false">IF(F12&lt;&gt;"Y",0,((SUMIF(Products!$E$5:$E$300,A12,Products!$K$5:$K$300)+SUMIF(RM_Lots!$A$5:$A$400,A12,RM_Lots!$F$5:$F$400))+IF(W12="Y",SUMIF(Products!$E$5:$E$300,A12,Products!$L$5:$L$300),0))*(1+N(V12)))</f>
        <v>0</v>
      </c>
      <c r="AC12" s="17" t="n">
        <f aca="false">IF(J12="",1,MAX(1,COUNTIFS($J$5:$J$863,J12,$F$5:$F$863,"Y")))</f>
        <v>1</v>
      </c>
      <c r="AD12" s="18" t="n">
        <f aca="false">(MAX(1,N(I12))*(P12+N(S12))+MAX(1,N(I12))*N(K12)/(MAX(1,N(U12))*AC12))*Settings!$B$9</f>
        <v>0</v>
      </c>
      <c r="AE12" s="18" t="n">
        <f aca="false">(MAX(1,N(I12))*N(Q12)+MAX(1,N(I12))*N(L12)/(MAX(1,N(U12))*AC12))*Settings!$B$8</f>
        <v>0</v>
      </c>
      <c r="AF12" s="18" t="n">
        <f aca="false">MAX(1,N(I12))*N(T12)</f>
        <v>0</v>
      </c>
      <c r="AG12" s="15" t="n">
        <f aca="false">AA12*N(AD12)</f>
        <v>0</v>
      </c>
      <c r="AH12" s="15" t="n">
        <f aca="false">AA12*N(AE12)</f>
        <v>0</v>
      </c>
      <c r="AI12" s="15" t="n">
        <f aca="false">AA12*N(AF12)</f>
        <v>0</v>
      </c>
      <c r="AJ12" s="15" t="n">
        <f aca="false">AA12*N(R12)</f>
        <v>0</v>
      </c>
      <c r="AK12" s="15" t="n">
        <f aca="false">AB12*N(AD12)</f>
        <v>0</v>
      </c>
      <c r="AL12" s="15" t="n">
        <f aca="false">AB12*N(AE12)</f>
        <v>0</v>
      </c>
      <c r="AM12" s="15" t="n">
        <f aca="false">AB12*N(AF12)</f>
        <v>0</v>
      </c>
      <c r="AN12" s="15" t="n">
        <f aca="false">AB12*N(R12)</f>
        <v>0</v>
      </c>
      <c r="AO12" s="21" t="str">
        <f aca="false">IF(F12&lt;&gt;"Y","n/a",IF(AND(N12&lt;&gt;"",OR(Q12&lt;&gt;"",G12="Other / bench",G12="None"),U12&lt;&gt;""),"OK","Missing"))</f>
        <v>Missing</v>
      </c>
    </row>
    <row r="13" customFormat="false" ht="15" hidden="false" customHeight="false" outlineLevel="0" collapsed="false">
      <c r="A13" s="10" t="s">
        <v>201</v>
      </c>
      <c r="B13" s="10" t="s">
        <v>659</v>
      </c>
      <c r="C13" s="10" t="s">
        <v>671</v>
      </c>
      <c r="D13" s="10" t="s">
        <v>665</v>
      </c>
      <c r="E13" s="21" t="str">
        <f aca="false">IF(A13="","",A13&amp;"|"&amp;D13)</f>
        <v>F02|Dissolution</v>
      </c>
      <c r="F13" s="16" t="s">
        <v>662</v>
      </c>
      <c r="G13" s="16" t="s">
        <v>147</v>
      </c>
      <c r="H13" s="16" t="s">
        <v>672</v>
      </c>
      <c r="I13" s="16" t="n">
        <v>1</v>
      </c>
      <c r="J13" s="16"/>
      <c r="K13" s="14"/>
      <c r="L13" s="14"/>
      <c r="M13" s="14"/>
      <c r="N13" s="14"/>
      <c r="O13" s="14"/>
      <c r="P13" s="18" t="n">
        <f aca="false">IF(N13="",0,IF(OR(M13="",O13=""),N13,(M13+4*N13+O13)/6))</f>
        <v>0</v>
      </c>
      <c r="Q13" s="14"/>
      <c r="R13" s="14"/>
      <c r="S13" s="14"/>
      <c r="T13" s="14"/>
      <c r="U13" s="16"/>
      <c r="V13" s="13"/>
      <c r="W13" s="16" t="s">
        <v>662</v>
      </c>
      <c r="X13" s="16"/>
      <c r="Y13" s="16"/>
      <c r="Z13" s="16"/>
      <c r="AA13" s="22" t="n">
        <f aca="false">IF(F13&lt;&gt;"Y",0,((SUMIF(Products!$E$5:$E$300,A13,Products!$F$5:$F$300)+SUMIF(RM_Lots!$A$5:$A$400,A13,RM_Lots!$D$5:$D$400))+IF(W13="Y",SUMIF(Products!$E$5:$E$300,A13,Products!$G$5:$G$300),0))*(1+N(V13)))</f>
        <v>0</v>
      </c>
      <c r="AB13" s="22" t="n">
        <f aca="false">IF(F13&lt;&gt;"Y",0,((SUMIF(Products!$E$5:$E$300,A13,Products!$K$5:$K$300)+SUMIF(RM_Lots!$A$5:$A$400,A13,RM_Lots!$F$5:$F$400))+IF(W13="Y",SUMIF(Products!$E$5:$E$300,A13,Products!$L$5:$L$300),0))*(1+N(V13)))</f>
        <v>0</v>
      </c>
      <c r="AC13" s="17" t="n">
        <f aca="false">IF(J13="",1,MAX(1,COUNTIFS($J$5:$J$863,J13,$F$5:$F$863,"Y")))</f>
        <v>1</v>
      </c>
      <c r="AD13" s="18" t="n">
        <f aca="false">(MAX(1,N(I13))*(P13+N(S13))+MAX(1,N(I13))*N(K13)/(MAX(1,N(U13))*AC13))*Settings!$B$9</f>
        <v>0</v>
      </c>
      <c r="AE13" s="18" t="n">
        <f aca="false">(MAX(1,N(I13))*N(Q13)+MAX(1,N(I13))*N(L13)/(MAX(1,N(U13))*AC13))*Settings!$B$8</f>
        <v>0</v>
      </c>
      <c r="AF13" s="18" t="n">
        <f aca="false">MAX(1,N(I13))*N(T13)</f>
        <v>0</v>
      </c>
      <c r="AG13" s="15" t="n">
        <f aca="false">AA13*N(AD13)</f>
        <v>0</v>
      </c>
      <c r="AH13" s="15" t="n">
        <f aca="false">AA13*N(AE13)</f>
        <v>0</v>
      </c>
      <c r="AI13" s="15" t="n">
        <f aca="false">AA13*N(AF13)</f>
        <v>0</v>
      </c>
      <c r="AJ13" s="15" t="n">
        <f aca="false">AA13*N(R13)</f>
        <v>0</v>
      </c>
      <c r="AK13" s="15" t="n">
        <f aca="false">AB13*N(AD13)</f>
        <v>0</v>
      </c>
      <c r="AL13" s="15" t="n">
        <f aca="false">AB13*N(AE13)</f>
        <v>0</v>
      </c>
      <c r="AM13" s="15" t="n">
        <f aca="false">AB13*N(AF13)</f>
        <v>0</v>
      </c>
      <c r="AN13" s="15" t="n">
        <f aca="false">AB13*N(R13)</f>
        <v>0</v>
      </c>
      <c r="AO13" s="21" t="str">
        <f aca="false">IF(F13&lt;&gt;"Y","n/a",IF(AND(N13&lt;&gt;"",OR(Q13&lt;&gt;"",G13="Other / bench",G13="None"),U13&lt;&gt;""),"OK","Missing"))</f>
        <v>Missing</v>
      </c>
    </row>
    <row r="14" customFormat="false" ht="15" hidden="false" customHeight="false" outlineLevel="0" collapsed="false">
      <c r="A14" s="10" t="s">
        <v>201</v>
      </c>
      <c r="B14" s="10" t="s">
        <v>659</v>
      </c>
      <c r="C14" s="10" t="s">
        <v>671</v>
      </c>
      <c r="D14" s="10" t="s">
        <v>666</v>
      </c>
      <c r="E14" s="21" t="str">
        <f aca="false">IF(A14="","",A14&amp;"|"&amp;D14)</f>
        <v>F02|Content uniformity</v>
      </c>
      <c r="F14" s="16" t="s">
        <v>662</v>
      </c>
      <c r="G14" s="16" t="s">
        <v>147</v>
      </c>
      <c r="H14" s="16" t="s">
        <v>672</v>
      </c>
      <c r="I14" s="16" t="n">
        <v>1</v>
      </c>
      <c r="J14" s="16"/>
      <c r="K14" s="14"/>
      <c r="L14" s="14"/>
      <c r="M14" s="14"/>
      <c r="N14" s="14"/>
      <c r="O14" s="14"/>
      <c r="P14" s="18" t="n">
        <f aca="false">IF(N14="",0,IF(OR(M14="",O14=""),N14,(M14+4*N14+O14)/6))</f>
        <v>0</v>
      </c>
      <c r="Q14" s="14"/>
      <c r="R14" s="14"/>
      <c r="S14" s="14"/>
      <c r="T14" s="14"/>
      <c r="U14" s="16"/>
      <c r="V14" s="13"/>
      <c r="W14" s="16" t="s">
        <v>667</v>
      </c>
      <c r="X14" s="16"/>
      <c r="Y14" s="16"/>
      <c r="Z14" s="16"/>
      <c r="AA14" s="22" t="n">
        <f aca="false">IF(F14&lt;&gt;"Y",0,((SUMIF(Products!$E$5:$E$300,A14,Products!$F$5:$F$300)+SUMIF(RM_Lots!$A$5:$A$400,A14,RM_Lots!$D$5:$D$400))+IF(W14="Y",SUMIF(Products!$E$5:$E$300,A14,Products!$G$5:$G$300),0))*(1+N(V14)))</f>
        <v>0</v>
      </c>
      <c r="AB14" s="22" t="n">
        <f aca="false">IF(F14&lt;&gt;"Y",0,((SUMIF(Products!$E$5:$E$300,A14,Products!$K$5:$K$300)+SUMIF(RM_Lots!$A$5:$A$400,A14,RM_Lots!$F$5:$F$400))+IF(W14="Y",SUMIF(Products!$E$5:$E$300,A14,Products!$L$5:$L$300),0))*(1+N(V14)))</f>
        <v>0</v>
      </c>
      <c r="AC14" s="17" t="n">
        <f aca="false">IF(J14="",1,MAX(1,COUNTIFS($J$5:$J$863,J14,$F$5:$F$863,"Y")))</f>
        <v>1</v>
      </c>
      <c r="AD14" s="18" t="n">
        <f aca="false">(MAX(1,N(I14))*(P14+N(S14))+MAX(1,N(I14))*N(K14)/(MAX(1,N(U14))*AC14))*Settings!$B$9</f>
        <v>0</v>
      </c>
      <c r="AE14" s="18" t="n">
        <f aca="false">(MAX(1,N(I14))*N(Q14)+MAX(1,N(I14))*N(L14)/(MAX(1,N(U14))*AC14))*Settings!$B$8</f>
        <v>0</v>
      </c>
      <c r="AF14" s="18" t="n">
        <f aca="false">MAX(1,N(I14))*N(T14)</f>
        <v>0</v>
      </c>
      <c r="AG14" s="15" t="n">
        <f aca="false">AA14*N(AD14)</f>
        <v>0</v>
      </c>
      <c r="AH14" s="15" t="n">
        <f aca="false">AA14*N(AE14)</f>
        <v>0</v>
      </c>
      <c r="AI14" s="15" t="n">
        <f aca="false">AA14*N(AF14)</f>
        <v>0</v>
      </c>
      <c r="AJ14" s="15" t="n">
        <f aca="false">AA14*N(R14)</f>
        <v>0</v>
      </c>
      <c r="AK14" s="15" t="n">
        <f aca="false">AB14*N(AD14)</f>
        <v>0</v>
      </c>
      <c r="AL14" s="15" t="n">
        <f aca="false">AB14*N(AE14)</f>
        <v>0</v>
      </c>
      <c r="AM14" s="15" t="n">
        <f aca="false">AB14*N(AF14)</f>
        <v>0</v>
      </c>
      <c r="AN14" s="15" t="n">
        <f aca="false">AB14*N(R14)</f>
        <v>0</v>
      </c>
      <c r="AO14" s="21" t="str">
        <f aca="false">IF(F14&lt;&gt;"Y","n/a",IF(AND(N14&lt;&gt;"",OR(Q14&lt;&gt;"",G14="Other / bench",G14="None"),U14&lt;&gt;""),"OK","Missing"))</f>
        <v>Missing</v>
      </c>
    </row>
    <row r="15" customFormat="false" ht="15" hidden="false" customHeight="false" outlineLevel="0" collapsed="false">
      <c r="A15" s="10" t="s">
        <v>201</v>
      </c>
      <c r="B15" s="10" t="s">
        <v>659</v>
      </c>
      <c r="C15" s="10" t="s">
        <v>671</v>
      </c>
      <c r="D15" s="10" t="s">
        <v>668</v>
      </c>
      <c r="E15" s="21" t="str">
        <f aca="false">IF(A15="","",A15&amp;"|"&amp;D15)</f>
        <v>F02|Identification (if separate from assay)</v>
      </c>
      <c r="F15" s="16" t="s">
        <v>667</v>
      </c>
      <c r="G15" s="16" t="s">
        <v>147</v>
      </c>
      <c r="H15" s="16" t="s">
        <v>672</v>
      </c>
      <c r="I15" s="16" t="n">
        <v>1</v>
      </c>
      <c r="J15" s="16"/>
      <c r="K15" s="14"/>
      <c r="L15" s="14"/>
      <c r="M15" s="14"/>
      <c r="N15" s="14"/>
      <c r="O15" s="14"/>
      <c r="P15" s="18" t="n">
        <f aca="false">IF(N15="",0,IF(OR(M15="",O15=""),N15,(M15+4*N15+O15)/6))</f>
        <v>0</v>
      </c>
      <c r="Q15" s="14"/>
      <c r="R15" s="14"/>
      <c r="S15" s="14"/>
      <c r="T15" s="14"/>
      <c r="U15" s="16"/>
      <c r="V15" s="13"/>
      <c r="W15" s="16" t="s">
        <v>667</v>
      </c>
      <c r="X15" s="16"/>
      <c r="Y15" s="16"/>
      <c r="Z15" s="16"/>
      <c r="AA15" s="22" t="n">
        <f aca="false">IF(F15&lt;&gt;"Y",0,((SUMIF(Products!$E$5:$E$300,A15,Products!$F$5:$F$300)+SUMIF(RM_Lots!$A$5:$A$400,A15,RM_Lots!$D$5:$D$400))+IF(W15="Y",SUMIF(Products!$E$5:$E$300,A15,Products!$G$5:$G$300),0))*(1+N(V15)))</f>
        <v>0</v>
      </c>
      <c r="AB15" s="22" t="n">
        <f aca="false">IF(F15&lt;&gt;"Y",0,((SUMIF(Products!$E$5:$E$300,A15,Products!$K$5:$K$300)+SUMIF(RM_Lots!$A$5:$A$400,A15,RM_Lots!$F$5:$F$400))+IF(W15="Y",SUMIF(Products!$E$5:$E$300,A15,Products!$L$5:$L$300),0))*(1+N(V15)))</f>
        <v>0</v>
      </c>
      <c r="AC15" s="17" t="n">
        <f aca="false">IF(J15="",1,MAX(1,COUNTIFS($J$5:$J$863,J15,$F$5:$F$863,"Y")))</f>
        <v>1</v>
      </c>
      <c r="AD15" s="18" t="n">
        <f aca="false">(MAX(1,N(I15))*(P15+N(S15))+MAX(1,N(I15))*N(K15)/(MAX(1,N(U15))*AC15))*Settings!$B$9</f>
        <v>0</v>
      </c>
      <c r="AE15" s="18" t="n">
        <f aca="false">(MAX(1,N(I15))*N(Q15)+MAX(1,N(I15))*N(L15)/(MAX(1,N(U15))*AC15))*Settings!$B$8</f>
        <v>0</v>
      </c>
      <c r="AF15" s="18" t="n">
        <f aca="false">MAX(1,N(I15))*N(T15)</f>
        <v>0</v>
      </c>
      <c r="AG15" s="15" t="n">
        <f aca="false">AA15*N(AD15)</f>
        <v>0</v>
      </c>
      <c r="AH15" s="15" t="n">
        <f aca="false">AA15*N(AE15)</f>
        <v>0</v>
      </c>
      <c r="AI15" s="15" t="n">
        <f aca="false">AA15*N(AF15)</f>
        <v>0</v>
      </c>
      <c r="AJ15" s="15" t="n">
        <f aca="false">AA15*N(R15)</f>
        <v>0</v>
      </c>
      <c r="AK15" s="15" t="n">
        <f aca="false">AB15*N(AD15)</f>
        <v>0</v>
      </c>
      <c r="AL15" s="15" t="n">
        <f aca="false">AB15*N(AE15)</f>
        <v>0</v>
      </c>
      <c r="AM15" s="15" t="n">
        <f aca="false">AB15*N(AF15)</f>
        <v>0</v>
      </c>
      <c r="AN15" s="15" t="n">
        <f aca="false">AB15*N(R15)</f>
        <v>0</v>
      </c>
      <c r="AO15" s="21" t="str">
        <f aca="false">IF(F15&lt;&gt;"Y","n/a",IF(AND(N15&lt;&gt;"",OR(Q15&lt;&gt;"",G15="Other / bench",G15="None"),U15&lt;&gt;""),"OK","Missing"))</f>
        <v>n/a</v>
      </c>
    </row>
    <row r="16" customFormat="false" ht="15" hidden="false" customHeight="false" outlineLevel="0" collapsed="false">
      <c r="A16" s="10" t="s">
        <v>201</v>
      </c>
      <c r="B16" s="10" t="s">
        <v>659</v>
      </c>
      <c r="C16" s="10" t="s">
        <v>671</v>
      </c>
      <c r="D16" s="10" t="s">
        <v>669</v>
      </c>
      <c r="E16" s="21" t="str">
        <f aca="false">IF(A16="","",A16&amp;"|"&amp;D16)</f>
        <v>F02|Other tests (non-HPLC: physical, LOD/KF, disintegration, pH, micro...)</v>
      </c>
      <c r="F16" s="16" t="s">
        <v>662</v>
      </c>
      <c r="G16" s="16" t="s">
        <v>670</v>
      </c>
      <c r="H16" s="16" t="s">
        <v>672</v>
      </c>
      <c r="I16" s="16" t="n">
        <v>1</v>
      </c>
      <c r="J16" s="16"/>
      <c r="K16" s="14"/>
      <c r="L16" s="14"/>
      <c r="M16" s="14"/>
      <c r="N16" s="14"/>
      <c r="O16" s="14"/>
      <c r="P16" s="18" t="n">
        <f aca="false">IF(N16="",0,IF(OR(M16="",O16=""),N16,(M16+4*N16+O16)/6))</f>
        <v>0</v>
      </c>
      <c r="Q16" s="14"/>
      <c r="R16" s="14"/>
      <c r="S16" s="14"/>
      <c r="T16" s="14"/>
      <c r="U16" s="16"/>
      <c r="V16" s="13"/>
      <c r="W16" s="16" t="s">
        <v>662</v>
      </c>
      <c r="X16" s="16"/>
      <c r="Y16" s="16"/>
      <c r="Z16" s="16"/>
      <c r="AA16" s="22" t="n">
        <f aca="false">IF(F16&lt;&gt;"Y",0,((SUMIF(Products!$E$5:$E$300,A16,Products!$F$5:$F$300)+SUMIF(RM_Lots!$A$5:$A$400,A16,RM_Lots!$D$5:$D$400))+IF(W16="Y",SUMIF(Products!$E$5:$E$300,A16,Products!$G$5:$G$300),0))*(1+N(V16)))</f>
        <v>0</v>
      </c>
      <c r="AB16" s="22" t="n">
        <f aca="false">IF(F16&lt;&gt;"Y",0,((SUMIF(Products!$E$5:$E$300,A16,Products!$K$5:$K$300)+SUMIF(RM_Lots!$A$5:$A$400,A16,RM_Lots!$F$5:$F$400))+IF(W16="Y",SUMIF(Products!$E$5:$E$300,A16,Products!$L$5:$L$300),0))*(1+N(V16)))</f>
        <v>0</v>
      </c>
      <c r="AC16" s="17" t="n">
        <f aca="false">IF(J16="",1,MAX(1,COUNTIFS($J$5:$J$863,J16,$F$5:$F$863,"Y")))</f>
        <v>1</v>
      </c>
      <c r="AD16" s="18" t="n">
        <f aca="false">(MAX(1,N(I16))*(P16+N(S16))+MAX(1,N(I16))*N(K16)/(MAX(1,N(U16))*AC16))*Settings!$B$9</f>
        <v>0</v>
      </c>
      <c r="AE16" s="18" t="n">
        <f aca="false">(MAX(1,N(I16))*N(Q16)+MAX(1,N(I16))*N(L16)/(MAX(1,N(U16))*AC16))*Settings!$B$8</f>
        <v>0</v>
      </c>
      <c r="AF16" s="18" t="n">
        <f aca="false">MAX(1,N(I16))*N(T16)</f>
        <v>0</v>
      </c>
      <c r="AG16" s="15" t="n">
        <f aca="false">AA16*N(AD16)</f>
        <v>0</v>
      </c>
      <c r="AH16" s="15" t="n">
        <f aca="false">AA16*N(AE16)</f>
        <v>0</v>
      </c>
      <c r="AI16" s="15" t="n">
        <f aca="false">AA16*N(AF16)</f>
        <v>0</v>
      </c>
      <c r="AJ16" s="15" t="n">
        <f aca="false">AA16*N(R16)</f>
        <v>0</v>
      </c>
      <c r="AK16" s="15" t="n">
        <f aca="false">AB16*N(AD16)</f>
        <v>0</v>
      </c>
      <c r="AL16" s="15" t="n">
        <f aca="false">AB16*N(AE16)</f>
        <v>0</v>
      </c>
      <c r="AM16" s="15" t="n">
        <f aca="false">AB16*N(AF16)</f>
        <v>0</v>
      </c>
      <c r="AN16" s="15" t="n">
        <f aca="false">AB16*N(R16)</f>
        <v>0</v>
      </c>
      <c r="AO16" s="21" t="str">
        <f aca="false">IF(F16&lt;&gt;"Y","n/a",IF(AND(N16&lt;&gt;"",OR(Q16&lt;&gt;"",G16="Other / bench",G16="None"),U16&lt;&gt;""),"OK","Missing"))</f>
        <v>Missing</v>
      </c>
    </row>
    <row r="17" customFormat="false" ht="15" hidden="false" customHeight="false" outlineLevel="0" collapsed="false">
      <c r="A17" s="10" t="s">
        <v>206</v>
      </c>
      <c r="B17" s="10" t="s">
        <v>659</v>
      </c>
      <c r="C17" s="10" t="s">
        <v>673</v>
      </c>
      <c r="D17" s="10" t="s">
        <v>661</v>
      </c>
      <c r="E17" s="21" t="str">
        <f aca="false">IF(A17="","",A17&amp;"|"&amp;D17)</f>
        <v>F03|Assay</v>
      </c>
      <c r="F17" s="16" t="s">
        <v>662</v>
      </c>
      <c r="G17" s="16" t="s">
        <v>147</v>
      </c>
      <c r="H17" s="16" t="s">
        <v>672</v>
      </c>
      <c r="I17" s="16" t="n">
        <v>1</v>
      </c>
      <c r="J17" s="16"/>
      <c r="K17" s="14"/>
      <c r="L17" s="14"/>
      <c r="M17" s="14"/>
      <c r="N17" s="14"/>
      <c r="O17" s="14"/>
      <c r="P17" s="18" t="n">
        <f aca="false">IF(N17="",0,IF(OR(M17="",O17=""),N17,(M17+4*N17+O17)/6))</f>
        <v>0</v>
      </c>
      <c r="Q17" s="14"/>
      <c r="R17" s="14"/>
      <c r="S17" s="14"/>
      <c r="T17" s="14"/>
      <c r="U17" s="16"/>
      <c r="V17" s="13"/>
      <c r="W17" s="16" t="s">
        <v>662</v>
      </c>
      <c r="X17" s="16"/>
      <c r="Y17" s="16"/>
      <c r="Z17" s="16"/>
      <c r="AA17" s="22" t="n">
        <f aca="false">IF(F17&lt;&gt;"Y",0,((SUMIF(Products!$E$5:$E$300,A17,Products!$F$5:$F$300)+SUMIF(RM_Lots!$A$5:$A$400,A17,RM_Lots!$D$5:$D$400))+IF(W17="Y",SUMIF(Products!$E$5:$E$300,A17,Products!$G$5:$G$300),0))*(1+N(V17)))</f>
        <v>0</v>
      </c>
      <c r="AB17" s="22" t="n">
        <f aca="false">IF(F17&lt;&gt;"Y",0,((SUMIF(Products!$E$5:$E$300,A17,Products!$K$5:$K$300)+SUMIF(RM_Lots!$A$5:$A$400,A17,RM_Lots!$F$5:$F$400))+IF(W17="Y",SUMIF(Products!$E$5:$E$300,A17,Products!$L$5:$L$300),0))*(1+N(V17)))</f>
        <v>0</v>
      </c>
      <c r="AC17" s="17" t="n">
        <f aca="false">IF(J17="",1,MAX(1,COUNTIFS($J$5:$J$863,J17,$F$5:$F$863,"Y")))</f>
        <v>1</v>
      </c>
      <c r="AD17" s="18" t="n">
        <f aca="false">(MAX(1,N(I17))*(P17+N(S17))+MAX(1,N(I17))*N(K17)/(MAX(1,N(U17))*AC17))*Settings!$B$9</f>
        <v>0</v>
      </c>
      <c r="AE17" s="18" t="n">
        <f aca="false">(MAX(1,N(I17))*N(Q17)+MAX(1,N(I17))*N(L17)/(MAX(1,N(U17))*AC17))*Settings!$B$8</f>
        <v>0</v>
      </c>
      <c r="AF17" s="18" t="n">
        <f aca="false">MAX(1,N(I17))*N(T17)</f>
        <v>0</v>
      </c>
      <c r="AG17" s="15" t="n">
        <f aca="false">AA17*N(AD17)</f>
        <v>0</v>
      </c>
      <c r="AH17" s="15" t="n">
        <f aca="false">AA17*N(AE17)</f>
        <v>0</v>
      </c>
      <c r="AI17" s="15" t="n">
        <f aca="false">AA17*N(AF17)</f>
        <v>0</v>
      </c>
      <c r="AJ17" s="15" t="n">
        <f aca="false">AA17*N(R17)</f>
        <v>0</v>
      </c>
      <c r="AK17" s="15" t="n">
        <f aca="false">AB17*N(AD17)</f>
        <v>0</v>
      </c>
      <c r="AL17" s="15" t="n">
        <f aca="false">AB17*N(AE17)</f>
        <v>0</v>
      </c>
      <c r="AM17" s="15" t="n">
        <f aca="false">AB17*N(AF17)</f>
        <v>0</v>
      </c>
      <c r="AN17" s="15" t="n">
        <f aca="false">AB17*N(R17)</f>
        <v>0</v>
      </c>
      <c r="AO17" s="21" t="str">
        <f aca="false">IF(F17&lt;&gt;"Y","n/a",IF(AND(N17&lt;&gt;"",OR(Q17&lt;&gt;"",G17="Other / bench",G17="None"),U17&lt;&gt;""),"OK","Missing"))</f>
        <v>Missing</v>
      </c>
    </row>
    <row r="18" customFormat="false" ht="15" hidden="false" customHeight="false" outlineLevel="0" collapsed="false">
      <c r="A18" s="10" t="s">
        <v>206</v>
      </c>
      <c r="B18" s="10" t="s">
        <v>659</v>
      </c>
      <c r="C18" s="10" t="s">
        <v>673</v>
      </c>
      <c r="D18" s="10" t="s">
        <v>664</v>
      </c>
      <c r="E18" s="21" t="str">
        <f aca="false">IF(A18="","",A18&amp;"|"&amp;D18)</f>
        <v>F03|Related substances / impurities</v>
      </c>
      <c r="F18" s="16" t="s">
        <v>662</v>
      </c>
      <c r="G18" s="16" t="s">
        <v>147</v>
      </c>
      <c r="H18" s="16" t="s">
        <v>672</v>
      </c>
      <c r="I18" s="16" t="n">
        <v>1</v>
      </c>
      <c r="J18" s="16"/>
      <c r="K18" s="14"/>
      <c r="L18" s="14"/>
      <c r="M18" s="14"/>
      <c r="N18" s="14"/>
      <c r="O18" s="14"/>
      <c r="P18" s="18" t="n">
        <f aca="false">IF(N18="",0,IF(OR(M18="",O18=""),N18,(M18+4*N18+O18)/6))</f>
        <v>0</v>
      </c>
      <c r="Q18" s="14"/>
      <c r="R18" s="14"/>
      <c r="S18" s="14"/>
      <c r="T18" s="14"/>
      <c r="U18" s="16"/>
      <c r="V18" s="13"/>
      <c r="W18" s="16" t="s">
        <v>662</v>
      </c>
      <c r="X18" s="16"/>
      <c r="Y18" s="16"/>
      <c r="Z18" s="16"/>
      <c r="AA18" s="22" t="n">
        <f aca="false">IF(F18&lt;&gt;"Y",0,((SUMIF(Products!$E$5:$E$300,A18,Products!$F$5:$F$300)+SUMIF(RM_Lots!$A$5:$A$400,A18,RM_Lots!$D$5:$D$400))+IF(W18="Y",SUMIF(Products!$E$5:$E$300,A18,Products!$G$5:$G$300),0))*(1+N(V18)))</f>
        <v>0</v>
      </c>
      <c r="AB18" s="22" t="n">
        <f aca="false">IF(F18&lt;&gt;"Y",0,((SUMIF(Products!$E$5:$E$300,A18,Products!$K$5:$K$300)+SUMIF(RM_Lots!$A$5:$A$400,A18,RM_Lots!$F$5:$F$400))+IF(W18="Y",SUMIF(Products!$E$5:$E$300,A18,Products!$L$5:$L$300),0))*(1+N(V18)))</f>
        <v>0</v>
      </c>
      <c r="AC18" s="17" t="n">
        <f aca="false">IF(J18="",1,MAX(1,COUNTIFS($J$5:$J$863,J18,$F$5:$F$863,"Y")))</f>
        <v>1</v>
      </c>
      <c r="AD18" s="18" t="n">
        <f aca="false">(MAX(1,N(I18))*(P18+N(S18))+MAX(1,N(I18))*N(K18)/(MAX(1,N(U18))*AC18))*Settings!$B$9</f>
        <v>0</v>
      </c>
      <c r="AE18" s="18" t="n">
        <f aca="false">(MAX(1,N(I18))*N(Q18)+MAX(1,N(I18))*N(L18)/(MAX(1,N(U18))*AC18))*Settings!$B$8</f>
        <v>0</v>
      </c>
      <c r="AF18" s="18" t="n">
        <f aca="false">MAX(1,N(I18))*N(T18)</f>
        <v>0</v>
      </c>
      <c r="AG18" s="15" t="n">
        <f aca="false">AA18*N(AD18)</f>
        <v>0</v>
      </c>
      <c r="AH18" s="15" t="n">
        <f aca="false">AA18*N(AE18)</f>
        <v>0</v>
      </c>
      <c r="AI18" s="15" t="n">
        <f aca="false">AA18*N(AF18)</f>
        <v>0</v>
      </c>
      <c r="AJ18" s="15" t="n">
        <f aca="false">AA18*N(R18)</f>
        <v>0</v>
      </c>
      <c r="AK18" s="15" t="n">
        <f aca="false">AB18*N(AD18)</f>
        <v>0</v>
      </c>
      <c r="AL18" s="15" t="n">
        <f aca="false">AB18*N(AE18)</f>
        <v>0</v>
      </c>
      <c r="AM18" s="15" t="n">
        <f aca="false">AB18*N(AF18)</f>
        <v>0</v>
      </c>
      <c r="AN18" s="15" t="n">
        <f aca="false">AB18*N(R18)</f>
        <v>0</v>
      </c>
      <c r="AO18" s="21" t="str">
        <f aca="false">IF(F18&lt;&gt;"Y","n/a",IF(AND(N18&lt;&gt;"",OR(Q18&lt;&gt;"",G18="Other / bench",G18="None"),U18&lt;&gt;""),"OK","Missing"))</f>
        <v>Missing</v>
      </c>
    </row>
    <row r="19" customFormat="false" ht="15" hidden="false" customHeight="false" outlineLevel="0" collapsed="false">
      <c r="A19" s="10" t="s">
        <v>206</v>
      </c>
      <c r="B19" s="10" t="s">
        <v>659</v>
      </c>
      <c r="C19" s="10" t="s">
        <v>673</v>
      </c>
      <c r="D19" s="10" t="s">
        <v>665</v>
      </c>
      <c r="E19" s="21" t="str">
        <f aca="false">IF(A19="","",A19&amp;"|"&amp;D19)</f>
        <v>F03|Dissolution</v>
      </c>
      <c r="F19" s="16" t="s">
        <v>662</v>
      </c>
      <c r="G19" s="16" t="s">
        <v>147</v>
      </c>
      <c r="H19" s="16" t="s">
        <v>672</v>
      </c>
      <c r="I19" s="16" t="n">
        <v>1</v>
      </c>
      <c r="J19" s="16"/>
      <c r="K19" s="14"/>
      <c r="L19" s="14"/>
      <c r="M19" s="14"/>
      <c r="N19" s="14"/>
      <c r="O19" s="14"/>
      <c r="P19" s="18" t="n">
        <f aca="false">IF(N19="",0,IF(OR(M19="",O19=""),N19,(M19+4*N19+O19)/6))</f>
        <v>0</v>
      </c>
      <c r="Q19" s="14"/>
      <c r="R19" s="14"/>
      <c r="S19" s="14"/>
      <c r="T19" s="14"/>
      <c r="U19" s="16"/>
      <c r="V19" s="13"/>
      <c r="W19" s="16" t="s">
        <v>662</v>
      </c>
      <c r="X19" s="16"/>
      <c r="Y19" s="16"/>
      <c r="Z19" s="16"/>
      <c r="AA19" s="22" t="n">
        <f aca="false">IF(F19&lt;&gt;"Y",0,((SUMIF(Products!$E$5:$E$300,A19,Products!$F$5:$F$300)+SUMIF(RM_Lots!$A$5:$A$400,A19,RM_Lots!$D$5:$D$400))+IF(W19="Y",SUMIF(Products!$E$5:$E$300,A19,Products!$G$5:$G$300),0))*(1+N(V19)))</f>
        <v>0</v>
      </c>
      <c r="AB19" s="22" t="n">
        <f aca="false">IF(F19&lt;&gt;"Y",0,((SUMIF(Products!$E$5:$E$300,A19,Products!$K$5:$K$300)+SUMIF(RM_Lots!$A$5:$A$400,A19,RM_Lots!$F$5:$F$400))+IF(W19="Y",SUMIF(Products!$E$5:$E$300,A19,Products!$L$5:$L$300),0))*(1+N(V19)))</f>
        <v>0</v>
      </c>
      <c r="AC19" s="17" t="n">
        <f aca="false">IF(J19="",1,MAX(1,COUNTIFS($J$5:$J$863,J19,$F$5:$F$863,"Y")))</f>
        <v>1</v>
      </c>
      <c r="AD19" s="18" t="n">
        <f aca="false">(MAX(1,N(I19))*(P19+N(S19))+MAX(1,N(I19))*N(K19)/(MAX(1,N(U19))*AC19))*Settings!$B$9</f>
        <v>0</v>
      </c>
      <c r="AE19" s="18" t="n">
        <f aca="false">(MAX(1,N(I19))*N(Q19)+MAX(1,N(I19))*N(L19)/(MAX(1,N(U19))*AC19))*Settings!$B$8</f>
        <v>0</v>
      </c>
      <c r="AF19" s="18" t="n">
        <f aca="false">MAX(1,N(I19))*N(T19)</f>
        <v>0</v>
      </c>
      <c r="AG19" s="15" t="n">
        <f aca="false">AA19*N(AD19)</f>
        <v>0</v>
      </c>
      <c r="AH19" s="15" t="n">
        <f aca="false">AA19*N(AE19)</f>
        <v>0</v>
      </c>
      <c r="AI19" s="15" t="n">
        <f aca="false">AA19*N(AF19)</f>
        <v>0</v>
      </c>
      <c r="AJ19" s="15" t="n">
        <f aca="false">AA19*N(R19)</f>
        <v>0</v>
      </c>
      <c r="AK19" s="15" t="n">
        <f aca="false">AB19*N(AD19)</f>
        <v>0</v>
      </c>
      <c r="AL19" s="15" t="n">
        <f aca="false">AB19*N(AE19)</f>
        <v>0</v>
      </c>
      <c r="AM19" s="15" t="n">
        <f aca="false">AB19*N(AF19)</f>
        <v>0</v>
      </c>
      <c r="AN19" s="15" t="n">
        <f aca="false">AB19*N(R19)</f>
        <v>0</v>
      </c>
      <c r="AO19" s="21" t="str">
        <f aca="false">IF(F19&lt;&gt;"Y","n/a",IF(AND(N19&lt;&gt;"",OR(Q19&lt;&gt;"",G19="Other / bench",G19="None"),U19&lt;&gt;""),"OK","Missing"))</f>
        <v>Missing</v>
      </c>
    </row>
    <row r="20" customFormat="false" ht="15" hidden="false" customHeight="false" outlineLevel="0" collapsed="false">
      <c r="A20" s="10" t="s">
        <v>206</v>
      </c>
      <c r="B20" s="10" t="s">
        <v>659</v>
      </c>
      <c r="C20" s="10" t="s">
        <v>673</v>
      </c>
      <c r="D20" s="10" t="s">
        <v>666</v>
      </c>
      <c r="E20" s="21" t="str">
        <f aca="false">IF(A20="","",A20&amp;"|"&amp;D20)</f>
        <v>F03|Content uniformity</v>
      </c>
      <c r="F20" s="16" t="s">
        <v>662</v>
      </c>
      <c r="G20" s="16" t="s">
        <v>147</v>
      </c>
      <c r="H20" s="16" t="s">
        <v>672</v>
      </c>
      <c r="I20" s="16" t="n">
        <v>1</v>
      </c>
      <c r="J20" s="16"/>
      <c r="K20" s="14"/>
      <c r="L20" s="14"/>
      <c r="M20" s="14"/>
      <c r="N20" s="14"/>
      <c r="O20" s="14"/>
      <c r="P20" s="18" t="n">
        <f aca="false">IF(N20="",0,IF(OR(M20="",O20=""),N20,(M20+4*N20+O20)/6))</f>
        <v>0</v>
      </c>
      <c r="Q20" s="14"/>
      <c r="R20" s="14"/>
      <c r="S20" s="14"/>
      <c r="T20" s="14"/>
      <c r="U20" s="16"/>
      <c r="V20" s="13"/>
      <c r="W20" s="16" t="s">
        <v>667</v>
      </c>
      <c r="X20" s="16"/>
      <c r="Y20" s="16"/>
      <c r="Z20" s="16"/>
      <c r="AA20" s="22" t="n">
        <f aca="false">IF(F20&lt;&gt;"Y",0,((SUMIF(Products!$E$5:$E$300,A20,Products!$F$5:$F$300)+SUMIF(RM_Lots!$A$5:$A$400,A20,RM_Lots!$D$5:$D$400))+IF(W20="Y",SUMIF(Products!$E$5:$E$300,A20,Products!$G$5:$G$300),0))*(1+N(V20)))</f>
        <v>0</v>
      </c>
      <c r="AB20" s="22" t="n">
        <f aca="false">IF(F20&lt;&gt;"Y",0,((SUMIF(Products!$E$5:$E$300,A20,Products!$K$5:$K$300)+SUMIF(RM_Lots!$A$5:$A$400,A20,RM_Lots!$F$5:$F$400))+IF(W20="Y",SUMIF(Products!$E$5:$E$300,A20,Products!$L$5:$L$300),0))*(1+N(V20)))</f>
        <v>0</v>
      </c>
      <c r="AC20" s="17" t="n">
        <f aca="false">IF(J20="",1,MAX(1,COUNTIFS($J$5:$J$863,J20,$F$5:$F$863,"Y")))</f>
        <v>1</v>
      </c>
      <c r="AD20" s="18" t="n">
        <f aca="false">(MAX(1,N(I20))*(P20+N(S20))+MAX(1,N(I20))*N(K20)/(MAX(1,N(U20))*AC20))*Settings!$B$9</f>
        <v>0</v>
      </c>
      <c r="AE20" s="18" t="n">
        <f aca="false">(MAX(1,N(I20))*N(Q20)+MAX(1,N(I20))*N(L20)/(MAX(1,N(U20))*AC20))*Settings!$B$8</f>
        <v>0</v>
      </c>
      <c r="AF20" s="18" t="n">
        <f aca="false">MAX(1,N(I20))*N(T20)</f>
        <v>0</v>
      </c>
      <c r="AG20" s="15" t="n">
        <f aca="false">AA20*N(AD20)</f>
        <v>0</v>
      </c>
      <c r="AH20" s="15" t="n">
        <f aca="false">AA20*N(AE20)</f>
        <v>0</v>
      </c>
      <c r="AI20" s="15" t="n">
        <f aca="false">AA20*N(AF20)</f>
        <v>0</v>
      </c>
      <c r="AJ20" s="15" t="n">
        <f aca="false">AA20*N(R20)</f>
        <v>0</v>
      </c>
      <c r="AK20" s="15" t="n">
        <f aca="false">AB20*N(AD20)</f>
        <v>0</v>
      </c>
      <c r="AL20" s="15" t="n">
        <f aca="false">AB20*N(AE20)</f>
        <v>0</v>
      </c>
      <c r="AM20" s="15" t="n">
        <f aca="false">AB20*N(AF20)</f>
        <v>0</v>
      </c>
      <c r="AN20" s="15" t="n">
        <f aca="false">AB20*N(R20)</f>
        <v>0</v>
      </c>
      <c r="AO20" s="21" t="str">
        <f aca="false">IF(F20&lt;&gt;"Y","n/a",IF(AND(N20&lt;&gt;"",OR(Q20&lt;&gt;"",G20="Other / bench",G20="None"),U20&lt;&gt;""),"OK","Missing"))</f>
        <v>Missing</v>
      </c>
    </row>
    <row r="21" customFormat="false" ht="15" hidden="false" customHeight="false" outlineLevel="0" collapsed="false">
      <c r="A21" s="10" t="s">
        <v>206</v>
      </c>
      <c r="B21" s="10" t="s">
        <v>659</v>
      </c>
      <c r="C21" s="10" t="s">
        <v>673</v>
      </c>
      <c r="D21" s="10" t="s">
        <v>668</v>
      </c>
      <c r="E21" s="21" t="str">
        <f aca="false">IF(A21="","",A21&amp;"|"&amp;D21)</f>
        <v>F03|Identification (if separate from assay)</v>
      </c>
      <c r="F21" s="16" t="s">
        <v>667</v>
      </c>
      <c r="G21" s="16" t="s">
        <v>147</v>
      </c>
      <c r="H21" s="16" t="s">
        <v>672</v>
      </c>
      <c r="I21" s="16" t="n">
        <v>1</v>
      </c>
      <c r="J21" s="16"/>
      <c r="K21" s="14"/>
      <c r="L21" s="14"/>
      <c r="M21" s="14"/>
      <c r="N21" s="14"/>
      <c r="O21" s="14"/>
      <c r="P21" s="18" t="n">
        <f aca="false">IF(N21="",0,IF(OR(M21="",O21=""),N21,(M21+4*N21+O21)/6))</f>
        <v>0</v>
      </c>
      <c r="Q21" s="14"/>
      <c r="R21" s="14"/>
      <c r="S21" s="14"/>
      <c r="T21" s="14"/>
      <c r="U21" s="16"/>
      <c r="V21" s="13"/>
      <c r="W21" s="16" t="s">
        <v>667</v>
      </c>
      <c r="X21" s="16"/>
      <c r="Y21" s="16"/>
      <c r="Z21" s="16"/>
      <c r="AA21" s="22" t="n">
        <f aca="false">IF(F21&lt;&gt;"Y",0,((SUMIF(Products!$E$5:$E$300,A21,Products!$F$5:$F$300)+SUMIF(RM_Lots!$A$5:$A$400,A21,RM_Lots!$D$5:$D$400))+IF(W21="Y",SUMIF(Products!$E$5:$E$300,A21,Products!$G$5:$G$300),0))*(1+N(V21)))</f>
        <v>0</v>
      </c>
      <c r="AB21" s="22" t="n">
        <f aca="false">IF(F21&lt;&gt;"Y",0,((SUMIF(Products!$E$5:$E$300,A21,Products!$K$5:$K$300)+SUMIF(RM_Lots!$A$5:$A$400,A21,RM_Lots!$F$5:$F$400))+IF(W21="Y",SUMIF(Products!$E$5:$E$300,A21,Products!$L$5:$L$300),0))*(1+N(V21)))</f>
        <v>0</v>
      </c>
      <c r="AC21" s="17" t="n">
        <f aca="false">IF(J21="",1,MAX(1,COUNTIFS($J$5:$J$863,J21,$F$5:$F$863,"Y")))</f>
        <v>1</v>
      </c>
      <c r="AD21" s="18" t="n">
        <f aca="false">(MAX(1,N(I21))*(P21+N(S21))+MAX(1,N(I21))*N(K21)/(MAX(1,N(U21))*AC21))*Settings!$B$9</f>
        <v>0</v>
      </c>
      <c r="AE21" s="18" t="n">
        <f aca="false">(MAX(1,N(I21))*N(Q21)+MAX(1,N(I21))*N(L21)/(MAX(1,N(U21))*AC21))*Settings!$B$8</f>
        <v>0</v>
      </c>
      <c r="AF21" s="18" t="n">
        <f aca="false">MAX(1,N(I21))*N(T21)</f>
        <v>0</v>
      </c>
      <c r="AG21" s="15" t="n">
        <f aca="false">AA21*N(AD21)</f>
        <v>0</v>
      </c>
      <c r="AH21" s="15" t="n">
        <f aca="false">AA21*N(AE21)</f>
        <v>0</v>
      </c>
      <c r="AI21" s="15" t="n">
        <f aca="false">AA21*N(AF21)</f>
        <v>0</v>
      </c>
      <c r="AJ21" s="15" t="n">
        <f aca="false">AA21*N(R21)</f>
        <v>0</v>
      </c>
      <c r="AK21" s="15" t="n">
        <f aca="false">AB21*N(AD21)</f>
        <v>0</v>
      </c>
      <c r="AL21" s="15" t="n">
        <f aca="false">AB21*N(AE21)</f>
        <v>0</v>
      </c>
      <c r="AM21" s="15" t="n">
        <f aca="false">AB21*N(AF21)</f>
        <v>0</v>
      </c>
      <c r="AN21" s="15" t="n">
        <f aca="false">AB21*N(R21)</f>
        <v>0</v>
      </c>
      <c r="AO21" s="21" t="str">
        <f aca="false">IF(F21&lt;&gt;"Y","n/a",IF(AND(N21&lt;&gt;"",OR(Q21&lt;&gt;"",G21="Other / bench",G21="None"),U21&lt;&gt;""),"OK","Missing"))</f>
        <v>n/a</v>
      </c>
    </row>
    <row r="22" customFormat="false" ht="15" hidden="false" customHeight="false" outlineLevel="0" collapsed="false">
      <c r="A22" s="10" t="s">
        <v>206</v>
      </c>
      <c r="B22" s="10" t="s">
        <v>659</v>
      </c>
      <c r="C22" s="10" t="s">
        <v>673</v>
      </c>
      <c r="D22" s="10" t="s">
        <v>669</v>
      </c>
      <c r="E22" s="21" t="str">
        <f aca="false">IF(A22="","",A22&amp;"|"&amp;D22)</f>
        <v>F03|Other tests (non-HPLC: physical, LOD/KF, disintegration, pH, micro...)</v>
      </c>
      <c r="F22" s="16" t="s">
        <v>662</v>
      </c>
      <c r="G22" s="16" t="s">
        <v>670</v>
      </c>
      <c r="H22" s="16" t="s">
        <v>672</v>
      </c>
      <c r="I22" s="16" t="n">
        <v>1</v>
      </c>
      <c r="J22" s="16"/>
      <c r="K22" s="14"/>
      <c r="L22" s="14"/>
      <c r="M22" s="14"/>
      <c r="N22" s="14"/>
      <c r="O22" s="14"/>
      <c r="P22" s="18" t="n">
        <f aca="false">IF(N22="",0,IF(OR(M22="",O22=""),N22,(M22+4*N22+O22)/6))</f>
        <v>0</v>
      </c>
      <c r="Q22" s="14"/>
      <c r="R22" s="14"/>
      <c r="S22" s="14"/>
      <c r="T22" s="14"/>
      <c r="U22" s="16"/>
      <c r="V22" s="13"/>
      <c r="W22" s="16" t="s">
        <v>662</v>
      </c>
      <c r="X22" s="16"/>
      <c r="Y22" s="16"/>
      <c r="Z22" s="16"/>
      <c r="AA22" s="22" t="n">
        <f aca="false">IF(F22&lt;&gt;"Y",0,((SUMIF(Products!$E$5:$E$300,A22,Products!$F$5:$F$300)+SUMIF(RM_Lots!$A$5:$A$400,A22,RM_Lots!$D$5:$D$400))+IF(W22="Y",SUMIF(Products!$E$5:$E$300,A22,Products!$G$5:$G$300),0))*(1+N(V22)))</f>
        <v>0</v>
      </c>
      <c r="AB22" s="22" t="n">
        <f aca="false">IF(F22&lt;&gt;"Y",0,((SUMIF(Products!$E$5:$E$300,A22,Products!$K$5:$K$300)+SUMIF(RM_Lots!$A$5:$A$400,A22,RM_Lots!$F$5:$F$400))+IF(W22="Y",SUMIF(Products!$E$5:$E$300,A22,Products!$L$5:$L$300),0))*(1+N(V22)))</f>
        <v>0</v>
      </c>
      <c r="AC22" s="17" t="n">
        <f aca="false">IF(J22="",1,MAX(1,COUNTIFS($J$5:$J$863,J22,$F$5:$F$863,"Y")))</f>
        <v>1</v>
      </c>
      <c r="AD22" s="18" t="n">
        <f aca="false">(MAX(1,N(I22))*(P22+N(S22))+MAX(1,N(I22))*N(K22)/(MAX(1,N(U22))*AC22))*Settings!$B$9</f>
        <v>0</v>
      </c>
      <c r="AE22" s="18" t="n">
        <f aca="false">(MAX(1,N(I22))*N(Q22)+MAX(1,N(I22))*N(L22)/(MAX(1,N(U22))*AC22))*Settings!$B$8</f>
        <v>0</v>
      </c>
      <c r="AF22" s="18" t="n">
        <f aca="false">MAX(1,N(I22))*N(T22)</f>
        <v>0</v>
      </c>
      <c r="AG22" s="15" t="n">
        <f aca="false">AA22*N(AD22)</f>
        <v>0</v>
      </c>
      <c r="AH22" s="15" t="n">
        <f aca="false">AA22*N(AE22)</f>
        <v>0</v>
      </c>
      <c r="AI22" s="15" t="n">
        <f aca="false">AA22*N(AF22)</f>
        <v>0</v>
      </c>
      <c r="AJ22" s="15" t="n">
        <f aca="false">AA22*N(R22)</f>
        <v>0</v>
      </c>
      <c r="AK22" s="15" t="n">
        <f aca="false">AB22*N(AD22)</f>
        <v>0</v>
      </c>
      <c r="AL22" s="15" t="n">
        <f aca="false">AB22*N(AE22)</f>
        <v>0</v>
      </c>
      <c r="AM22" s="15" t="n">
        <f aca="false">AB22*N(AF22)</f>
        <v>0</v>
      </c>
      <c r="AN22" s="15" t="n">
        <f aca="false">AB22*N(R22)</f>
        <v>0</v>
      </c>
      <c r="AO22" s="21" t="str">
        <f aca="false">IF(F22&lt;&gt;"Y","n/a",IF(AND(N22&lt;&gt;"",OR(Q22&lt;&gt;"",G22="Other / bench",G22="None"),U22&lt;&gt;""),"OK","Missing"))</f>
        <v>Missing</v>
      </c>
    </row>
    <row r="23" customFormat="false" ht="15" hidden="false" customHeight="false" outlineLevel="0" collapsed="false">
      <c r="A23" s="10" t="s">
        <v>210</v>
      </c>
      <c r="B23" s="10" t="s">
        <v>659</v>
      </c>
      <c r="C23" s="10" t="s">
        <v>674</v>
      </c>
      <c r="D23" s="10" t="s">
        <v>661</v>
      </c>
      <c r="E23" s="21" t="str">
        <f aca="false">IF(A23="","",A23&amp;"|"&amp;D23)</f>
        <v>F04|Assay</v>
      </c>
      <c r="F23" s="16" t="s">
        <v>662</v>
      </c>
      <c r="G23" s="16" t="s">
        <v>147</v>
      </c>
      <c r="H23" s="16" t="s">
        <v>672</v>
      </c>
      <c r="I23" s="16" t="n">
        <v>1</v>
      </c>
      <c r="J23" s="16"/>
      <c r="K23" s="14"/>
      <c r="L23" s="14"/>
      <c r="M23" s="14"/>
      <c r="N23" s="14"/>
      <c r="O23" s="14"/>
      <c r="P23" s="18" t="n">
        <f aca="false">IF(N23="",0,IF(OR(M23="",O23=""),N23,(M23+4*N23+O23)/6))</f>
        <v>0</v>
      </c>
      <c r="Q23" s="14"/>
      <c r="R23" s="14"/>
      <c r="S23" s="14"/>
      <c r="T23" s="14"/>
      <c r="U23" s="16"/>
      <c r="V23" s="13"/>
      <c r="W23" s="16" t="s">
        <v>662</v>
      </c>
      <c r="X23" s="16"/>
      <c r="Y23" s="16"/>
      <c r="Z23" s="16"/>
      <c r="AA23" s="22" t="n">
        <f aca="false">IF(F23&lt;&gt;"Y",0,((SUMIF(Products!$E$5:$E$300,A23,Products!$F$5:$F$300)+SUMIF(RM_Lots!$A$5:$A$400,A23,RM_Lots!$D$5:$D$400))+IF(W23="Y",SUMIF(Products!$E$5:$E$300,A23,Products!$G$5:$G$300),0))*(1+N(V23)))</f>
        <v>0</v>
      </c>
      <c r="AB23" s="22" t="n">
        <f aca="false">IF(F23&lt;&gt;"Y",0,((SUMIF(Products!$E$5:$E$300,A23,Products!$K$5:$K$300)+SUMIF(RM_Lots!$A$5:$A$400,A23,RM_Lots!$F$5:$F$400))+IF(W23="Y",SUMIF(Products!$E$5:$E$300,A23,Products!$L$5:$L$300),0))*(1+N(V23)))</f>
        <v>0</v>
      </c>
      <c r="AC23" s="17" t="n">
        <f aca="false">IF(J23="",1,MAX(1,COUNTIFS($J$5:$J$863,J23,$F$5:$F$863,"Y")))</f>
        <v>1</v>
      </c>
      <c r="AD23" s="18" t="n">
        <f aca="false">(MAX(1,N(I23))*(P23+N(S23))+MAX(1,N(I23))*N(K23)/(MAX(1,N(U23))*AC23))*Settings!$B$9</f>
        <v>0</v>
      </c>
      <c r="AE23" s="18" t="n">
        <f aca="false">(MAX(1,N(I23))*N(Q23)+MAX(1,N(I23))*N(L23)/(MAX(1,N(U23))*AC23))*Settings!$B$8</f>
        <v>0</v>
      </c>
      <c r="AF23" s="18" t="n">
        <f aca="false">MAX(1,N(I23))*N(T23)</f>
        <v>0</v>
      </c>
      <c r="AG23" s="15" t="n">
        <f aca="false">AA23*N(AD23)</f>
        <v>0</v>
      </c>
      <c r="AH23" s="15" t="n">
        <f aca="false">AA23*N(AE23)</f>
        <v>0</v>
      </c>
      <c r="AI23" s="15" t="n">
        <f aca="false">AA23*N(AF23)</f>
        <v>0</v>
      </c>
      <c r="AJ23" s="15" t="n">
        <f aca="false">AA23*N(R23)</f>
        <v>0</v>
      </c>
      <c r="AK23" s="15" t="n">
        <f aca="false">AB23*N(AD23)</f>
        <v>0</v>
      </c>
      <c r="AL23" s="15" t="n">
        <f aca="false">AB23*N(AE23)</f>
        <v>0</v>
      </c>
      <c r="AM23" s="15" t="n">
        <f aca="false">AB23*N(AF23)</f>
        <v>0</v>
      </c>
      <c r="AN23" s="15" t="n">
        <f aca="false">AB23*N(R23)</f>
        <v>0</v>
      </c>
      <c r="AO23" s="21" t="str">
        <f aca="false">IF(F23&lt;&gt;"Y","n/a",IF(AND(N23&lt;&gt;"",OR(Q23&lt;&gt;"",G23="Other / bench",G23="None"),U23&lt;&gt;""),"OK","Missing"))</f>
        <v>Missing</v>
      </c>
    </row>
    <row r="24" customFormat="false" ht="15" hidden="false" customHeight="false" outlineLevel="0" collapsed="false">
      <c r="A24" s="10" t="s">
        <v>210</v>
      </c>
      <c r="B24" s="10" t="s">
        <v>659</v>
      </c>
      <c r="C24" s="10" t="s">
        <v>674</v>
      </c>
      <c r="D24" s="10" t="s">
        <v>664</v>
      </c>
      <c r="E24" s="21" t="str">
        <f aca="false">IF(A24="","",A24&amp;"|"&amp;D24)</f>
        <v>F04|Related substances / impurities</v>
      </c>
      <c r="F24" s="16" t="s">
        <v>662</v>
      </c>
      <c r="G24" s="16" t="s">
        <v>147</v>
      </c>
      <c r="H24" s="16" t="s">
        <v>672</v>
      </c>
      <c r="I24" s="16" t="n">
        <v>1</v>
      </c>
      <c r="J24" s="16"/>
      <c r="K24" s="14"/>
      <c r="L24" s="14"/>
      <c r="M24" s="14"/>
      <c r="N24" s="14"/>
      <c r="O24" s="14"/>
      <c r="P24" s="18" t="n">
        <f aca="false">IF(N24="",0,IF(OR(M24="",O24=""),N24,(M24+4*N24+O24)/6))</f>
        <v>0</v>
      </c>
      <c r="Q24" s="14"/>
      <c r="R24" s="14"/>
      <c r="S24" s="14"/>
      <c r="T24" s="14"/>
      <c r="U24" s="16"/>
      <c r="V24" s="13"/>
      <c r="W24" s="16" t="s">
        <v>662</v>
      </c>
      <c r="X24" s="16"/>
      <c r="Y24" s="16"/>
      <c r="Z24" s="16"/>
      <c r="AA24" s="22" t="n">
        <f aca="false">IF(F24&lt;&gt;"Y",0,((SUMIF(Products!$E$5:$E$300,A24,Products!$F$5:$F$300)+SUMIF(RM_Lots!$A$5:$A$400,A24,RM_Lots!$D$5:$D$400))+IF(W24="Y",SUMIF(Products!$E$5:$E$300,A24,Products!$G$5:$G$300),0))*(1+N(V24)))</f>
        <v>0</v>
      </c>
      <c r="AB24" s="22" t="n">
        <f aca="false">IF(F24&lt;&gt;"Y",0,((SUMIF(Products!$E$5:$E$300,A24,Products!$K$5:$K$300)+SUMIF(RM_Lots!$A$5:$A$400,A24,RM_Lots!$F$5:$F$400))+IF(W24="Y",SUMIF(Products!$E$5:$E$300,A24,Products!$L$5:$L$300),0))*(1+N(V24)))</f>
        <v>0</v>
      </c>
      <c r="AC24" s="17" t="n">
        <f aca="false">IF(J24="",1,MAX(1,COUNTIFS($J$5:$J$863,J24,$F$5:$F$863,"Y")))</f>
        <v>1</v>
      </c>
      <c r="AD24" s="18" t="n">
        <f aca="false">(MAX(1,N(I24))*(P24+N(S24))+MAX(1,N(I24))*N(K24)/(MAX(1,N(U24))*AC24))*Settings!$B$9</f>
        <v>0</v>
      </c>
      <c r="AE24" s="18" t="n">
        <f aca="false">(MAX(1,N(I24))*N(Q24)+MAX(1,N(I24))*N(L24)/(MAX(1,N(U24))*AC24))*Settings!$B$8</f>
        <v>0</v>
      </c>
      <c r="AF24" s="18" t="n">
        <f aca="false">MAX(1,N(I24))*N(T24)</f>
        <v>0</v>
      </c>
      <c r="AG24" s="15" t="n">
        <f aca="false">AA24*N(AD24)</f>
        <v>0</v>
      </c>
      <c r="AH24" s="15" t="n">
        <f aca="false">AA24*N(AE24)</f>
        <v>0</v>
      </c>
      <c r="AI24" s="15" t="n">
        <f aca="false">AA24*N(AF24)</f>
        <v>0</v>
      </c>
      <c r="AJ24" s="15" t="n">
        <f aca="false">AA24*N(R24)</f>
        <v>0</v>
      </c>
      <c r="AK24" s="15" t="n">
        <f aca="false">AB24*N(AD24)</f>
        <v>0</v>
      </c>
      <c r="AL24" s="15" t="n">
        <f aca="false">AB24*N(AE24)</f>
        <v>0</v>
      </c>
      <c r="AM24" s="15" t="n">
        <f aca="false">AB24*N(AF24)</f>
        <v>0</v>
      </c>
      <c r="AN24" s="15" t="n">
        <f aca="false">AB24*N(R24)</f>
        <v>0</v>
      </c>
      <c r="AO24" s="21" t="str">
        <f aca="false">IF(F24&lt;&gt;"Y","n/a",IF(AND(N24&lt;&gt;"",OR(Q24&lt;&gt;"",G24="Other / bench",G24="None"),U24&lt;&gt;""),"OK","Missing"))</f>
        <v>Missing</v>
      </c>
    </row>
    <row r="25" customFormat="false" ht="15" hidden="false" customHeight="false" outlineLevel="0" collapsed="false">
      <c r="A25" s="10" t="s">
        <v>210</v>
      </c>
      <c r="B25" s="10" t="s">
        <v>659</v>
      </c>
      <c r="C25" s="10" t="s">
        <v>674</v>
      </c>
      <c r="D25" s="10" t="s">
        <v>665</v>
      </c>
      <c r="E25" s="21" t="str">
        <f aca="false">IF(A25="","",A25&amp;"|"&amp;D25)</f>
        <v>F04|Dissolution</v>
      </c>
      <c r="F25" s="16" t="s">
        <v>662</v>
      </c>
      <c r="G25" s="16" t="s">
        <v>147</v>
      </c>
      <c r="H25" s="16" t="s">
        <v>672</v>
      </c>
      <c r="I25" s="16" t="n">
        <v>1</v>
      </c>
      <c r="J25" s="16"/>
      <c r="K25" s="14"/>
      <c r="L25" s="14"/>
      <c r="M25" s="14"/>
      <c r="N25" s="14"/>
      <c r="O25" s="14"/>
      <c r="P25" s="18" t="n">
        <f aca="false">IF(N25="",0,IF(OR(M25="",O25=""),N25,(M25+4*N25+O25)/6))</f>
        <v>0</v>
      </c>
      <c r="Q25" s="14"/>
      <c r="R25" s="14"/>
      <c r="S25" s="14"/>
      <c r="T25" s="14"/>
      <c r="U25" s="16"/>
      <c r="V25" s="13"/>
      <c r="W25" s="16" t="s">
        <v>662</v>
      </c>
      <c r="X25" s="16"/>
      <c r="Y25" s="16"/>
      <c r="Z25" s="16"/>
      <c r="AA25" s="22" t="n">
        <f aca="false">IF(F25&lt;&gt;"Y",0,((SUMIF(Products!$E$5:$E$300,A25,Products!$F$5:$F$300)+SUMIF(RM_Lots!$A$5:$A$400,A25,RM_Lots!$D$5:$D$400))+IF(W25="Y",SUMIF(Products!$E$5:$E$300,A25,Products!$G$5:$G$300),0))*(1+N(V25)))</f>
        <v>0</v>
      </c>
      <c r="AB25" s="22" t="n">
        <f aca="false">IF(F25&lt;&gt;"Y",0,((SUMIF(Products!$E$5:$E$300,A25,Products!$K$5:$K$300)+SUMIF(RM_Lots!$A$5:$A$400,A25,RM_Lots!$F$5:$F$400))+IF(W25="Y",SUMIF(Products!$E$5:$E$300,A25,Products!$L$5:$L$300),0))*(1+N(V25)))</f>
        <v>0</v>
      </c>
      <c r="AC25" s="17" t="n">
        <f aca="false">IF(J25="",1,MAX(1,COUNTIFS($J$5:$J$863,J25,$F$5:$F$863,"Y")))</f>
        <v>1</v>
      </c>
      <c r="AD25" s="18" t="n">
        <f aca="false">(MAX(1,N(I25))*(P25+N(S25))+MAX(1,N(I25))*N(K25)/(MAX(1,N(U25))*AC25))*Settings!$B$9</f>
        <v>0</v>
      </c>
      <c r="AE25" s="18" t="n">
        <f aca="false">(MAX(1,N(I25))*N(Q25)+MAX(1,N(I25))*N(L25)/(MAX(1,N(U25))*AC25))*Settings!$B$8</f>
        <v>0</v>
      </c>
      <c r="AF25" s="18" t="n">
        <f aca="false">MAX(1,N(I25))*N(T25)</f>
        <v>0</v>
      </c>
      <c r="AG25" s="15" t="n">
        <f aca="false">AA25*N(AD25)</f>
        <v>0</v>
      </c>
      <c r="AH25" s="15" t="n">
        <f aca="false">AA25*N(AE25)</f>
        <v>0</v>
      </c>
      <c r="AI25" s="15" t="n">
        <f aca="false">AA25*N(AF25)</f>
        <v>0</v>
      </c>
      <c r="AJ25" s="15" t="n">
        <f aca="false">AA25*N(R25)</f>
        <v>0</v>
      </c>
      <c r="AK25" s="15" t="n">
        <f aca="false">AB25*N(AD25)</f>
        <v>0</v>
      </c>
      <c r="AL25" s="15" t="n">
        <f aca="false">AB25*N(AE25)</f>
        <v>0</v>
      </c>
      <c r="AM25" s="15" t="n">
        <f aca="false">AB25*N(AF25)</f>
        <v>0</v>
      </c>
      <c r="AN25" s="15" t="n">
        <f aca="false">AB25*N(R25)</f>
        <v>0</v>
      </c>
      <c r="AO25" s="21" t="str">
        <f aca="false">IF(F25&lt;&gt;"Y","n/a",IF(AND(N25&lt;&gt;"",OR(Q25&lt;&gt;"",G25="Other / bench",G25="None"),U25&lt;&gt;""),"OK","Missing"))</f>
        <v>Missing</v>
      </c>
    </row>
    <row r="26" customFormat="false" ht="15" hidden="false" customHeight="false" outlineLevel="0" collapsed="false">
      <c r="A26" s="10" t="s">
        <v>210</v>
      </c>
      <c r="B26" s="10" t="s">
        <v>659</v>
      </c>
      <c r="C26" s="10" t="s">
        <v>674</v>
      </c>
      <c r="D26" s="10" t="s">
        <v>666</v>
      </c>
      <c r="E26" s="21" t="str">
        <f aca="false">IF(A26="","",A26&amp;"|"&amp;D26)</f>
        <v>F04|Content uniformity</v>
      </c>
      <c r="F26" s="16" t="s">
        <v>662</v>
      </c>
      <c r="G26" s="16" t="s">
        <v>147</v>
      </c>
      <c r="H26" s="16" t="s">
        <v>672</v>
      </c>
      <c r="I26" s="16" t="n">
        <v>1</v>
      </c>
      <c r="J26" s="16"/>
      <c r="K26" s="14"/>
      <c r="L26" s="14"/>
      <c r="M26" s="14"/>
      <c r="N26" s="14"/>
      <c r="O26" s="14"/>
      <c r="P26" s="18" t="n">
        <f aca="false">IF(N26="",0,IF(OR(M26="",O26=""),N26,(M26+4*N26+O26)/6))</f>
        <v>0</v>
      </c>
      <c r="Q26" s="14"/>
      <c r="R26" s="14"/>
      <c r="S26" s="14"/>
      <c r="T26" s="14"/>
      <c r="U26" s="16"/>
      <c r="V26" s="13"/>
      <c r="W26" s="16" t="s">
        <v>667</v>
      </c>
      <c r="X26" s="16"/>
      <c r="Y26" s="16"/>
      <c r="Z26" s="16"/>
      <c r="AA26" s="22" t="n">
        <f aca="false">IF(F26&lt;&gt;"Y",0,((SUMIF(Products!$E$5:$E$300,A26,Products!$F$5:$F$300)+SUMIF(RM_Lots!$A$5:$A$400,A26,RM_Lots!$D$5:$D$400))+IF(W26="Y",SUMIF(Products!$E$5:$E$300,A26,Products!$G$5:$G$300),0))*(1+N(V26)))</f>
        <v>0</v>
      </c>
      <c r="AB26" s="22" t="n">
        <f aca="false">IF(F26&lt;&gt;"Y",0,((SUMIF(Products!$E$5:$E$300,A26,Products!$K$5:$K$300)+SUMIF(RM_Lots!$A$5:$A$400,A26,RM_Lots!$F$5:$F$400))+IF(W26="Y",SUMIF(Products!$E$5:$E$300,A26,Products!$L$5:$L$300),0))*(1+N(V26)))</f>
        <v>0</v>
      </c>
      <c r="AC26" s="17" t="n">
        <f aca="false">IF(J26="",1,MAX(1,COUNTIFS($J$5:$J$863,J26,$F$5:$F$863,"Y")))</f>
        <v>1</v>
      </c>
      <c r="AD26" s="18" t="n">
        <f aca="false">(MAX(1,N(I26))*(P26+N(S26))+MAX(1,N(I26))*N(K26)/(MAX(1,N(U26))*AC26))*Settings!$B$9</f>
        <v>0</v>
      </c>
      <c r="AE26" s="18" t="n">
        <f aca="false">(MAX(1,N(I26))*N(Q26)+MAX(1,N(I26))*N(L26)/(MAX(1,N(U26))*AC26))*Settings!$B$8</f>
        <v>0</v>
      </c>
      <c r="AF26" s="18" t="n">
        <f aca="false">MAX(1,N(I26))*N(T26)</f>
        <v>0</v>
      </c>
      <c r="AG26" s="15" t="n">
        <f aca="false">AA26*N(AD26)</f>
        <v>0</v>
      </c>
      <c r="AH26" s="15" t="n">
        <f aca="false">AA26*N(AE26)</f>
        <v>0</v>
      </c>
      <c r="AI26" s="15" t="n">
        <f aca="false">AA26*N(AF26)</f>
        <v>0</v>
      </c>
      <c r="AJ26" s="15" t="n">
        <f aca="false">AA26*N(R26)</f>
        <v>0</v>
      </c>
      <c r="AK26" s="15" t="n">
        <f aca="false">AB26*N(AD26)</f>
        <v>0</v>
      </c>
      <c r="AL26" s="15" t="n">
        <f aca="false">AB26*N(AE26)</f>
        <v>0</v>
      </c>
      <c r="AM26" s="15" t="n">
        <f aca="false">AB26*N(AF26)</f>
        <v>0</v>
      </c>
      <c r="AN26" s="15" t="n">
        <f aca="false">AB26*N(R26)</f>
        <v>0</v>
      </c>
      <c r="AO26" s="21" t="str">
        <f aca="false">IF(F26&lt;&gt;"Y","n/a",IF(AND(N26&lt;&gt;"",OR(Q26&lt;&gt;"",G26="Other / bench",G26="None"),U26&lt;&gt;""),"OK","Missing"))</f>
        <v>Missing</v>
      </c>
    </row>
    <row r="27" customFormat="false" ht="15" hidden="false" customHeight="false" outlineLevel="0" collapsed="false">
      <c r="A27" s="10" t="s">
        <v>210</v>
      </c>
      <c r="B27" s="10" t="s">
        <v>659</v>
      </c>
      <c r="C27" s="10" t="s">
        <v>674</v>
      </c>
      <c r="D27" s="10" t="s">
        <v>668</v>
      </c>
      <c r="E27" s="21" t="str">
        <f aca="false">IF(A27="","",A27&amp;"|"&amp;D27)</f>
        <v>F04|Identification (if separate from assay)</v>
      </c>
      <c r="F27" s="16" t="s">
        <v>667</v>
      </c>
      <c r="G27" s="16" t="s">
        <v>147</v>
      </c>
      <c r="H27" s="16" t="s">
        <v>672</v>
      </c>
      <c r="I27" s="16" t="n">
        <v>1</v>
      </c>
      <c r="J27" s="16"/>
      <c r="K27" s="14"/>
      <c r="L27" s="14"/>
      <c r="M27" s="14"/>
      <c r="N27" s="14"/>
      <c r="O27" s="14"/>
      <c r="P27" s="18" t="n">
        <f aca="false">IF(N27="",0,IF(OR(M27="",O27=""),N27,(M27+4*N27+O27)/6))</f>
        <v>0</v>
      </c>
      <c r="Q27" s="14"/>
      <c r="R27" s="14"/>
      <c r="S27" s="14"/>
      <c r="T27" s="14"/>
      <c r="U27" s="16"/>
      <c r="V27" s="13"/>
      <c r="W27" s="16" t="s">
        <v>667</v>
      </c>
      <c r="X27" s="16"/>
      <c r="Y27" s="16"/>
      <c r="Z27" s="16"/>
      <c r="AA27" s="22" t="n">
        <f aca="false">IF(F27&lt;&gt;"Y",0,((SUMIF(Products!$E$5:$E$300,A27,Products!$F$5:$F$300)+SUMIF(RM_Lots!$A$5:$A$400,A27,RM_Lots!$D$5:$D$400))+IF(W27="Y",SUMIF(Products!$E$5:$E$300,A27,Products!$G$5:$G$300),0))*(1+N(V27)))</f>
        <v>0</v>
      </c>
      <c r="AB27" s="22" t="n">
        <f aca="false">IF(F27&lt;&gt;"Y",0,((SUMIF(Products!$E$5:$E$300,A27,Products!$K$5:$K$300)+SUMIF(RM_Lots!$A$5:$A$400,A27,RM_Lots!$F$5:$F$400))+IF(W27="Y",SUMIF(Products!$E$5:$E$300,A27,Products!$L$5:$L$300),0))*(1+N(V27)))</f>
        <v>0</v>
      </c>
      <c r="AC27" s="17" t="n">
        <f aca="false">IF(J27="",1,MAX(1,COUNTIFS($J$5:$J$863,J27,$F$5:$F$863,"Y")))</f>
        <v>1</v>
      </c>
      <c r="AD27" s="18" t="n">
        <f aca="false">(MAX(1,N(I27))*(P27+N(S27))+MAX(1,N(I27))*N(K27)/(MAX(1,N(U27))*AC27))*Settings!$B$9</f>
        <v>0</v>
      </c>
      <c r="AE27" s="18" t="n">
        <f aca="false">(MAX(1,N(I27))*N(Q27)+MAX(1,N(I27))*N(L27)/(MAX(1,N(U27))*AC27))*Settings!$B$8</f>
        <v>0</v>
      </c>
      <c r="AF27" s="18" t="n">
        <f aca="false">MAX(1,N(I27))*N(T27)</f>
        <v>0</v>
      </c>
      <c r="AG27" s="15" t="n">
        <f aca="false">AA27*N(AD27)</f>
        <v>0</v>
      </c>
      <c r="AH27" s="15" t="n">
        <f aca="false">AA27*N(AE27)</f>
        <v>0</v>
      </c>
      <c r="AI27" s="15" t="n">
        <f aca="false">AA27*N(AF27)</f>
        <v>0</v>
      </c>
      <c r="AJ27" s="15" t="n">
        <f aca="false">AA27*N(R27)</f>
        <v>0</v>
      </c>
      <c r="AK27" s="15" t="n">
        <f aca="false">AB27*N(AD27)</f>
        <v>0</v>
      </c>
      <c r="AL27" s="15" t="n">
        <f aca="false">AB27*N(AE27)</f>
        <v>0</v>
      </c>
      <c r="AM27" s="15" t="n">
        <f aca="false">AB27*N(AF27)</f>
        <v>0</v>
      </c>
      <c r="AN27" s="15" t="n">
        <f aca="false">AB27*N(R27)</f>
        <v>0</v>
      </c>
      <c r="AO27" s="21" t="str">
        <f aca="false">IF(F27&lt;&gt;"Y","n/a",IF(AND(N27&lt;&gt;"",OR(Q27&lt;&gt;"",G27="Other / bench",G27="None"),U27&lt;&gt;""),"OK","Missing"))</f>
        <v>n/a</v>
      </c>
    </row>
    <row r="28" customFormat="false" ht="15" hidden="false" customHeight="false" outlineLevel="0" collapsed="false">
      <c r="A28" s="10" t="s">
        <v>210</v>
      </c>
      <c r="B28" s="10" t="s">
        <v>659</v>
      </c>
      <c r="C28" s="10" t="s">
        <v>674</v>
      </c>
      <c r="D28" s="10" t="s">
        <v>669</v>
      </c>
      <c r="E28" s="21" t="str">
        <f aca="false">IF(A28="","",A28&amp;"|"&amp;D28)</f>
        <v>F04|Other tests (non-HPLC: physical, LOD/KF, disintegration, pH, micro...)</v>
      </c>
      <c r="F28" s="16" t="s">
        <v>662</v>
      </c>
      <c r="G28" s="16" t="s">
        <v>670</v>
      </c>
      <c r="H28" s="16" t="s">
        <v>672</v>
      </c>
      <c r="I28" s="16" t="n">
        <v>1</v>
      </c>
      <c r="J28" s="16"/>
      <c r="K28" s="14"/>
      <c r="L28" s="14"/>
      <c r="M28" s="14"/>
      <c r="N28" s="14"/>
      <c r="O28" s="14"/>
      <c r="P28" s="18" t="n">
        <f aca="false">IF(N28="",0,IF(OR(M28="",O28=""),N28,(M28+4*N28+O28)/6))</f>
        <v>0</v>
      </c>
      <c r="Q28" s="14"/>
      <c r="R28" s="14"/>
      <c r="S28" s="14"/>
      <c r="T28" s="14"/>
      <c r="U28" s="16"/>
      <c r="V28" s="13"/>
      <c r="W28" s="16" t="s">
        <v>662</v>
      </c>
      <c r="X28" s="16"/>
      <c r="Y28" s="16"/>
      <c r="Z28" s="16"/>
      <c r="AA28" s="22" t="n">
        <f aca="false">IF(F28&lt;&gt;"Y",0,((SUMIF(Products!$E$5:$E$300,A28,Products!$F$5:$F$300)+SUMIF(RM_Lots!$A$5:$A$400,A28,RM_Lots!$D$5:$D$400))+IF(W28="Y",SUMIF(Products!$E$5:$E$300,A28,Products!$G$5:$G$300),0))*(1+N(V28)))</f>
        <v>0</v>
      </c>
      <c r="AB28" s="22" t="n">
        <f aca="false">IF(F28&lt;&gt;"Y",0,((SUMIF(Products!$E$5:$E$300,A28,Products!$K$5:$K$300)+SUMIF(RM_Lots!$A$5:$A$400,A28,RM_Lots!$F$5:$F$400))+IF(W28="Y",SUMIF(Products!$E$5:$E$300,A28,Products!$L$5:$L$300),0))*(1+N(V28)))</f>
        <v>0</v>
      </c>
      <c r="AC28" s="17" t="n">
        <f aca="false">IF(J28="",1,MAX(1,COUNTIFS($J$5:$J$863,J28,$F$5:$F$863,"Y")))</f>
        <v>1</v>
      </c>
      <c r="AD28" s="18" t="n">
        <f aca="false">(MAX(1,N(I28))*(P28+N(S28))+MAX(1,N(I28))*N(K28)/(MAX(1,N(U28))*AC28))*Settings!$B$9</f>
        <v>0</v>
      </c>
      <c r="AE28" s="18" t="n">
        <f aca="false">(MAX(1,N(I28))*N(Q28)+MAX(1,N(I28))*N(L28)/(MAX(1,N(U28))*AC28))*Settings!$B$8</f>
        <v>0</v>
      </c>
      <c r="AF28" s="18" t="n">
        <f aca="false">MAX(1,N(I28))*N(T28)</f>
        <v>0</v>
      </c>
      <c r="AG28" s="15" t="n">
        <f aca="false">AA28*N(AD28)</f>
        <v>0</v>
      </c>
      <c r="AH28" s="15" t="n">
        <f aca="false">AA28*N(AE28)</f>
        <v>0</v>
      </c>
      <c r="AI28" s="15" t="n">
        <f aca="false">AA28*N(AF28)</f>
        <v>0</v>
      </c>
      <c r="AJ28" s="15" t="n">
        <f aca="false">AA28*N(R28)</f>
        <v>0</v>
      </c>
      <c r="AK28" s="15" t="n">
        <f aca="false">AB28*N(AD28)</f>
        <v>0</v>
      </c>
      <c r="AL28" s="15" t="n">
        <f aca="false">AB28*N(AE28)</f>
        <v>0</v>
      </c>
      <c r="AM28" s="15" t="n">
        <f aca="false">AB28*N(AF28)</f>
        <v>0</v>
      </c>
      <c r="AN28" s="15" t="n">
        <f aca="false">AB28*N(R28)</f>
        <v>0</v>
      </c>
      <c r="AO28" s="21" t="str">
        <f aca="false">IF(F28&lt;&gt;"Y","n/a",IF(AND(N28&lt;&gt;"",OR(Q28&lt;&gt;"",G28="Other / bench",G28="None"),U28&lt;&gt;""),"OK","Missing"))</f>
        <v>Missing</v>
      </c>
    </row>
    <row r="29" customFormat="false" ht="15" hidden="false" customHeight="false" outlineLevel="0" collapsed="false">
      <c r="A29" s="10" t="s">
        <v>215</v>
      </c>
      <c r="B29" s="10" t="s">
        <v>659</v>
      </c>
      <c r="C29" s="10" t="s">
        <v>675</v>
      </c>
      <c r="D29" s="10" t="s">
        <v>661</v>
      </c>
      <c r="E29" s="21" t="str">
        <f aca="false">IF(A29="","",A29&amp;"|"&amp;D29)</f>
        <v>F05|Assay</v>
      </c>
      <c r="F29" s="16" t="s">
        <v>662</v>
      </c>
      <c r="G29" s="16" t="s">
        <v>147</v>
      </c>
      <c r="H29" s="16" t="s">
        <v>663</v>
      </c>
      <c r="I29" s="16" t="n">
        <v>1</v>
      </c>
      <c r="J29" s="16"/>
      <c r="K29" s="14"/>
      <c r="L29" s="14"/>
      <c r="M29" s="14"/>
      <c r="N29" s="14"/>
      <c r="O29" s="14"/>
      <c r="P29" s="18" t="n">
        <f aca="false">IF(N29="",0,IF(OR(M29="",O29=""),N29,(M29+4*N29+O29)/6))</f>
        <v>0</v>
      </c>
      <c r="Q29" s="14"/>
      <c r="R29" s="14"/>
      <c r="S29" s="14"/>
      <c r="T29" s="14"/>
      <c r="U29" s="16"/>
      <c r="V29" s="13"/>
      <c r="W29" s="16" t="s">
        <v>662</v>
      </c>
      <c r="X29" s="16"/>
      <c r="Y29" s="16"/>
      <c r="Z29" s="16"/>
      <c r="AA29" s="22" t="n">
        <f aca="false">IF(F29&lt;&gt;"Y",0,((SUMIF(Products!$E$5:$E$300,A29,Products!$F$5:$F$300)+SUMIF(RM_Lots!$A$5:$A$400,A29,RM_Lots!$D$5:$D$400))+IF(W29="Y",SUMIF(Products!$E$5:$E$300,A29,Products!$G$5:$G$300),0))*(1+N(V29)))</f>
        <v>0</v>
      </c>
      <c r="AB29" s="22" t="n">
        <f aca="false">IF(F29&lt;&gt;"Y",0,((SUMIF(Products!$E$5:$E$300,A29,Products!$K$5:$K$300)+SUMIF(RM_Lots!$A$5:$A$400,A29,RM_Lots!$F$5:$F$400))+IF(W29="Y",SUMIF(Products!$E$5:$E$300,A29,Products!$L$5:$L$300),0))*(1+N(V29)))</f>
        <v>0</v>
      </c>
      <c r="AC29" s="17" t="n">
        <f aca="false">IF(J29="",1,MAX(1,COUNTIFS($J$5:$J$863,J29,$F$5:$F$863,"Y")))</f>
        <v>1</v>
      </c>
      <c r="AD29" s="18" t="n">
        <f aca="false">(MAX(1,N(I29))*(P29+N(S29))+MAX(1,N(I29))*N(K29)/(MAX(1,N(U29))*AC29))*Settings!$B$9</f>
        <v>0</v>
      </c>
      <c r="AE29" s="18" t="n">
        <f aca="false">(MAX(1,N(I29))*N(Q29)+MAX(1,N(I29))*N(L29)/(MAX(1,N(U29))*AC29))*Settings!$B$8</f>
        <v>0</v>
      </c>
      <c r="AF29" s="18" t="n">
        <f aca="false">MAX(1,N(I29))*N(T29)</f>
        <v>0</v>
      </c>
      <c r="AG29" s="15" t="n">
        <f aca="false">AA29*N(AD29)</f>
        <v>0</v>
      </c>
      <c r="AH29" s="15" t="n">
        <f aca="false">AA29*N(AE29)</f>
        <v>0</v>
      </c>
      <c r="AI29" s="15" t="n">
        <f aca="false">AA29*N(AF29)</f>
        <v>0</v>
      </c>
      <c r="AJ29" s="15" t="n">
        <f aca="false">AA29*N(R29)</f>
        <v>0</v>
      </c>
      <c r="AK29" s="15" t="n">
        <f aca="false">AB29*N(AD29)</f>
        <v>0</v>
      </c>
      <c r="AL29" s="15" t="n">
        <f aca="false">AB29*N(AE29)</f>
        <v>0</v>
      </c>
      <c r="AM29" s="15" t="n">
        <f aca="false">AB29*N(AF29)</f>
        <v>0</v>
      </c>
      <c r="AN29" s="15" t="n">
        <f aca="false">AB29*N(R29)</f>
        <v>0</v>
      </c>
      <c r="AO29" s="21" t="str">
        <f aca="false">IF(F29&lt;&gt;"Y","n/a",IF(AND(N29&lt;&gt;"",OR(Q29&lt;&gt;"",G29="Other / bench",G29="None"),U29&lt;&gt;""),"OK","Missing"))</f>
        <v>Missing</v>
      </c>
    </row>
    <row r="30" customFormat="false" ht="15" hidden="false" customHeight="false" outlineLevel="0" collapsed="false">
      <c r="A30" s="10" t="s">
        <v>215</v>
      </c>
      <c r="B30" s="10" t="s">
        <v>659</v>
      </c>
      <c r="C30" s="10" t="s">
        <v>675</v>
      </c>
      <c r="D30" s="10" t="s">
        <v>664</v>
      </c>
      <c r="E30" s="21" t="str">
        <f aca="false">IF(A30="","",A30&amp;"|"&amp;D30)</f>
        <v>F05|Related substances / impurities</v>
      </c>
      <c r="F30" s="16" t="s">
        <v>662</v>
      </c>
      <c r="G30" s="16" t="s">
        <v>147</v>
      </c>
      <c r="H30" s="16" t="s">
        <v>663</v>
      </c>
      <c r="I30" s="16" t="n">
        <v>1</v>
      </c>
      <c r="J30" s="16"/>
      <c r="K30" s="14"/>
      <c r="L30" s="14"/>
      <c r="M30" s="14"/>
      <c r="N30" s="14"/>
      <c r="O30" s="14"/>
      <c r="P30" s="18" t="n">
        <f aca="false">IF(N30="",0,IF(OR(M30="",O30=""),N30,(M30+4*N30+O30)/6))</f>
        <v>0</v>
      </c>
      <c r="Q30" s="14"/>
      <c r="R30" s="14"/>
      <c r="S30" s="14"/>
      <c r="T30" s="14"/>
      <c r="U30" s="16"/>
      <c r="V30" s="13"/>
      <c r="W30" s="16" t="s">
        <v>662</v>
      </c>
      <c r="X30" s="16"/>
      <c r="Y30" s="16"/>
      <c r="Z30" s="16"/>
      <c r="AA30" s="22" t="n">
        <f aca="false">IF(F30&lt;&gt;"Y",0,((SUMIF(Products!$E$5:$E$300,A30,Products!$F$5:$F$300)+SUMIF(RM_Lots!$A$5:$A$400,A30,RM_Lots!$D$5:$D$400))+IF(W30="Y",SUMIF(Products!$E$5:$E$300,A30,Products!$G$5:$G$300),0))*(1+N(V30)))</f>
        <v>0</v>
      </c>
      <c r="AB30" s="22" t="n">
        <f aca="false">IF(F30&lt;&gt;"Y",0,((SUMIF(Products!$E$5:$E$300,A30,Products!$K$5:$K$300)+SUMIF(RM_Lots!$A$5:$A$400,A30,RM_Lots!$F$5:$F$400))+IF(W30="Y",SUMIF(Products!$E$5:$E$300,A30,Products!$L$5:$L$300),0))*(1+N(V30)))</f>
        <v>0</v>
      </c>
      <c r="AC30" s="17" t="n">
        <f aca="false">IF(J30="",1,MAX(1,COUNTIFS($J$5:$J$863,J30,$F$5:$F$863,"Y")))</f>
        <v>1</v>
      </c>
      <c r="AD30" s="18" t="n">
        <f aca="false">(MAX(1,N(I30))*(P30+N(S30))+MAX(1,N(I30))*N(K30)/(MAX(1,N(U30))*AC30))*Settings!$B$9</f>
        <v>0</v>
      </c>
      <c r="AE30" s="18" t="n">
        <f aca="false">(MAX(1,N(I30))*N(Q30)+MAX(1,N(I30))*N(L30)/(MAX(1,N(U30))*AC30))*Settings!$B$8</f>
        <v>0</v>
      </c>
      <c r="AF30" s="18" t="n">
        <f aca="false">MAX(1,N(I30))*N(T30)</f>
        <v>0</v>
      </c>
      <c r="AG30" s="15" t="n">
        <f aca="false">AA30*N(AD30)</f>
        <v>0</v>
      </c>
      <c r="AH30" s="15" t="n">
        <f aca="false">AA30*N(AE30)</f>
        <v>0</v>
      </c>
      <c r="AI30" s="15" t="n">
        <f aca="false">AA30*N(AF30)</f>
        <v>0</v>
      </c>
      <c r="AJ30" s="15" t="n">
        <f aca="false">AA30*N(R30)</f>
        <v>0</v>
      </c>
      <c r="AK30" s="15" t="n">
        <f aca="false">AB30*N(AD30)</f>
        <v>0</v>
      </c>
      <c r="AL30" s="15" t="n">
        <f aca="false">AB30*N(AE30)</f>
        <v>0</v>
      </c>
      <c r="AM30" s="15" t="n">
        <f aca="false">AB30*N(AF30)</f>
        <v>0</v>
      </c>
      <c r="AN30" s="15" t="n">
        <f aca="false">AB30*N(R30)</f>
        <v>0</v>
      </c>
      <c r="AO30" s="21" t="str">
        <f aca="false">IF(F30&lt;&gt;"Y","n/a",IF(AND(N30&lt;&gt;"",OR(Q30&lt;&gt;"",G30="Other / bench",G30="None"),U30&lt;&gt;""),"OK","Missing"))</f>
        <v>Missing</v>
      </c>
    </row>
    <row r="31" customFormat="false" ht="15" hidden="false" customHeight="false" outlineLevel="0" collapsed="false">
      <c r="A31" s="10" t="s">
        <v>215</v>
      </c>
      <c r="B31" s="10" t="s">
        <v>659</v>
      </c>
      <c r="C31" s="10" t="s">
        <v>675</v>
      </c>
      <c r="D31" s="10" t="s">
        <v>665</v>
      </c>
      <c r="E31" s="21" t="str">
        <f aca="false">IF(A31="","",A31&amp;"|"&amp;D31)</f>
        <v>F05|Dissolution</v>
      </c>
      <c r="F31" s="16" t="s">
        <v>662</v>
      </c>
      <c r="G31" s="16" t="s">
        <v>147</v>
      </c>
      <c r="H31" s="16" t="s">
        <v>663</v>
      </c>
      <c r="I31" s="16" t="n">
        <v>1</v>
      </c>
      <c r="J31" s="16"/>
      <c r="K31" s="14"/>
      <c r="L31" s="14"/>
      <c r="M31" s="14"/>
      <c r="N31" s="14"/>
      <c r="O31" s="14"/>
      <c r="P31" s="18" t="n">
        <f aca="false">IF(N31="",0,IF(OR(M31="",O31=""),N31,(M31+4*N31+O31)/6))</f>
        <v>0</v>
      </c>
      <c r="Q31" s="14"/>
      <c r="R31" s="14"/>
      <c r="S31" s="14"/>
      <c r="T31" s="14"/>
      <c r="U31" s="16"/>
      <c r="V31" s="13"/>
      <c r="W31" s="16" t="s">
        <v>662</v>
      </c>
      <c r="X31" s="16"/>
      <c r="Y31" s="16"/>
      <c r="Z31" s="16"/>
      <c r="AA31" s="22" t="n">
        <f aca="false">IF(F31&lt;&gt;"Y",0,((SUMIF(Products!$E$5:$E$300,A31,Products!$F$5:$F$300)+SUMIF(RM_Lots!$A$5:$A$400,A31,RM_Lots!$D$5:$D$400))+IF(W31="Y",SUMIF(Products!$E$5:$E$300,A31,Products!$G$5:$G$300),0))*(1+N(V31)))</f>
        <v>0</v>
      </c>
      <c r="AB31" s="22" t="n">
        <f aca="false">IF(F31&lt;&gt;"Y",0,((SUMIF(Products!$E$5:$E$300,A31,Products!$K$5:$K$300)+SUMIF(RM_Lots!$A$5:$A$400,A31,RM_Lots!$F$5:$F$400))+IF(W31="Y",SUMIF(Products!$E$5:$E$300,A31,Products!$L$5:$L$300),0))*(1+N(V31)))</f>
        <v>0</v>
      </c>
      <c r="AC31" s="17" t="n">
        <f aca="false">IF(J31="",1,MAX(1,COUNTIFS($J$5:$J$863,J31,$F$5:$F$863,"Y")))</f>
        <v>1</v>
      </c>
      <c r="AD31" s="18" t="n">
        <f aca="false">(MAX(1,N(I31))*(P31+N(S31))+MAX(1,N(I31))*N(K31)/(MAX(1,N(U31))*AC31))*Settings!$B$9</f>
        <v>0</v>
      </c>
      <c r="AE31" s="18" t="n">
        <f aca="false">(MAX(1,N(I31))*N(Q31)+MAX(1,N(I31))*N(L31)/(MAX(1,N(U31))*AC31))*Settings!$B$8</f>
        <v>0</v>
      </c>
      <c r="AF31" s="18" t="n">
        <f aca="false">MAX(1,N(I31))*N(T31)</f>
        <v>0</v>
      </c>
      <c r="AG31" s="15" t="n">
        <f aca="false">AA31*N(AD31)</f>
        <v>0</v>
      </c>
      <c r="AH31" s="15" t="n">
        <f aca="false">AA31*N(AE31)</f>
        <v>0</v>
      </c>
      <c r="AI31" s="15" t="n">
        <f aca="false">AA31*N(AF31)</f>
        <v>0</v>
      </c>
      <c r="AJ31" s="15" t="n">
        <f aca="false">AA31*N(R31)</f>
        <v>0</v>
      </c>
      <c r="AK31" s="15" t="n">
        <f aca="false">AB31*N(AD31)</f>
        <v>0</v>
      </c>
      <c r="AL31" s="15" t="n">
        <f aca="false">AB31*N(AE31)</f>
        <v>0</v>
      </c>
      <c r="AM31" s="15" t="n">
        <f aca="false">AB31*N(AF31)</f>
        <v>0</v>
      </c>
      <c r="AN31" s="15" t="n">
        <f aca="false">AB31*N(R31)</f>
        <v>0</v>
      </c>
      <c r="AO31" s="21" t="str">
        <f aca="false">IF(F31&lt;&gt;"Y","n/a",IF(AND(N31&lt;&gt;"",OR(Q31&lt;&gt;"",G31="Other / bench",G31="None"),U31&lt;&gt;""),"OK","Missing"))</f>
        <v>Missing</v>
      </c>
    </row>
    <row r="32" customFormat="false" ht="15" hidden="false" customHeight="false" outlineLevel="0" collapsed="false">
      <c r="A32" s="10" t="s">
        <v>215</v>
      </c>
      <c r="B32" s="10" t="s">
        <v>659</v>
      </c>
      <c r="C32" s="10" t="s">
        <v>675</v>
      </c>
      <c r="D32" s="10" t="s">
        <v>666</v>
      </c>
      <c r="E32" s="21" t="str">
        <f aca="false">IF(A32="","",A32&amp;"|"&amp;D32)</f>
        <v>F05|Content uniformity</v>
      </c>
      <c r="F32" s="16" t="s">
        <v>662</v>
      </c>
      <c r="G32" s="16" t="s">
        <v>147</v>
      </c>
      <c r="H32" s="16" t="s">
        <v>663</v>
      </c>
      <c r="I32" s="16" t="n">
        <v>1</v>
      </c>
      <c r="J32" s="16"/>
      <c r="K32" s="14"/>
      <c r="L32" s="14"/>
      <c r="M32" s="14"/>
      <c r="N32" s="14"/>
      <c r="O32" s="14"/>
      <c r="P32" s="18" t="n">
        <f aca="false">IF(N32="",0,IF(OR(M32="",O32=""),N32,(M32+4*N32+O32)/6))</f>
        <v>0</v>
      </c>
      <c r="Q32" s="14"/>
      <c r="R32" s="14"/>
      <c r="S32" s="14"/>
      <c r="T32" s="14"/>
      <c r="U32" s="16"/>
      <c r="V32" s="13"/>
      <c r="W32" s="16" t="s">
        <v>667</v>
      </c>
      <c r="X32" s="16"/>
      <c r="Y32" s="16"/>
      <c r="Z32" s="16"/>
      <c r="AA32" s="22" t="n">
        <f aca="false">IF(F32&lt;&gt;"Y",0,((SUMIF(Products!$E$5:$E$300,A32,Products!$F$5:$F$300)+SUMIF(RM_Lots!$A$5:$A$400,A32,RM_Lots!$D$5:$D$400))+IF(W32="Y",SUMIF(Products!$E$5:$E$300,A32,Products!$G$5:$G$300),0))*(1+N(V32)))</f>
        <v>0</v>
      </c>
      <c r="AB32" s="22" t="n">
        <f aca="false">IF(F32&lt;&gt;"Y",0,((SUMIF(Products!$E$5:$E$300,A32,Products!$K$5:$K$300)+SUMIF(RM_Lots!$A$5:$A$400,A32,RM_Lots!$F$5:$F$400))+IF(W32="Y",SUMIF(Products!$E$5:$E$300,A32,Products!$L$5:$L$300),0))*(1+N(V32)))</f>
        <v>0</v>
      </c>
      <c r="AC32" s="17" t="n">
        <f aca="false">IF(J32="",1,MAX(1,COUNTIFS($J$5:$J$863,J32,$F$5:$F$863,"Y")))</f>
        <v>1</v>
      </c>
      <c r="AD32" s="18" t="n">
        <f aca="false">(MAX(1,N(I32))*(P32+N(S32))+MAX(1,N(I32))*N(K32)/(MAX(1,N(U32))*AC32))*Settings!$B$9</f>
        <v>0</v>
      </c>
      <c r="AE32" s="18" t="n">
        <f aca="false">(MAX(1,N(I32))*N(Q32)+MAX(1,N(I32))*N(L32)/(MAX(1,N(U32))*AC32))*Settings!$B$8</f>
        <v>0</v>
      </c>
      <c r="AF32" s="18" t="n">
        <f aca="false">MAX(1,N(I32))*N(T32)</f>
        <v>0</v>
      </c>
      <c r="AG32" s="15" t="n">
        <f aca="false">AA32*N(AD32)</f>
        <v>0</v>
      </c>
      <c r="AH32" s="15" t="n">
        <f aca="false">AA32*N(AE32)</f>
        <v>0</v>
      </c>
      <c r="AI32" s="15" t="n">
        <f aca="false">AA32*N(AF32)</f>
        <v>0</v>
      </c>
      <c r="AJ32" s="15" t="n">
        <f aca="false">AA32*N(R32)</f>
        <v>0</v>
      </c>
      <c r="AK32" s="15" t="n">
        <f aca="false">AB32*N(AD32)</f>
        <v>0</v>
      </c>
      <c r="AL32" s="15" t="n">
        <f aca="false">AB32*N(AE32)</f>
        <v>0</v>
      </c>
      <c r="AM32" s="15" t="n">
        <f aca="false">AB32*N(AF32)</f>
        <v>0</v>
      </c>
      <c r="AN32" s="15" t="n">
        <f aca="false">AB32*N(R32)</f>
        <v>0</v>
      </c>
      <c r="AO32" s="21" t="str">
        <f aca="false">IF(F32&lt;&gt;"Y","n/a",IF(AND(N32&lt;&gt;"",OR(Q32&lt;&gt;"",G32="Other / bench",G32="None"),U32&lt;&gt;""),"OK","Missing"))</f>
        <v>Missing</v>
      </c>
    </row>
    <row r="33" customFormat="false" ht="15" hidden="false" customHeight="false" outlineLevel="0" collapsed="false">
      <c r="A33" s="10" t="s">
        <v>215</v>
      </c>
      <c r="B33" s="10" t="s">
        <v>659</v>
      </c>
      <c r="C33" s="10" t="s">
        <v>675</v>
      </c>
      <c r="D33" s="10" t="s">
        <v>668</v>
      </c>
      <c r="E33" s="21" t="str">
        <f aca="false">IF(A33="","",A33&amp;"|"&amp;D33)</f>
        <v>F05|Identification (if separate from assay)</v>
      </c>
      <c r="F33" s="16" t="s">
        <v>667</v>
      </c>
      <c r="G33" s="16" t="s">
        <v>147</v>
      </c>
      <c r="H33" s="16" t="s">
        <v>663</v>
      </c>
      <c r="I33" s="16" t="n">
        <v>1</v>
      </c>
      <c r="J33" s="16"/>
      <c r="K33" s="14"/>
      <c r="L33" s="14"/>
      <c r="M33" s="14"/>
      <c r="N33" s="14"/>
      <c r="O33" s="14"/>
      <c r="P33" s="18" t="n">
        <f aca="false">IF(N33="",0,IF(OR(M33="",O33=""),N33,(M33+4*N33+O33)/6))</f>
        <v>0</v>
      </c>
      <c r="Q33" s="14"/>
      <c r="R33" s="14"/>
      <c r="S33" s="14"/>
      <c r="T33" s="14"/>
      <c r="U33" s="16"/>
      <c r="V33" s="13"/>
      <c r="W33" s="16" t="s">
        <v>667</v>
      </c>
      <c r="X33" s="16"/>
      <c r="Y33" s="16"/>
      <c r="Z33" s="16"/>
      <c r="AA33" s="22" t="n">
        <f aca="false">IF(F33&lt;&gt;"Y",0,((SUMIF(Products!$E$5:$E$300,A33,Products!$F$5:$F$300)+SUMIF(RM_Lots!$A$5:$A$400,A33,RM_Lots!$D$5:$D$400))+IF(W33="Y",SUMIF(Products!$E$5:$E$300,A33,Products!$G$5:$G$300),0))*(1+N(V33)))</f>
        <v>0</v>
      </c>
      <c r="AB33" s="22" t="n">
        <f aca="false">IF(F33&lt;&gt;"Y",0,((SUMIF(Products!$E$5:$E$300,A33,Products!$K$5:$K$300)+SUMIF(RM_Lots!$A$5:$A$400,A33,RM_Lots!$F$5:$F$400))+IF(W33="Y",SUMIF(Products!$E$5:$E$300,A33,Products!$L$5:$L$300),0))*(1+N(V33)))</f>
        <v>0</v>
      </c>
      <c r="AC33" s="17" t="n">
        <f aca="false">IF(J33="",1,MAX(1,COUNTIFS($J$5:$J$863,J33,$F$5:$F$863,"Y")))</f>
        <v>1</v>
      </c>
      <c r="AD33" s="18" t="n">
        <f aca="false">(MAX(1,N(I33))*(P33+N(S33))+MAX(1,N(I33))*N(K33)/(MAX(1,N(U33))*AC33))*Settings!$B$9</f>
        <v>0</v>
      </c>
      <c r="AE33" s="18" t="n">
        <f aca="false">(MAX(1,N(I33))*N(Q33)+MAX(1,N(I33))*N(L33)/(MAX(1,N(U33))*AC33))*Settings!$B$8</f>
        <v>0</v>
      </c>
      <c r="AF33" s="18" t="n">
        <f aca="false">MAX(1,N(I33))*N(T33)</f>
        <v>0</v>
      </c>
      <c r="AG33" s="15" t="n">
        <f aca="false">AA33*N(AD33)</f>
        <v>0</v>
      </c>
      <c r="AH33" s="15" t="n">
        <f aca="false">AA33*N(AE33)</f>
        <v>0</v>
      </c>
      <c r="AI33" s="15" t="n">
        <f aca="false">AA33*N(AF33)</f>
        <v>0</v>
      </c>
      <c r="AJ33" s="15" t="n">
        <f aca="false">AA33*N(R33)</f>
        <v>0</v>
      </c>
      <c r="AK33" s="15" t="n">
        <f aca="false">AB33*N(AD33)</f>
        <v>0</v>
      </c>
      <c r="AL33" s="15" t="n">
        <f aca="false">AB33*N(AE33)</f>
        <v>0</v>
      </c>
      <c r="AM33" s="15" t="n">
        <f aca="false">AB33*N(AF33)</f>
        <v>0</v>
      </c>
      <c r="AN33" s="15" t="n">
        <f aca="false">AB33*N(R33)</f>
        <v>0</v>
      </c>
      <c r="AO33" s="21" t="str">
        <f aca="false">IF(F33&lt;&gt;"Y","n/a",IF(AND(N33&lt;&gt;"",OR(Q33&lt;&gt;"",G33="Other / bench",G33="None"),U33&lt;&gt;""),"OK","Missing"))</f>
        <v>n/a</v>
      </c>
    </row>
    <row r="34" customFormat="false" ht="15" hidden="false" customHeight="false" outlineLevel="0" collapsed="false">
      <c r="A34" s="10" t="s">
        <v>215</v>
      </c>
      <c r="B34" s="10" t="s">
        <v>659</v>
      </c>
      <c r="C34" s="10" t="s">
        <v>675</v>
      </c>
      <c r="D34" s="10" t="s">
        <v>669</v>
      </c>
      <c r="E34" s="21" t="str">
        <f aca="false">IF(A34="","",A34&amp;"|"&amp;D34)</f>
        <v>F05|Other tests (non-HPLC: physical, LOD/KF, disintegration, pH, micro...)</v>
      </c>
      <c r="F34" s="16" t="s">
        <v>662</v>
      </c>
      <c r="G34" s="16" t="s">
        <v>670</v>
      </c>
      <c r="H34" s="16" t="s">
        <v>663</v>
      </c>
      <c r="I34" s="16" t="n">
        <v>1</v>
      </c>
      <c r="J34" s="16"/>
      <c r="K34" s="14"/>
      <c r="L34" s="14"/>
      <c r="M34" s="14"/>
      <c r="N34" s="14"/>
      <c r="O34" s="14"/>
      <c r="P34" s="18" t="n">
        <f aca="false">IF(N34="",0,IF(OR(M34="",O34=""),N34,(M34+4*N34+O34)/6))</f>
        <v>0</v>
      </c>
      <c r="Q34" s="14"/>
      <c r="R34" s="14"/>
      <c r="S34" s="14"/>
      <c r="T34" s="14"/>
      <c r="U34" s="16"/>
      <c r="V34" s="13"/>
      <c r="W34" s="16" t="s">
        <v>662</v>
      </c>
      <c r="X34" s="16"/>
      <c r="Y34" s="16"/>
      <c r="Z34" s="16"/>
      <c r="AA34" s="22" t="n">
        <f aca="false">IF(F34&lt;&gt;"Y",0,((SUMIF(Products!$E$5:$E$300,A34,Products!$F$5:$F$300)+SUMIF(RM_Lots!$A$5:$A$400,A34,RM_Lots!$D$5:$D$400))+IF(W34="Y",SUMIF(Products!$E$5:$E$300,A34,Products!$G$5:$G$300),0))*(1+N(V34)))</f>
        <v>0</v>
      </c>
      <c r="AB34" s="22" t="n">
        <f aca="false">IF(F34&lt;&gt;"Y",0,((SUMIF(Products!$E$5:$E$300,A34,Products!$K$5:$K$300)+SUMIF(RM_Lots!$A$5:$A$400,A34,RM_Lots!$F$5:$F$400))+IF(W34="Y",SUMIF(Products!$E$5:$E$300,A34,Products!$L$5:$L$300),0))*(1+N(V34)))</f>
        <v>0</v>
      </c>
      <c r="AC34" s="17" t="n">
        <f aca="false">IF(J34="",1,MAX(1,COUNTIFS($J$5:$J$863,J34,$F$5:$F$863,"Y")))</f>
        <v>1</v>
      </c>
      <c r="AD34" s="18" t="n">
        <f aca="false">(MAX(1,N(I34))*(P34+N(S34))+MAX(1,N(I34))*N(K34)/(MAX(1,N(U34))*AC34))*Settings!$B$9</f>
        <v>0</v>
      </c>
      <c r="AE34" s="18" t="n">
        <f aca="false">(MAX(1,N(I34))*N(Q34)+MAX(1,N(I34))*N(L34)/(MAX(1,N(U34))*AC34))*Settings!$B$8</f>
        <v>0</v>
      </c>
      <c r="AF34" s="18" t="n">
        <f aca="false">MAX(1,N(I34))*N(T34)</f>
        <v>0</v>
      </c>
      <c r="AG34" s="15" t="n">
        <f aca="false">AA34*N(AD34)</f>
        <v>0</v>
      </c>
      <c r="AH34" s="15" t="n">
        <f aca="false">AA34*N(AE34)</f>
        <v>0</v>
      </c>
      <c r="AI34" s="15" t="n">
        <f aca="false">AA34*N(AF34)</f>
        <v>0</v>
      </c>
      <c r="AJ34" s="15" t="n">
        <f aca="false">AA34*N(R34)</f>
        <v>0</v>
      </c>
      <c r="AK34" s="15" t="n">
        <f aca="false">AB34*N(AD34)</f>
        <v>0</v>
      </c>
      <c r="AL34" s="15" t="n">
        <f aca="false">AB34*N(AE34)</f>
        <v>0</v>
      </c>
      <c r="AM34" s="15" t="n">
        <f aca="false">AB34*N(AF34)</f>
        <v>0</v>
      </c>
      <c r="AN34" s="15" t="n">
        <f aca="false">AB34*N(R34)</f>
        <v>0</v>
      </c>
      <c r="AO34" s="21" t="str">
        <f aca="false">IF(F34&lt;&gt;"Y","n/a",IF(AND(N34&lt;&gt;"",OR(Q34&lt;&gt;"",G34="Other / bench",G34="None"),U34&lt;&gt;""),"OK","Missing"))</f>
        <v>Missing</v>
      </c>
    </row>
    <row r="35" customFormat="false" ht="15" hidden="false" customHeight="false" outlineLevel="0" collapsed="false">
      <c r="A35" s="10" t="s">
        <v>221</v>
      </c>
      <c r="B35" s="10" t="s">
        <v>659</v>
      </c>
      <c r="C35" s="10" t="s">
        <v>676</v>
      </c>
      <c r="D35" s="10" t="s">
        <v>661</v>
      </c>
      <c r="E35" s="21" t="str">
        <f aca="false">IF(A35="","",A35&amp;"|"&amp;D35)</f>
        <v>F06|Assay</v>
      </c>
      <c r="F35" s="16" t="s">
        <v>662</v>
      </c>
      <c r="G35" s="16" t="s">
        <v>147</v>
      </c>
      <c r="H35" s="16" t="s">
        <v>663</v>
      </c>
      <c r="I35" s="16" t="n">
        <v>1</v>
      </c>
      <c r="J35" s="16"/>
      <c r="K35" s="14"/>
      <c r="L35" s="14"/>
      <c r="M35" s="14"/>
      <c r="N35" s="14"/>
      <c r="O35" s="14"/>
      <c r="P35" s="18" t="n">
        <f aca="false">IF(N35="",0,IF(OR(M35="",O35=""),N35,(M35+4*N35+O35)/6))</f>
        <v>0</v>
      </c>
      <c r="Q35" s="14"/>
      <c r="R35" s="14"/>
      <c r="S35" s="14"/>
      <c r="T35" s="14"/>
      <c r="U35" s="16"/>
      <c r="V35" s="13"/>
      <c r="W35" s="16" t="s">
        <v>662</v>
      </c>
      <c r="X35" s="16"/>
      <c r="Y35" s="16"/>
      <c r="Z35" s="16"/>
      <c r="AA35" s="22" t="n">
        <f aca="false">IF(F35&lt;&gt;"Y",0,((SUMIF(Products!$E$5:$E$300,A35,Products!$F$5:$F$300)+SUMIF(RM_Lots!$A$5:$A$400,A35,RM_Lots!$D$5:$D$400))+IF(W35="Y",SUMIF(Products!$E$5:$E$300,A35,Products!$G$5:$G$300),0))*(1+N(V35)))</f>
        <v>0</v>
      </c>
      <c r="AB35" s="22" t="n">
        <f aca="false">IF(F35&lt;&gt;"Y",0,((SUMIF(Products!$E$5:$E$300,A35,Products!$K$5:$K$300)+SUMIF(RM_Lots!$A$5:$A$400,A35,RM_Lots!$F$5:$F$400))+IF(W35="Y",SUMIF(Products!$E$5:$E$300,A35,Products!$L$5:$L$300),0))*(1+N(V35)))</f>
        <v>0</v>
      </c>
      <c r="AC35" s="17" t="n">
        <f aca="false">IF(J35="",1,MAX(1,COUNTIFS($J$5:$J$863,J35,$F$5:$F$863,"Y")))</f>
        <v>1</v>
      </c>
      <c r="AD35" s="18" t="n">
        <f aca="false">(MAX(1,N(I35))*(P35+N(S35))+MAX(1,N(I35))*N(K35)/(MAX(1,N(U35))*AC35))*Settings!$B$9</f>
        <v>0</v>
      </c>
      <c r="AE35" s="18" t="n">
        <f aca="false">(MAX(1,N(I35))*N(Q35)+MAX(1,N(I35))*N(L35)/(MAX(1,N(U35))*AC35))*Settings!$B$8</f>
        <v>0</v>
      </c>
      <c r="AF35" s="18" t="n">
        <f aca="false">MAX(1,N(I35))*N(T35)</f>
        <v>0</v>
      </c>
      <c r="AG35" s="15" t="n">
        <f aca="false">AA35*N(AD35)</f>
        <v>0</v>
      </c>
      <c r="AH35" s="15" t="n">
        <f aca="false">AA35*N(AE35)</f>
        <v>0</v>
      </c>
      <c r="AI35" s="15" t="n">
        <f aca="false">AA35*N(AF35)</f>
        <v>0</v>
      </c>
      <c r="AJ35" s="15" t="n">
        <f aca="false">AA35*N(R35)</f>
        <v>0</v>
      </c>
      <c r="AK35" s="15" t="n">
        <f aca="false">AB35*N(AD35)</f>
        <v>0</v>
      </c>
      <c r="AL35" s="15" t="n">
        <f aca="false">AB35*N(AE35)</f>
        <v>0</v>
      </c>
      <c r="AM35" s="15" t="n">
        <f aca="false">AB35*N(AF35)</f>
        <v>0</v>
      </c>
      <c r="AN35" s="15" t="n">
        <f aca="false">AB35*N(R35)</f>
        <v>0</v>
      </c>
      <c r="AO35" s="21" t="str">
        <f aca="false">IF(F35&lt;&gt;"Y","n/a",IF(AND(N35&lt;&gt;"",OR(Q35&lt;&gt;"",G35="Other / bench",G35="None"),U35&lt;&gt;""),"OK","Missing"))</f>
        <v>Missing</v>
      </c>
    </row>
    <row r="36" customFormat="false" ht="15" hidden="false" customHeight="false" outlineLevel="0" collapsed="false">
      <c r="A36" s="10" t="s">
        <v>221</v>
      </c>
      <c r="B36" s="10" t="s">
        <v>659</v>
      </c>
      <c r="C36" s="10" t="s">
        <v>676</v>
      </c>
      <c r="D36" s="10" t="s">
        <v>664</v>
      </c>
      <c r="E36" s="21" t="str">
        <f aca="false">IF(A36="","",A36&amp;"|"&amp;D36)</f>
        <v>F06|Related substances / impurities</v>
      </c>
      <c r="F36" s="16" t="s">
        <v>662</v>
      </c>
      <c r="G36" s="16" t="s">
        <v>147</v>
      </c>
      <c r="H36" s="16" t="s">
        <v>663</v>
      </c>
      <c r="I36" s="16" t="n">
        <v>1</v>
      </c>
      <c r="J36" s="16"/>
      <c r="K36" s="14"/>
      <c r="L36" s="14"/>
      <c r="M36" s="14"/>
      <c r="N36" s="14"/>
      <c r="O36" s="14"/>
      <c r="P36" s="18" t="n">
        <f aca="false">IF(N36="",0,IF(OR(M36="",O36=""),N36,(M36+4*N36+O36)/6))</f>
        <v>0</v>
      </c>
      <c r="Q36" s="14"/>
      <c r="R36" s="14"/>
      <c r="S36" s="14"/>
      <c r="T36" s="14"/>
      <c r="U36" s="16"/>
      <c r="V36" s="13"/>
      <c r="W36" s="16" t="s">
        <v>662</v>
      </c>
      <c r="X36" s="16"/>
      <c r="Y36" s="16"/>
      <c r="Z36" s="16"/>
      <c r="AA36" s="22" t="n">
        <f aca="false">IF(F36&lt;&gt;"Y",0,((SUMIF(Products!$E$5:$E$300,A36,Products!$F$5:$F$300)+SUMIF(RM_Lots!$A$5:$A$400,A36,RM_Lots!$D$5:$D$400))+IF(W36="Y",SUMIF(Products!$E$5:$E$300,A36,Products!$G$5:$G$300),0))*(1+N(V36)))</f>
        <v>0</v>
      </c>
      <c r="AB36" s="22" t="n">
        <f aca="false">IF(F36&lt;&gt;"Y",0,((SUMIF(Products!$E$5:$E$300,A36,Products!$K$5:$K$300)+SUMIF(RM_Lots!$A$5:$A$400,A36,RM_Lots!$F$5:$F$400))+IF(W36="Y",SUMIF(Products!$E$5:$E$300,A36,Products!$L$5:$L$300),0))*(1+N(V36)))</f>
        <v>0</v>
      </c>
      <c r="AC36" s="17" t="n">
        <f aca="false">IF(J36="",1,MAX(1,COUNTIFS($J$5:$J$863,J36,$F$5:$F$863,"Y")))</f>
        <v>1</v>
      </c>
      <c r="AD36" s="18" t="n">
        <f aca="false">(MAX(1,N(I36))*(P36+N(S36))+MAX(1,N(I36))*N(K36)/(MAX(1,N(U36))*AC36))*Settings!$B$9</f>
        <v>0</v>
      </c>
      <c r="AE36" s="18" t="n">
        <f aca="false">(MAX(1,N(I36))*N(Q36)+MAX(1,N(I36))*N(L36)/(MAX(1,N(U36))*AC36))*Settings!$B$8</f>
        <v>0</v>
      </c>
      <c r="AF36" s="18" t="n">
        <f aca="false">MAX(1,N(I36))*N(T36)</f>
        <v>0</v>
      </c>
      <c r="AG36" s="15" t="n">
        <f aca="false">AA36*N(AD36)</f>
        <v>0</v>
      </c>
      <c r="AH36" s="15" t="n">
        <f aca="false">AA36*N(AE36)</f>
        <v>0</v>
      </c>
      <c r="AI36" s="15" t="n">
        <f aca="false">AA36*N(AF36)</f>
        <v>0</v>
      </c>
      <c r="AJ36" s="15" t="n">
        <f aca="false">AA36*N(R36)</f>
        <v>0</v>
      </c>
      <c r="AK36" s="15" t="n">
        <f aca="false">AB36*N(AD36)</f>
        <v>0</v>
      </c>
      <c r="AL36" s="15" t="n">
        <f aca="false">AB36*N(AE36)</f>
        <v>0</v>
      </c>
      <c r="AM36" s="15" t="n">
        <f aca="false">AB36*N(AF36)</f>
        <v>0</v>
      </c>
      <c r="AN36" s="15" t="n">
        <f aca="false">AB36*N(R36)</f>
        <v>0</v>
      </c>
      <c r="AO36" s="21" t="str">
        <f aca="false">IF(F36&lt;&gt;"Y","n/a",IF(AND(N36&lt;&gt;"",OR(Q36&lt;&gt;"",G36="Other / bench",G36="None"),U36&lt;&gt;""),"OK","Missing"))</f>
        <v>Missing</v>
      </c>
    </row>
    <row r="37" customFormat="false" ht="15" hidden="false" customHeight="false" outlineLevel="0" collapsed="false">
      <c r="A37" s="10" t="s">
        <v>221</v>
      </c>
      <c r="B37" s="10" t="s">
        <v>659</v>
      </c>
      <c r="C37" s="10" t="s">
        <v>676</v>
      </c>
      <c r="D37" s="10" t="s">
        <v>665</v>
      </c>
      <c r="E37" s="21" t="str">
        <f aca="false">IF(A37="","",A37&amp;"|"&amp;D37)</f>
        <v>F06|Dissolution</v>
      </c>
      <c r="F37" s="16" t="s">
        <v>662</v>
      </c>
      <c r="G37" s="16" t="s">
        <v>147</v>
      </c>
      <c r="H37" s="16" t="s">
        <v>663</v>
      </c>
      <c r="I37" s="16" t="n">
        <v>1</v>
      </c>
      <c r="J37" s="16"/>
      <c r="K37" s="14"/>
      <c r="L37" s="14"/>
      <c r="M37" s="14"/>
      <c r="N37" s="14"/>
      <c r="O37" s="14"/>
      <c r="P37" s="18" t="n">
        <f aca="false">IF(N37="",0,IF(OR(M37="",O37=""),N37,(M37+4*N37+O37)/6))</f>
        <v>0</v>
      </c>
      <c r="Q37" s="14"/>
      <c r="R37" s="14"/>
      <c r="S37" s="14"/>
      <c r="T37" s="14"/>
      <c r="U37" s="16"/>
      <c r="V37" s="13"/>
      <c r="W37" s="16" t="s">
        <v>662</v>
      </c>
      <c r="X37" s="16"/>
      <c r="Y37" s="16"/>
      <c r="Z37" s="16"/>
      <c r="AA37" s="22" t="n">
        <f aca="false">IF(F37&lt;&gt;"Y",0,((SUMIF(Products!$E$5:$E$300,A37,Products!$F$5:$F$300)+SUMIF(RM_Lots!$A$5:$A$400,A37,RM_Lots!$D$5:$D$400))+IF(W37="Y",SUMIF(Products!$E$5:$E$300,A37,Products!$G$5:$G$300),0))*(1+N(V37)))</f>
        <v>0</v>
      </c>
      <c r="AB37" s="22" t="n">
        <f aca="false">IF(F37&lt;&gt;"Y",0,((SUMIF(Products!$E$5:$E$300,A37,Products!$K$5:$K$300)+SUMIF(RM_Lots!$A$5:$A$400,A37,RM_Lots!$F$5:$F$400))+IF(W37="Y",SUMIF(Products!$E$5:$E$300,A37,Products!$L$5:$L$300),0))*(1+N(V37)))</f>
        <v>0</v>
      </c>
      <c r="AC37" s="17" t="n">
        <f aca="false">IF(J37="",1,MAX(1,COUNTIFS($J$5:$J$863,J37,$F$5:$F$863,"Y")))</f>
        <v>1</v>
      </c>
      <c r="AD37" s="18" t="n">
        <f aca="false">(MAX(1,N(I37))*(P37+N(S37))+MAX(1,N(I37))*N(K37)/(MAX(1,N(U37))*AC37))*Settings!$B$9</f>
        <v>0</v>
      </c>
      <c r="AE37" s="18" t="n">
        <f aca="false">(MAX(1,N(I37))*N(Q37)+MAX(1,N(I37))*N(L37)/(MAX(1,N(U37))*AC37))*Settings!$B$8</f>
        <v>0</v>
      </c>
      <c r="AF37" s="18" t="n">
        <f aca="false">MAX(1,N(I37))*N(T37)</f>
        <v>0</v>
      </c>
      <c r="AG37" s="15" t="n">
        <f aca="false">AA37*N(AD37)</f>
        <v>0</v>
      </c>
      <c r="AH37" s="15" t="n">
        <f aca="false">AA37*N(AE37)</f>
        <v>0</v>
      </c>
      <c r="AI37" s="15" t="n">
        <f aca="false">AA37*N(AF37)</f>
        <v>0</v>
      </c>
      <c r="AJ37" s="15" t="n">
        <f aca="false">AA37*N(R37)</f>
        <v>0</v>
      </c>
      <c r="AK37" s="15" t="n">
        <f aca="false">AB37*N(AD37)</f>
        <v>0</v>
      </c>
      <c r="AL37" s="15" t="n">
        <f aca="false">AB37*N(AE37)</f>
        <v>0</v>
      </c>
      <c r="AM37" s="15" t="n">
        <f aca="false">AB37*N(AF37)</f>
        <v>0</v>
      </c>
      <c r="AN37" s="15" t="n">
        <f aca="false">AB37*N(R37)</f>
        <v>0</v>
      </c>
      <c r="AO37" s="21" t="str">
        <f aca="false">IF(F37&lt;&gt;"Y","n/a",IF(AND(N37&lt;&gt;"",OR(Q37&lt;&gt;"",G37="Other / bench",G37="None"),U37&lt;&gt;""),"OK","Missing"))</f>
        <v>Missing</v>
      </c>
    </row>
    <row r="38" customFormat="false" ht="15" hidden="false" customHeight="false" outlineLevel="0" collapsed="false">
      <c r="A38" s="10" t="s">
        <v>221</v>
      </c>
      <c r="B38" s="10" t="s">
        <v>659</v>
      </c>
      <c r="C38" s="10" t="s">
        <v>676</v>
      </c>
      <c r="D38" s="10" t="s">
        <v>666</v>
      </c>
      <c r="E38" s="21" t="str">
        <f aca="false">IF(A38="","",A38&amp;"|"&amp;D38)</f>
        <v>F06|Content uniformity</v>
      </c>
      <c r="F38" s="16" t="s">
        <v>662</v>
      </c>
      <c r="G38" s="16" t="s">
        <v>147</v>
      </c>
      <c r="H38" s="16" t="s">
        <v>663</v>
      </c>
      <c r="I38" s="16" t="n">
        <v>1</v>
      </c>
      <c r="J38" s="16"/>
      <c r="K38" s="14"/>
      <c r="L38" s="14"/>
      <c r="M38" s="14"/>
      <c r="N38" s="14"/>
      <c r="O38" s="14"/>
      <c r="P38" s="18" t="n">
        <f aca="false">IF(N38="",0,IF(OR(M38="",O38=""),N38,(M38+4*N38+O38)/6))</f>
        <v>0</v>
      </c>
      <c r="Q38" s="14"/>
      <c r="R38" s="14"/>
      <c r="S38" s="14"/>
      <c r="T38" s="14"/>
      <c r="U38" s="16"/>
      <c r="V38" s="13"/>
      <c r="W38" s="16" t="s">
        <v>667</v>
      </c>
      <c r="X38" s="16"/>
      <c r="Y38" s="16"/>
      <c r="Z38" s="16"/>
      <c r="AA38" s="22" t="n">
        <f aca="false">IF(F38&lt;&gt;"Y",0,((SUMIF(Products!$E$5:$E$300,A38,Products!$F$5:$F$300)+SUMIF(RM_Lots!$A$5:$A$400,A38,RM_Lots!$D$5:$D$400))+IF(W38="Y",SUMIF(Products!$E$5:$E$300,A38,Products!$G$5:$G$300),0))*(1+N(V38)))</f>
        <v>0</v>
      </c>
      <c r="AB38" s="22" t="n">
        <f aca="false">IF(F38&lt;&gt;"Y",0,((SUMIF(Products!$E$5:$E$300,A38,Products!$K$5:$K$300)+SUMIF(RM_Lots!$A$5:$A$400,A38,RM_Lots!$F$5:$F$400))+IF(W38="Y",SUMIF(Products!$E$5:$E$300,A38,Products!$L$5:$L$300),0))*(1+N(V38)))</f>
        <v>0</v>
      </c>
      <c r="AC38" s="17" t="n">
        <f aca="false">IF(J38="",1,MAX(1,COUNTIFS($J$5:$J$863,J38,$F$5:$F$863,"Y")))</f>
        <v>1</v>
      </c>
      <c r="AD38" s="18" t="n">
        <f aca="false">(MAX(1,N(I38))*(P38+N(S38))+MAX(1,N(I38))*N(K38)/(MAX(1,N(U38))*AC38))*Settings!$B$9</f>
        <v>0</v>
      </c>
      <c r="AE38" s="18" t="n">
        <f aca="false">(MAX(1,N(I38))*N(Q38)+MAX(1,N(I38))*N(L38)/(MAX(1,N(U38))*AC38))*Settings!$B$8</f>
        <v>0</v>
      </c>
      <c r="AF38" s="18" t="n">
        <f aca="false">MAX(1,N(I38))*N(T38)</f>
        <v>0</v>
      </c>
      <c r="AG38" s="15" t="n">
        <f aca="false">AA38*N(AD38)</f>
        <v>0</v>
      </c>
      <c r="AH38" s="15" t="n">
        <f aca="false">AA38*N(AE38)</f>
        <v>0</v>
      </c>
      <c r="AI38" s="15" t="n">
        <f aca="false">AA38*N(AF38)</f>
        <v>0</v>
      </c>
      <c r="AJ38" s="15" t="n">
        <f aca="false">AA38*N(R38)</f>
        <v>0</v>
      </c>
      <c r="AK38" s="15" t="n">
        <f aca="false">AB38*N(AD38)</f>
        <v>0</v>
      </c>
      <c r="AL38" s="15" t="n">
        <f aca="false">AB38*N(AE38)</f>
        <v>0</v>
      </c>
      <c r="AM38" s="15" t="n">
        <f aca="false">AB38*N(AF38)</f>
        <v>0</v>
      </c>
      <c r="AN38" s="15" t="n">
        <f aca="false">AB38*N(R38)</f>
        <v>0</v>
      </c>
      <c r="AO38" s="21" t="str">
        <f aca="false">IF(F38&lt;&gt;"Y","n/a",IF(AND(N38&lt;&gt;"",OR(Q38&lt;&gt;"",G38="Other / bench",G38="None"),U38&lt;&gt;""),"OK","Missing"))</f>
        <v>Missing</v>
      </c>
    </row>
    <row r="39" customFormat="false" ht="15" hidden="false" customHeight="false" outlineLevel="0" collapsed="false">
      <c r="A39" s="10" t="s">
        <v>221</v>
      </c>
      <c r="B39" s="10" t="s">
        <v>659</v>
      </c>
      <c r="C39" s="10" t="s">
        <v>676</v>
      </c>
      <c r="D39" s="10" t="s">
        <v>668</v>
      </c>
      <c r="E39" s="21" t="str">
        <f aca="false">IF(A39="","",A39&amp;"|"&amp;D39)</f>
        <v>F06|Identification (if separate from assay)</v>
      </c>
      <c r="F39" s="16" t="s">
        <v>667</v>
      </c>
      <c r="G39" s="16" t="s">
        <v>147</v>
      </c>
      <c r="H39" s="16" t="s">
        <v>663</v>
      </c>
      <c r="I39" s="16" t="n">
        <v>1</v>
      </c>
      <c r="J39" s="16"/>
      <c r="K39" s="14"/>
      <c r="L39" s="14"/>
      <c r="M39" s="14"/>
      <c r="N39" s="14"/>
      <c r="O39" s="14"/>
      <c r="P39" s="18" t="n">
        <f aca="false">IF(N39="",0,IF(OR(M39="",O39=""),N39,(M39+4*N39+O39)/6))</f>
        <v>0</v>
      </c>
      <c r="Q39" s="14"/>
      <c r="R39" s="14"/>
      <c r="S39" s="14"/>
      <c r="T39" s="14"/>
      <c r="U39" s="16"/>
      <c r="V39" s="13"/>
      <c r="W39" s="16" t="s">
        <v>667</v>
      </c>
      <c r="X39" s="16"/>
      <c r="Y39" s="16"/>
      <c r="Z39" s="16"/>
      <c r="AA39" s="22" t="n">
        <f aca="false">IF(F39&lt;&gt;"Y",0,((SUMIF(Products!$E$5:$E$300,A39,Products!$F$5:$F$300)+SUMIF(RM_Lots!$A$5:$A$400,A39,RM_Lots!$D$5:$D$400))+IF(W39="Y",SUMIF(Products!$E$5:$E$300,A39,Products!$G$5:$G$300),0))*(1+N(V39)))</f>
        <v>0</v>
      </c>
      <c r="AB39" s="22" t="n">
        <f aca="false">IF(F39&lt;&gt;"Y",0,((SUMIF(Products!$E$5:$E$300,A39,Products!$K$5:$K$300)+SUMIF(RM_Lots!$A$5:$A$400,A39,RM_Lots!$F$5:$F$400))+IF(W39="Y",SUMIF(Products!$E$5:$E$300,A39,Products!$L$5:$L$300),0))*(1+N(V39)))</f>
        <v>0</v>
      </c>
      <c r="AC39" s="17" t="n">
        <f aca="false">IF(J39="",1,MAX(1,COUNTIFS($J$5:$J$863,J39,$F$5:$F$863,"Y")))</f>
        <v>1</v>
      </c>
      <c r="AD39" s="18" t="n">
        <f aca="false">(MAX(1,N(I39))*(P39+N(S39))+MAX(1,N(I39))*N(K39)/(MAX(1,N(U39))*AC39))*Settings!$B$9</f>
        <v>0</v>
      </c>
      <c r="AE39" s="18" t="n">
        <f aca="false">(MAX(1,N(I39))*N(Q39)+MAX(1,N(I39))*N(L39)/(MAX(1,N(U39))*AC39))*Settings!$B$8</f>
        <v>0</v>
      </c>
      <c r="AF39" s="18" t="n">
        <f aca="false">MAX(1,N(I39))*N(T39)</f>
        <v>0</v>
      </c>
      <c r="AG39" s="15" t="n">
        <f aca="false">AA39*N(AD39)</f>
        <v>0</v>
      </c>
      <c r="AH39" s="15" t="n">
        <f aca="false">AA39*N(AE39)</f>
        <v>0</v>
      </c>
      <c r="AI39" s="15" t="n">
        <f aca="false">AA39*N(AF39)</f>
        <v>0</v>
      </c>
      <c r="AJ39" s="15" t="n">
        <f aca="false">AA39*N(R39)</f>
        <v>0</v>
      </c>
      <c r="AK39" s="15" t="n">
        <f aca="false">AB39*N(AD39)</f>
        <v>0</v>
      </c>
      <c r="AL39" s="15" t="n">
        <f aca="false">AB39*N(AE39)</f>
        <v>0</v>
      </c>
      <c r="AM39" s="15" t="n">
        <f aca="false">AB39*N(AF39)</f>
        <v>0</v>
      </c>
      <c r="AN39" s="15" t="n">
        <f aca="false">AB39*N(R39)</f>
        <v>0</v>
      </c>
      <c r="AO39" s="21" t="str">
        <f aca="false">IF(F39&lt;&gt;"Y","n/a",IF(AND(N39&lt;&gt;"",OR(Q39&lt;&gt;"",G39="Other / bench",G39="None"),U39&lt;&gt;""),"OK","Missing"))</f>
        <v>n/a</v>
      </c>
    </row>
    <row r="40" customFormat="false" ht="15" hidden="false" customHeight="false" outlineLevel="0" collapsed="false">
      <c r="A40" s="10" t="s">
        <v>221</v>
      </c>
      <c r="B40" s="10" t="s">
        <v>659</v>
      </c>
      <c r="C40" s="10" t="s">
        <v>676</v>
      </c>
      <c r="D40" s="10" t="s">
        <v>669</v>
      </c>
      <c r="E40" s="21" t="str">
        <f aca="false">IF(A40="","",A40&amp;"|"&amp;D40)</f>
        <v>F06|Other tests (non-HPLC: physical, LOD/KF, disintegration, pH, micro...)</v>
      </c>
      <c r="F40" s="16" t="s">
        <v>662</v>
      </c>
      <c r="G40" s="16" t="s">
        <v>670</v>
      </c>
      <c r="H40" s="16" t="s">
        <v>663</v>
      </c>
      <c r="I40" s="16" t="n">
        <v>1</v>
      </c>
      <c r="J40" s="16"/>
      <c r="K40" s="14"/>
      <c r="L40" s="14"/>
      <c r="M40" s="14"/>
      <c r="N40" s="14"/>
      <c r="O40" s="14"/>
      <c r="P40" s="18" t="n">
        <f aca="false">IF(N40="",0,IF(OR(M40="",O40=""),N40,(M40+4*N40+O40)/6))</f>
        <v>0</v>
      </c>
      <c r="Q40" s="14"/>
      <c r="R40" s="14"/>
      <c r="S40" s="14"/>
      <c r="T40" s="14"/>
      <c r="U40" s="16"/>
      <c r="V40" s="13"/>
      <c r="W40" s="16" t="s">
        <v>662</v>
      </c>
      <c r="X40" s="16"/>
      <c r="Y40" s="16"/>
      <c r="Z40" s="16"/>
      <c r="AA40" s="22" t="n">
        <f aca="false">IF(F40&lt;&gt;"Y",0,((SUMIF(Products!$E$5:$E$300,A40,Products!$F$5:$F$300)+SUMIF(RM_Lots!$A$5:$A$400,A40,RM_Lots!$D$5:$D$400))+IF(W40="Y",SUMIF(Products!$E$5:$E$300,A40,Products!$G$5:$G$300),0))*(1+N(V40)))</f>
        <v>0</v>
      </c>
      <c r="AB40" s="22" t="n">
        <f aca="false">IF(F40&lt;&gt;"Y",0,((SUMIF(Products!$E$5:$E$300,A40,Products!$K$5:$K$300)+SUMIF(RM_Lots!$A$5:$A$400,A40,RM_Lots!$F$5:$F$400))+IF(W40="Y",SUMIF(Products!$E$5:$E$300,A40,Products!$L$5:$L$300),0))*(1+N(V40)))</f>
        <v>0</v>
      </c>
      <c r="AC40" s="17" t="n">
        <f aca="false">IF(J40="",1,MAX(1,COUNTIFS($J$5:$J$863,J40,$F$5:$F$863,"Y")))</f>
        <v>1</v>
      </c>
      <c r="AD40" s="18" t="n">
        <f aca="false">(MAX(1,N(I40))*(P40+N(S40))+MAX(1,N(I40))*N(K40)/(MAX(1,N(U40))*AC40))*Settings!$B$9</f>
        <v>0</v>
      </c>
      <c r="AE40" s="18" t="n">
        <f aca="false">(MAX(1,N(I40))*N(Q40)+MAX(1,N(I40))*N(L40)/(MAX(1,N(U40))*AC40))*Settings!$B$8</f>
        <v>0</v>
      </c>
      <c r="AF40" s="18" t="n">
        <f aca="false">MAX(1,N(I40))*N(T40)</f>
        <v>0</v>
      </c>
      <c r="AG40" s="15" t="n">
        <f aca="false">AA40*N(AD40)</f>
        <v>0</v>
      </c>
      <c r="AH40" s="15" t="n">
        <f aca="false">AA40*N(AE40)</f>
        <v>0</v>
      </c>
      <c r="AI40" s="15" t="n">
        <f aca="false">AA40*N(AF40)</f>
        <v>0</v>
      </c>
      <c r="AJ40" s="15" t="n">
        <f aca="false">AA40*N(R40)</f>
        <v>0</v>
      </c>
      <c r="AK40" s="15" t="n">
        <f aca="false">AB40*N(AD40)</f>
        <v>0</v>
      </c>
      <c r="AL40" s="15" t="n">
        <f aca="false">AB40*N(AE40)</f>
        <v>0</v>
      </c>
      <c r="AM40" s="15" t="n">
        <f aca="false">AB40*N(AF40)</f>
        <v>0</v>
      </c>
      <c r="AN40" s="15" t="n">
        <f aca="false">AB40*N(R40)</f>
        <v>0</v>
      </c>
      <c r="AO40" s="21" t="str">
        <f aca="false">IF(F40&lt;&gt;"Y","n/a",IF(AND(N40&lt;&gt;"",OR(Q40&lt;&gt;"",G40="Other / bench",G40="None"),U40&lt;&gt;""),"OK","Missing"))</f>
        <v>Missing</v>
      </c>
    </row>
    <row r="41" customFormat="false" ht="15" hidden="false" customHeight="false" outlineLevel="0" collapsed="false">
      <c r="A41" s="10" t="s">
        <v>227</v>
      </c>
      <c r="B41" s="10" t="s">
        <v>659</v>
      </c>
      <c r="C41" s="10" t="s">
        <v>677</v>
      </c>
      <c r="D41" s="10" t="s">
        <v>661</v>
      </c>
      <c r="E41" s="21" t="str">
        <f aca="false">IF(A41="","",A41&amp;"|"&amp;D41)</f>
        <v>F07|Assay</v>
      </c>
      <c r="F41" s="16" t="s">
        <v>662</v>
      </c>
      <c r="G41" s="16" t="s">
        <v>147</v>
      </c>
      <c r="H41" s="16" t="s">
        <v>672</v>
      </c>
      <c r="I41" s="16" t="n">
        <v>1</v>
      </c>
      <c r="J41" s="16"/>
      <c r="K41" s="14"/>
      <c r="L41" s="14"/>
      <c r="M41" s="14"/>
      <c r="N41" s="14"/>
      <c r="O41" s="14"/>
      <c r="P41" s="18" t="n">
        <f aca="false">IF(N41="",0,IF(OR(M41="",O41=""),N41,(M41+4*N41+O41)/6))</f>
        <v>0</v>
      </c>
      <c r="Q41" s="14"/>
      <c r="R41" s="14"/>
      <c r="S41" s="14"/>
      <c r="T41" s="14"/>
      <c r="U41" s="16"/>
      <c r="V41" s="13"/>
      <c r="W41" s="16" t="s">
        <v>662</v>
      </c>
      <c r="X41" s="16"/>
      <c r="Y41" s="16"/>
      <c r="Z41" s="16"/>
      <c r="AA41" s="22" t="n">
        <f aca="false">IF(F41&lt;&gt;"Y",0,((SUMIF(Products!$E$5:$E$300,A41,Products!$F$5:$F$300)+SUMIF(RM_Lots!$A$5:$A$400,A41,RM_Lots!$D$5:$D$400))+IF(W41="Y",SUMIF(Products!$E$5:$E$300,A41,Products!$G$5:$G$300),0))*(1+N(V41)))</f>
        <v>0</v>
      </c>
      <c r="AB41" s="22" t="n">
        <f aca="false">IF(F41&lt;&gt;"Y",0,((SUMIF(Products!$E$5:$E$300,A41,Products!$K$5:$K$300)+SUMIF(RM_Lots!$A$5:$A$400,A41,RM_Lots!$F$5:$F$400))+IF(W41="Y",SUMIF(Products!$E$5:$E$300,A41,Products!$L$5:$L$300),0))*(1+N(V41)))</f>
        <v>0</v>
      </c>
      <c r="AC41" s="17" t="n">
        <f aca="false">IF(J41="",1,MAX(1,COUNTIFS($J$5:$J$863,J41,$F$5:$F$863,"Y")))</f>
        <v>1</v>
      </c>
      <c r="AD41" s="18" t="n">
        <f aca="false">(MAX(1,N(I41))*(P41+N(S41))+MAX(1,N(I41))*N(K41)/(MAX(1,N(U41))*AC41))*Settings!$B$9</f>
        <v>0</v>
      </c>
      <c r="AE41" s="18" t="n">
        <f aca="false">(MAX(1,N(I41))*N(Q41)+MAX(1,N(I41))*N(L41)/(MAX(1,N(U41))*AC41))*Settings!$B$8</f>
        <v>0</v>
      </c>
      <c r="AF41" s="18" t="n">
        <f aca="false">MAX(1,N(I41))*N(T41)</f>
        <v>0</v>
      </c>
      <c r="AG41" s="15" t="n">
        <f aca="false">AA41*N(AD41)</f>
        <v>0</v>
      </c>
      <c r="AH41" s="15" t="n">
        <f aca="false">AA41*N(AE41)</f>
        <v>0</v>
      </c>
      <c r="AI41" s="15" t="n">
        <f aca="false">AA41*N(AF41)</f>
        <v>0</v>
      </c>
      <c r="AJ41" s="15" t="n">
        <f aca="false">AA41*N(R41)</f>
        <v>0</v>
      </c>
      <c r="AK41" s="15" t="n">
        <f aca="false">AB41*N(AD41)</f>
        <v>0</v>
      </c>
      <c r="AL41" s="15" t="n">
        <f aca="false">AB41*N(AE41)</f>
        <v>0</v>
      </c>
      <c r="AM41" s="15" t="n">
        <f aca="false">AB41*N(AF41)</f>
        <v>0</v>
      </c>
      <c r="AN41" s="15" t="n">
        <f aca="false">AB41*N(R41)</f>
        <v>0</v>
      </c>
      <c r="AO41" s="21" t="str">
        <f aca="false">IF(F41&lt;&gt;"Y","n/a",IF(AND(N41&lt;&gt;"",OR(Q41&lt;&gt;"",G41="Other / bench",G41="None"),U41&lt;&gt;""),"OK","Missing"))</f>
        <v>Missing</v>
      </c>
    </row>
    <row r="42" customFormat="false" ht="15" hidden="false" customHeight="false" outlineLevel="0" collapsed="false">
      <c r="A42" s="10" t="s">
        <v>227</v>
      </c>
      <c r="B42" s="10" t="s">
        <v>659</v>
      </c>
      <c r="C42" s="10" t="s">
        <v>677</v>
      </c>
      <c r="D42" s="10" t="s">
        <v>664</v>
      </c>
      <c r="E42" s="21" t="str">
        <f aca="false">IF(A42="","",A42&amp;"|"&amp;D42)</f>
        <v>F07|Related substances / impurities</v>
      </c>
      <c r="F42" s="16" t="s">
        <v>662</v>
      </c>
      <c r="G42" s="16" t="s">
        <v>147</v>
      </c>
      <c r="H42" s="16" t="s">
        <v>672</v>
      </c>
      <c r="I42" s="16" t="n">
        <v>1</v>
      </c>
      <c r="J42" s="16"/>
      <c r="K42" s="14"/>
      <c r="L42" s="14"/>
      <c r="M42" s="14"/>
      <c r="N42" s="14"/>
      <c r="O42" s="14"/>
      <c r="P42" s="18" t="n">
        <f aca="false">IF(N42="",0,IF(OR(M42="",O42=""),N42,(M42+4*N42+O42)/6))</f>
        <v>0</v>
      </c>
      <c r="Q42" s="14"/>
      <c r="R42" s="14"/>
      <c r="S42" s="14"/>
      <c r="T42" s="14"/>
      <c r="U42" s="16"/>
      <c r="V42" s="13"/>
      <c r="W42" s="16" t="s">
        <v>662</v>
      </c>
      <c r="X42" s="16"/>
      <c r="Y42" s="16"/>
      <c r="Z42" s="16"/>
      <c r="AA42" s="22" t="n">
        <f aca="false">IF(F42&lt;&gt;"Y",0,((SUMIF(Products!$E$5:$E$300,A42,Products!$F$5:$F$300)+SUMIF(RM_Lots!$A$5:$A$400,A42,RM_Lots!$D$5:$D$400))+IF(W42="Y",SUMIF(Products!$E$5:$E$300,A42,Products!$G$5:$G$300),0))*(1+N(V42)))</f>
        <v>0</v>
      </c>
      <c r="AB42" s="22" t="n">
        <f aca="false">IF(F42&lt;&gt;"Y",0,((SUMIF(Products!$E$5:$E$300,A42,Products!$K$5:$K$300)+SUMIF(RM_Lots!$A$5:$A$400,A42,RM_Lots!$F$5:$F$400))+IF(W42="Y",SUMIF(Products!$E$5:$E$300,A42,Products!$L$5:$L$300),0))*(1+N(V42)))</f>
        <v>0</v>
      </c>
      <c r="AC42" s="17" t="n">
        <f aca="false">IF(J42="",1,MAX(1,COUNTIFS($J$5:$J$863,J42,$F$5:$F$863,"Y")))</f>
        <v>1</v>
      </c>
      <c r="AD42" s="18" t="n">
        <f aca="false">(MAX(1,N(I42))*(P42+N(S42))+MAX(1,N(I42))*N(K42)/(MAX(1,N(U42))*AC42))*Settings!$B$9</f>
        <v>0</v>
      </c>
      <c r="AE42" s="18" t="n">
        <f aca="false">(MAX(1,N(I42))*N(Q42)+MAX(1,N(I42))*N(L42)/(MAX(1,N(U42))*AC42))*Settings!$B$8</f>
        <v>0</v>
      </c>
      <c r="AF42" s="18" t="n">
        <f aca="false">MAX(1,N(I42))*N(T42)</f>
        <v>0</v>
      </c>
      <c r="AG42" s="15" t="n">
        <f aca="false">AA42*N(AD42)</f>
        <v>0</v>
      </c>
      <c r="AH42" s="15" t="n">
        <f aca="false">AA42*N(AE42)</f>
        <v>0</v>
      </c>
      <c r="AI42" s="15" t="n">
        <f aca="false">AA42*N(AF42)</f>
        <v>0</v>
      </c>
      <c r="AJ42" s="15" t="n">
        <f aca="false">AA42*N(R42)</f>
        <v>0</v>
      </c>
      <c r="AK42" s="15" t="n">
        <f aca="false">AB42*N(AD42)</f>
        <v>0</v>
      </c>
      <c r="AL42" s="15" t="n">
        <f aca="false">AB42*N(AE42)</f>
        <v>0</v>
      </c>
      <c r="AM42" s="15" t="n">
        <f aca="false">AB42*N(AF42)</f>
        <v>0</v>
      </c>
      <c r="AN42" s="15" t="n">
        <f aca="false">AB42*N(R42)</f>
        <v>0</v>
      </c>
      <c r="AO42" s="21" t="str">
        <f aca="false">IF(F42&lt;&gt;"Y","n/a",IF(AND(N42&lt;&gt;"",OR(Q42&lt;&gt;"",G42="Other / bench",G42="None"),U42&lt;&gt;""),"OK","Missing"))</f>
        <v>Missing</v>
      </c>
    </row>
    <row r="43" customFormat="false" ht="15" hidden="false" customHeight="false" outlineLevel="0" collapsed="false">
      <c r="A43" s="10" t="s">
        <v>227</v>
      </c>
      <c r="B43" s="10" t="s">
        <v>659</v>
      </c>
      <c r="C43" s="10" t="s">
        <v>677</v>
      </c>
      <c r="D43" s="10" t="s">
        <v>665</v>
      </c>
      <c r="E43" s="21" t="str">
        <f aca="false">IF(A43="","",A43&amp;"|"&amp;D43)</f>
        <v>F07|Dissolution</v>
      </c>
      <c r="F43" s="16" t="s">
        <v>662</v>
      </c>
      <c r="G43" s="16" t="s">
        <v>147</v>
      </c>
      <c r="H43" s="16" t="s">
        <v>672</v>
      </c>
      <c r="I43" s="16" t="n">
        <v>1</v>
      </c>
      <c r="J43" s="16"/>
      <c r="K43" s="14"/>
      <c r="L43" s="14"/>
      <c r="M43" s="14"/>
      <c r="N43" s="14"/>
      <c r="O43" s="14"/>
      <c r="P43" s="18" t="n">
        <f aca="false">IF(N43="",0,IF(OR(M43="",O43=""),N43,(M43+4*N43+O43)/6))</f>
        <v>0</v>
      </c>
      <c r="Q43" s="14"/>
      <c r="R43" s="14"/>
      <c r="S43" s="14"/>
      <c r="T43" s="14"/>
      <c r="U43" s="16"/>
      <c r="V43" s="13"/>
      <c r="W43" s="16" t="s">
        <v>662</v>
      </c>
      <c r="X43" s="16"/>
      <c r="Y43" s="16"/>
      <c r="Z43" s="16"/>
      <c r="AA43" s="22" t="n">
        <f aca="false">IF(F43&lt;&gt;"Y",0,((SUMIF(Products!$E$5:$E$300,A43,Products!$F$5:$F$300)+SUMIF(RM_Lots!$A$5:$A$400,A43,RM_Lots!$D$5:$D$400))+IF(W43="Y",SUMIF(Products!$E$5:$E$300,A43,Products!$G$5:$G$300),0))*(1+N(V43)))</f>
        <v>0</v>
      </c>
      <c r="AB43" s="22" t="n">
        <f aca="false">IF(F43&lt;&gt;"Y",0,((SUMIF(Products!$E$5:$E$300,A43,Products!$K$5:$K$300)+SUMIF(RM_Lots!$A$5:$A$400,A43,RM_Lots!$F$5:$F$400))+IF(W43="Y",SUMIF(Products!$E$5:$E$300,A43,Products!$L$5:$L$300),0))*(1+N(V43)))</f>
        <v>0</v>
      </c>
      <c r="AC43" s="17" t="n">
        <f aca="false">IF(J43="",1,MAX(1,COUNTIFS($J$5:$J$863,J43,$F$5:$F$863,"Y")))</f>
        <v>1</v>
      </c>
      <c r="AD43" s="18" t="n">
        <f aca="false">(MAX(1,N(I43))*(P43+N(S43))+MAX(1,N(I43))*N(K43)/(MAX(1,N(U43))*AC43))*Settings!$B$9</f>
        <v>0</v>
      </c>
      <c r="AE43" s="18" t="n">
        <f aca="false">(MAX(1,N(I43))*N(Q43)+MAX(1,N(I43))*N(L43)/(MAX(1,N(U43))*AC43))*Settings!$B$8</f>
        <v>0</v>
      </c>
      <c r="AF43" s="18" t="n">
        <f aca="false">MAX(1,N(I43))*N(T43)</f>
        <v>0</v>
      </c>
      <c r="AG43" s="15" t="n">
        <f aca="false">AA43*N(AD43)</f>
        <v>0</v>
      </c>
      <c r="AH43" s="15" t="n">
        <f aca="false">AA43*N(AE43)</f>
        <v>0</v>
      </c>
      <c r="AI43" s="15" t="n">
        <f aca="false">AA43*N(AF43)</f>
        <v>0</v>
      </c>
      <c r="AJ43" s="15" t="n">
        <f aca="false">AA43*N(R43)</f>
        <v>0</v>
      </c>
      <c r="AK43" s="15" t="n">
        <f aca="false">AB43*N(AD43)</f>
        <v>0</v>
      </c>
      <c r="AL43" s="15" t="n">
        <f aca="false">AB43*N(AE43)</f>
        <v>0</v>
      </c>
      <c r="AM43" s="15" t="n">
        <f aca="false">AB43*N(AF43)</f>
        <v>0</v>
      </c>
      <c r="AN43" s="15" t="n">
        <f aca="false">AB43*N(R43)</f>
        <v>0</v>
      </c>
      <c r="AO43" s="21" t="str">
        <f aca="false">IF(F43&lt;&gt;"Y","n/a",IF(AND(N43&lt;&gt;"",OR(Q43&lt;&gt;"",G43="Other / bench",G43="None"),U43&lt;&gt;""),"OK","Missing"))</f>
        <v>Missing</v>
      </c>
    </row>
    <row r="44" customFormat="false" ht="15" hidden="false" customHeight="false" outlineLevel="0" collapsed="false">
      <c r="A44" s="10" t="s">
        <v>227</v>
      </c>
      <c r="B44" s="10" t="s">
        <v>659</v>
      </c>
      <c r="C44" s="10" t="s">
        <v>677</v>
      </c>
      <c r="D44" s="10" t="s">
        <v>666</v>
      </c>
      <c r="E44" s="21" t="str">
        <f aca="false">IF(A44="","",A44&amp;"|"&amp;D44)</f>
        <v>F07|Content uniformity</v>
      </c>
      <c r="F44" s="16" t="s">
        <v>662</v>
      </c>
      <c r="G44" s="16" t="s">
        <v>147</v>
      </c>
      <c r="H44" s="16" t="s">
        <v>672</v>
      </c>
      <c r="I44" s="16" t="n">
        <v>1</v>
      </c>
      <c r="J44" s="16"/>
      <c r="K44" s="14"/>
      <c r="L44" s="14"/>
      <c r="M44" s="14"/>
      <c r="N44" s="14"/>
      <c r="O44" s="14"/>
      <c r="P44" s="18" t="n">
        <f aca="false">IF(N44="",0,IF(OR(M44="",O44=""),N44,(M44+4*N44+O44)/6))</f>
        <v>0</v>
      </c>
      <c r="Q44" s="14"/>
      <c r="R44" s="14"/>
      <c r="S44" s="14"/>
      <c r="T44" s="14"/>
      <c r="U44" s="16"/>
      <c r="V44" s="13"/>
      <c r="W44" s="16" t="s">
        <v>667</v>
      </c>
      <c r="X44" s="16"/>
      <c r="Y44" s="16"/>
      <c r="Z44" s="16"/>
      <c r="AA44" s="22" t="n">
        <f aca="false">IF(F44&lt;&gt;"Y",0,((SUMIF(Products!$E$5:$E$300,A44,Products!$F$5:$F$300)+SUMIF(RM_Lots!$A$5:$A$400,A44,RM_Lots!$D$5:$D$400))+IF(W44="Y",SUMIF(Products!$E$5:$E$300,A44,Products!$G$5:$G$300),0))*(1+N(V44)))</f>
        <v>0</v>
      </c>
      <c r="AB44" s="22" t="n">
        <f aca="false">IF(F44&lt;&gt;"Y",0,((SUMIF(Products!$E$5:$E$300,A44,Products!$K$5:$K$300)+SUMIF(RM_Lots!$A$5:$A$400,A44,RM_Lots!$F$5:$F$400))+IF(W44="Y",SUMIF(Products!$E$5:$E$300,A44,Products!$L$5:$L$300),0))*(1+N(V44)))</f>
        <v>0</v>
      </c>
      <c r="AC44" s="17" t="n">
        <f aca="false">IF(J44="",1,MAX(1,COUNTIFS($J$5:$J$863,J44,$F$5:$F$863,"Y")))</f>
        <v>1</v>
      </c>
      <c r="AD44" s="18" t="n">
        <f aca="false">(MAX(1,N(I44))*(P44+N(S44))+MAX(1,N(I44))*N(K44)/(MAX(1,N(U44))*AC44))*Settings!$B$9</f>
        <v>0</v>
      </c>
      <c r="AE44" s="18" t="n">
        <f aca="false">(MAX(1,N(I44))*N(Q44)+MAX(1,N(I44))*N(L44)/(MAX(1,N(U44))*AC44))*Settings!$B$8</f>
        <v>0</v>
      </c>
      <c r="AF44" s="18" t="n">
        <f aca="false">MAX(1,N(I44))*N(T44)</f>
        <v>0</v>
      </c>
      <c r="AG44" s="15" t="n">
        <f aca="false">AA44*N(AD44)</f>
        <v>0</v>
      </c>
      <c r="AH44" s="15" t="n">
        <f aca="false">AA44*N(AE44)</f>
        <v>0</v>
      </c>
      <c r="AI44" s="15" t="n">
        <f aca="false">AA44*N(AF44)</f>
        <v>0</v>
      </c>
      <c r="AJ44" s="15" t="n">
        <f aca="false">AA44*N(R44)</f>
        <v>0</v>
      </c>
      <c r="AK44" s="15" t="n">
        <f aca="false">AB44*N(AD44)</f>
        <v>0</v>
      </c>
      <c r="AL44" s="15" t="n">
        <f aca="false">AB44*N(AE44)</f>
        <v>0</v>
      </c>
      <c r="AM44" s="15" t="n">
        <f aca="false">AB44*N(AF44)</f>
        <v>0</v>
      </c>
      <c r="AN44" s="15" t="n">
        <f aca="false">AB44*N(R44)</f>
        <v>0</v>
      </c>
      <c r="AO44" s="21" t="str">
        <f aca="false">IF(F44&lt;&gt;"Y","n/a",IF(AND(N44&lt;&gt;"",OR(Q44&lt;&gt;"",G44="Other / bench",G44="None"),U44&lt;&gt;""),"OK","Missing"))</f>
        <v>Missing</v>
      </c>
    </row>
    <row r="45" customFormat="false" ht="15" hidden="false" customHeight="false" outlineLevel="0" collapsed="false">
      <c r="A45" s="10" t="s">
        <v>227</v>
      </c>
      <c r="B45" s="10" t="s">
        <v>659</v>
      </c>
      <c r="C45" s="10" t="s">
        <v>677</v>
      </c>
      <c r="D45" s="10" t="s">
        <v>668</v>
      </c>
      <c r="E45" s="21" t="str">
        <f aca="false">IF(A45="","",A45&amp;"|"&amp;D45)</f>
        <v>F07|Identification (if separate from assay)</v>
      </c>
      <c r="F45" s="16" t="s">
        <v>667</v>
      </c>
      <c r="G45" s="16" t="s">
        <v>147</v>
      </c>
      <c r="H45" s="16" t="s">
        <v>672</v>
      </c>
      <c r="I45" s="16" t="n">
        <v>1</v>
      </c>
      <c r="J45" s="16"/>
      <c r="K45" s="14"/>
      <c r="L45" s="14"/>
      <c r="M45" s="14"/>
      <c r="N45" s="14"/>
      <c r="O45" s="14"/>
      <c r="P45" s="18" t="n">
        <f aca="false">IF(N45="",0,IF(OR(M45="",O45=""),N45,(M45+4*N45+O45)/6))</f>
        <v>0</v>
      </c>
      <c r="Q45" s="14"/>
      <c r="R45" s="14"/>
      <c r="S45" s="14"/>
      <c r="T45" s="14"/>
      <c r="U45" s="16"/>
      <c r="V45" s="13"/>
      <c r="W45" s="16" t="s">
        <v>667</v>
      </c>
      <c r="X45" s="16"/>
      <c r="Y45" s="16"/>
      <c r="Z45" s="16"/>
      <c r="AA45" s="22" t="n">
        <f aca="false">IF(F45&lt;&gt;"Y",0,((SUMIF(Products!$E$5:$E$300,A45,Products!$F$5:$F$300)+SUMIF(RM_Lots!$A$5:$A$400,A45,RM_Lots!$D$5:$D$400))+IF(W45="Y",SUMIF(Products!$E$5:$E$300,A45,Products!$G$5:$G$300),0))*(1+N(V45)))</f>
        <v>0</v>
      </c>
      <c r="AB45" s="22" t="n">
        <f aca="false">IF(F45&lt;&gt;"Y",0,((SUMIF(Products!$E$5:$E$300,A45,Products!$K$5:$K$300)+SUMIF(RM_Lots!$A$5:$A$400,A45,RM_Lots!$F$5:$F$400))+IF(W45="Y",SUMIF(Products!$E$5:$E$300,A45,Products!$L$5:$L$300),0))*(1+N(V45)))</f>
        <v>0</v>
      </c>
      <c r="AC45" s="17" t="n">
        <f aca="false">IF(J45="",1,MAX(1,COUNTIFS($J$5:$J$863,J45,$F$5:$F$863,"Y")))</f>
        <v>1</v>
      </c>
      <c r="AD45" s="18" t="n">
        <f aca="false">(MAX(1,N(I45))*(P45+N(S45))+MAX(1,N(I45))*N(K45)/(MAX(1,N(U45))*AC45))*Settings!$B$9</f>
        <v>0</v>
      </c>
      <c r="AE45" s="18" t="n">
        <f aca="false">(MAX(1,N(I45))*N(Q45)+MAX(1,N(I45))*N(L45)/(MAX(1,N(U45))*AC45))*Settings!$B$8</f>
        <v>0</v>
      </c>
      <c r="AF45" s="18" t="n">
        <f aca="false">MAX(1,N(I45))*N(T45)</f>
        <v>0</v>
      </c>
      <c r="AG45" s="15" t="n">
        <f aca="false">AA45*N(AD45)</f>
        <v>0</v>
      </c>
      <c r="AH45" s="15" t="n">
        <f aca="false">AA45*N(AE45)</f>
        <v>0</v>
      </c>
      <c r="AI45" s="15" t="n">
        <f aca="false">AA45*N(AF45)</f>
        <v>0</v>
      </c>
      <c r="AJ45" s="15" t="n">
        <f aca="false">AA45*N(R45)</f>
        <v>0</v>
      </c>
      <c r="AK45" s="15" t="n">
        <f aca="false">AB45*N(AD45)</f>
        <v>0</v>
      </c>
      <c r="AL45" s="15" t="n">
        <f aca="false">AB45*N(AE45)</f>
        <v>0</v>
      </c>
      <c r="AM45" s="15" t="n">
        <f aca="false">AB45*N(AF45)</f>
        <v>0</v>
      </c>
      <c r="AN45" s="15" t="n">
        <f aca="false">AB45*N(R45)</f>
        <v>0</v>
      </c>
      <c r="AO45" s="21" t="str">
        <f aca="false">IF(F45&lt;&gt;"Y","n/a",IF(AND(N45&lt;&gt;"",OR(Q45&lt;&gt;"",G45="Other / bench",G45="None"),U45&lt;&gt;""),"OK","Missing"))</f>
        <v>n/a</v>
      </c>
    </row>
    <row r="46" customFormat="false" ht="15" hidden="false" customHeight="false" outlineLevel="0" collapsed="false">
      <c r="A46" s="10" t="s">
        <v>227</v>
      </c>
      <c r="B46" s="10" t="s">
        <v>659</v>
      </c>
      <c r="C46" s="10" t="s">
        <v>677</v>
      </c>
      <c r="D46" s="10" t="s">
        <v>669</v>
      </c>
      <c r="E46" s="21" t="str">
        <f aca="false">IF(A46="","",A46&amp;"|"&amp;D46)</f>
        <v>F07|Other tests (non-HPLC: physical, LOD/KF, disintegration, pH, micro...)</v>
      </c>
      <c r="F46" s="16" t="s">
        <v>662</v>
      </c>
      <c r="G46" s="16" t="s">
        <v>670</v>
      </c>
      <c r="H46" s="16" t="s">
        <v>672</v>
      </c>
      <c r="I46" s="16" t="n">
        <v>1</v>
      </c>
      <c r="J46" s="16"/>
      <c r="K46" s="14"/>
      <c r="L46" s="14"/>
      <c r="M46" s="14"/>
      <c r="N46" s="14"/>
      <c r="O46" s="14"/>
      <c r="P46" s="18" t="n">
        <f aca="false">IF(N46="",0,IF(OR(M46="",O46=""),N46,(M46+4*N46+O46)/6))</f>
        <v>0</v>
      </c>
      <c r="Q46" s="14"/>
      <c r="R46" s="14"/>
      <c r="S46" s="14"/>
      <c r="T46" s="14"/>
      <c r="U46" s="16"/>
      <c r="V46" s="13"/>
      <c r="W46" s="16" t="s">
        <v>662</v>
      </c>
      <c r="X46" s="16"/>
      <c r="Y46" s="16"/>
      <c r="Z46" s="16"/>
      <c r="AA46" s="22" t="n">
        <f aca="false">IF(F46&lt;&gt;"Y",0,((SUMIF(Products!$E$5:$E$300,A46,Products!$F$5:$F$300)+SUMIF(RM_Lots!$A$5:$A$400,A46,RM_Lots!$D$5:$D$400))+IF(W46="Y",SUMIF(Products!$E$5:$E$300,A46,Products!$G$5:$G$300),0))*(1+N(V46)))</f>
        <v>0</v>
      </c>
      <c r="AB46" s="22" t="n">
        <f aca="false">IF(F46&lt;&gt;"Y",0,((SUMIF(Products!$E$5:$E$300,A46,Products!$K$5:$K$300)+SUMIF(RM_Lots!$A$5:$A$400,A46,RM_Lots!$F$5:$F$400))+IF(W46="Y",SUMIF(Products!$E$5:$E$300,A46,Products!$L$5:$L$300),0))*(1+N(V46)))</f>
        <v>0</v>
      </c>
      <c r="AC46" s="17" t="n">
        <f aca="false">IF(J46="",1,MAX(1,COUNTIFS($J$5:$J$863,J46,$F$5:$F$863,"Y")))</f>
        <v>1</v>
      </c>
      <c r="AD46" s="18" t="n">
        <f aca="false">(MAX(1,N(I46))*(P46+N(S46))+MAX(1,N(I46))*N(K46)/(MAX(1,N(U46))*AC46))*Settings!$B$9</f>
        <v>0</v>
      </c>
      <c r="AE46" s="18" t="n">
        <f aca="false">(MAX(1,N(I46))*N(Q46)+MAX(1,N(I46))*N(L46)/(MAX(1,N(U46))*AC46))*Settings!$B$8</f>
        <v>0</v>
      </c>
      <c r="AF46" s="18" t="n">
        <f aca="false">MAX(1,N(I46))*N(T46)</f>
        <v>0</v>
      </c>
      <c r="AG46" s="15" t="n">
        <f aca="false">AA46*N(AD46)</f>
        <v>0</v>
      </c>
      <c r="AH46" s="15" t="n">
        <f aca="false">AA46*N(AE46)</f>
        <v>0</v>
      </c>
      <c r="AI46" s="15" t="n">
        <f aca="false">AA46*N(AF46)</f>
        <v>0</v>
      </c>
      <c r="AJ46" s="15" t="n">
        <f aca="false">AA46*N(R46)</f>
        <v>0</v>
      </c>
      <c r="AK46" s="15" t="n">
        <f aca="false">AB46*N(AD46)</f>
        <v>0</v>
      </c>
      <c r="AL46" s="15" t="n">
        <f aca="false">AB46*N(AE46)</f>
        <v>0</v>
      </c>
      <c r="AM46" s="15" t="n">
        <f aca="false">AB46*N(AF46)</f>
        <v>0</v>
      </c>
      <c r="AN46" s="15" t="n">
        <f aca="false">AB46*N(R46)</f>
        <v>0</v>
      </c>
      <c r="AO46" s="21" t="str">
        <f aca="false">IF(F46&lt;&gt;"Y","n/a",IF(AND(N46&lt;&gt;"",OR(Q46&lt;&gt;"",G46="Other / bench",G46="None"),U46&lt;&gt;""),"OK","Missing"))</f>
        <v>Missing</v>
      </c>
    </row>
    <row r="47" customFormat="false" ht="15" hidden="false" customHeight="false" outlineLevel="0" collapsed="false">
      <c r="A47" s="10" t="s">
        <v>231</v>
      </c>
      <c r="B47" s="10" t="s">
        <v>659</v>
      </c>
      <c r="C47" s="10" t="s">
        <v>678</v>
      </c>
      <c r="D47" s="10" t="s">
        <v>661</v>
      </c>
      <c r="E47" s="21" t="str">
        <f aca="false">IF(A47="","",A47&amp;"|"&amp;D47)</f>
        <v>F08|Assay</v>
      </c>
      <c r="F47" s="16" t="s">
        <v>662</v>
      </c>
      <c r="G47" s="16" t="s">
        <v>147</v>
      </c>
      <c r="H47" s="16" t="s">
        <v>672</v>
      </c>
      <c r="I47" s="16" t="n">
        <v>1</v>
      </c>
      <c r="J47" s="16"/>
      <c r="K47" s="14"/>
      <c r="L47" s="14"/>
      <c r="M47" s="14"/>
      <c r="N47" s="14"/>
      <c r="O47" s="14"/>
      <c r="P47" s="18" t="n">
        <f aca="false">IF(N47="",0,IF(OR(M47="",O47=""),N47,(M47+4*N47+O47)/6))</f>
        <v>0</v>
      </c>
      <c r="Q47" s="14"/>
      <c r="R47" s="14"/>
      <c r="S47" s="14"/>
      <c r="T47" s="14"/>
      <c r="U47" s="16"/>
      <c r="V47" s="13"/>
      <c r="W47" s="16" t="s">
        <v>662</v>
      </c>
      <c r="X47" s="16"/>
      <c r="Y47" s="16"/>
      <c r="Z47" s="16"/>
      <c r="AA47" s="22" t="n">
        <f aca="false">IF(F47&lt;&gt;"Y",0,((SUMIF(Products!$E$5:$E$300,A47,Products!$F$5:$F$300)+SUMIF(RM_Lots!$A$5:$A$400,A47,RM_Lots!$D$5:$D$400))+IF(W47="Y",SUMIF(Products!$E$5:$E$300,A47,Products!$G$5:$G$300),0))*(1+N(V47)))</f>
        <v>0</v>
      </c>
      <c r="AB47" s="22" t="n">
        <f aca="false">IF(F47&lt;&gt;"Y",0,((SUMIF(Products!$E$5:$E$300,A47,Products!$K$5:$K$300)+SUMIF(RM_Lots!$A$5:$A$400,A47,RM_Lots!$F$5:$F$400))+IF(W47="Y",SUMIF(Products!$E$5:$E$300,A47,Products!$L$5:$L$300),0))*(1+N(V47)))</f>
        <v>0</v>
      </c>
      <c r="AC47" s="17" t="n">
        <f aca="false">IF(J47="",1,MAX(1,COUNTIFS($J$5:$J$863,J47,$F$5:$F$863,"Y")))</f>
        <v>1</v>
      </c>
      <c r="AD47" s="18" t="n">
        <f aca="false">(MAX(1,N(I47))*(P47+N(S47))+MAX(1,N(I47))*N(K47)/(MAX(1,N(U47))*AC47))*Settings!$B$9</f>
        <v>0</v>
      </c>
      <c r="AE47" s="18" t="n">
        <f aca="false">(MAX(1,N(I47))*N(Q47)+MAX(1,N(I47))*N(L47)/(MAX(1,N(U47))*AC47))*Settings!$B$8</f>
        <v>0</v>
      </c>
      <c r="AF47" s="18" t="n">
        <f aca="false">MAX(1,N(I47))*N(T47)</f>
        <v>0</v>
      </c>
      <c r="AG47" s="15" t="n">
        <f aca="false">AA47*N(AD47)</f>
        <v>0</v>
      </c>
      <c r="AH47" s="15" t="n">
        <f aca="false">AA47*N(AE47)</f>
        <v>0</v>
      </c>
      <c r="AI47" s="15" t="n">
        <f aca="false">AA47*N(AF47)</f>
        <v>0</v>
      </c>
      <c r="AJ47" s="15" t="n">
        <f aca="false">AA47*N(R47)</f>
        <v>0</v>
      </c>
      <c r="AK47" s="15" t="n">
        <f aca="false">AB47*N(AD47)</f>
        <v>0</v>
      </c>
      <c r="AL47" s="15" t="n">
        <f aca="false">AB47*N(AE47)</f>
        <v>0</v>
      </c>
      <c r="AM47" s="15" t="n">
        <f aca="false">AB47*N(AF47)</f>
        <v>0</v>
      </c>
      <c r="AN47" s="15" t="n">
        <f aca="false">AB47*N(R47)</f>
        <v>0</v>
      </c>
      <c r="AO47" s="21" t="str">
        <f aca="false">IF(F47&lt;&gt;"Y","n/a",IF(AND(N47&lt;&gt;"",OR(Q47&lt;&gt;"",G47="Other / bench",G47="None"),U47&lt;&gt;""),"OK","Missing"))</f>
        <v>Missing</v>
      </c>
    </row>
    <row r="48" customFormat="false" ht="15" hidden="false" customHeight="false" outlineLevel="0" collapsed="false">
      <c r="A48" s="10" t="s">
        <v>231</v>
      </c>
      <c r="B48" s="10" t="s">
        <v>659</v>
      </c>
      <c r="C48" s="10" t="s">
        <v>678</v>
      </c>
      <c r="D48" s="10" t="s">
        <v>664</v>
      </c>
      <c r="E48" s="21" t="str">
        <f aca="false">IF(A48="","",A48&amp;"|"&amp;D48)</f>
        <v>F08|Related substances / impurities</v>
      </c>
      <c r="F48" s="16" t="s">
        <v>662</v>
      </c>
      <c r="G48" s="16" t="s">
        <v>147</v>
      </c>
      <c r="H48" s="16" t="s">
        <v>672</v>
      </c>
      <c r="I48" s="16" t="n">
        <v>1</v>
      </c>
      <c r="J48" s="16"/>
      <c r="K48" s="14"/>
      <c r="L48" s="14"/>
      <c r="M48" s="14"/>
      <c r="N48" s="14"/>
      <c r="O48" s="14"/>
      <c r="P48" s="18" t="n">
        <f aca="false">IF(N48="",0,IF(OR(M48="",O48=""),N48,(M48+4*N48+O48)/6))</f>
        <v>0</v>
      </c>
      <c r="Q48" s="14"/>
      <c r="R48" s="14"/>
      <c r="S48" s="14"/>
      <c r="T48" s="14"/>
      <c r="U48" s="16"/>
      <c r="V48" s="13"/>
      <c r="W48" s="16" t="s">
        <v>662</v>
      </c>
      <c r="X48" s="16"/>
      <c r="Y48" s="16"/>
      <c r="Z48" s="16"/>
      <c r="AA48" s="22" t="n">
        <f aca="false">IF(F48&lt;&gt;"Y",0,((SUMIF(Products!$E$5:$E$300,A48,Products!$F$5:$F$300)+SUMIF(RM_Lots!$A$5:$A$400,A48,RM_Lots!$D$5:$D$400))+IF(W48="Y",SUMIF(Products!$E$5:$E$300,A48,Products!$G$5:$G$300),0))*(1+N(V48)))</f>
        <v>0</v>
      </c>
      <c r="AB48" s="22" t="n">
        <f aca="false">IF(F48&lt;&gt;"Y",0,((SUMIF(Products!$E$5:$E$300,A48,Products!$K$5:$K$300)+SUMIF(RM_Lots!$A$5:$A$400,A48,RM_Lots!$F$5:$F$400))+IF(W48="Y",SUMIF(Products!$E$5:$E$300,A48,Products!$L$5:$L$300),0))*(1+N(V48)))</f>
        <v>0</v>
      </c>
      <c r="AC48" s="17" t="n">
        <f aca="false">IF(J48="",1,MAX(1,COUNTIFS($J$5:$J$863,J48,$F$5:$F$863,"Y")))</f>
        <v>1</v>
      </c>
      <c r="AD48" s="18" t="n">
        <f aca="false">(MAX(1,N(I48))*(P48+N(S48))+MAX(1,N(I48))*N(K48)/(MAX(1,N(U48))*AC48))*Settings!$B$9</f>
        <v>0</v>
      </c>
      <c r="AE48" s="18" t="n">
        <f aca="false">(MAX(1,N(I48))*N(Q48)+MAX(1,N(I48))*N(L48)/(MAX(1,N(U48))*AC48))*Settings!$B$8</f>
        <v>0</v>
      </c>
      <c r="AF48" s="18" t="n">
        <f aca="false">MAX(1,N(I48))*N(T48)</f>
        <v>0</v>
      </c>
      <c r="AG48" s="15" t="n">
        <f aca="false">AA48*N(AD48)</f>
        <v>0</v>
      </c>
      <c r="AH48" s="15" t="n">
        <f aca="false">AA48*N(AE48)</f>
        <v>0</v>
      </c>
      <c r="AI48" s="15" t="n">
        <f aca="false">AA48*N(AF48)</f>
        <v>0</v>
      </c>
      <c r="AJ48" s="15" t="n">
        <f aca="false">AA48*N(R48)</f>
        <v>0</v>
      </c>
      <c r="AK48" s="15" t="n">
        <f aca="false">AB48*N(AD48)</f>
        <v>0</v>
      </c>
      <c r="AL48" s="15" t="n">
        <f aca="false">AB48*N(AE48)</f>
        <v>0</v>
      </c>
      <c r="AM48" s="15" t="n">
        <f aca="false">AB48*N(AF48)</f>
        <v>0</v>
      </c>
      <c r="AN48" s="15" t="n">
        <f aca="false">AB48*N(R48)</f>
        <v>0</v>
      </c>
      <c r="AO48" s="21" t="str">
        <f aca="false">IF(F48&lt;&gt;"Y","n/a",IF(AND(N48&lt;&gt;"",OR(Q48&lt;&gt;"",G48="Other / bench",G48="None"),U48&lt;&gt;""),"OK","Missing"))</f>
        <v>Missing</v>
      </c>
    </row>
    <row r="49" customFormat="false" ht="15" hidden="false" customHeight="false" outlineLevel="0" collapsed="false">
      <c r="A49" s="10" t="s">
        <v>231</v>
      </c>
      <c r="B49" s="10" t="s">
        <v>659</v>
      </c>
      <c r="C49" s="10" t="s">
        <v>678</v>
      </c>
      <c r="D49" s="10" t="s">
        <v>665</v>
      </c>
      <c r="E49" s="21" t="str">
        <f aca="false">IF(A49="","",A49&amp;"|"&amp;D49)</f>
        <v>F08|Dissolution</v>
      </c>
      <c r="F49" s="16" t="s">
        <v>662</v>
      </c>
      <c r="G49" s="16" t="s">
        <v>147</v>
      </c>
      <c r="H49" s="16" t="s">
        <v>672</v>
      </c>
      <c r="I49" s="16" t="n">
        <v>1</v>
      </c>
      <c r="J49" s="16"/>
      <c r="K49" s="14"/>
      <c r="L49" s="14"/>
      <c r="M49" s="14"/>
      <c r="N49" s="14"/>
      <c r="O49" s="14"/>
      <c r="P49" s="18" t="n">
        <f aca="false">IF(N49="",0,IF(OR(M49="",O49=""),N49,(M49+4*N49+O49)/6))</f>
        <v>0</v>
      </c>
      <c r="Q49" s="14"/>
      <c r="R49" s="14"/>
      <c r="S49" s="14"/>
      <c r="T49" s="14"/>
      <c r="U49" s="16"/>
      <c r="V49" s="13"/>
      <c r="W49" s="16" t="s">
        <v>662</v>
      </c>
      <c r="X49" s="16"/>
      <c r="Y49" s="16"/>
      <c r="Z49" s="16"/>
      <c r="AA49" s="22" t="n">
        <f aca="false">IF(F49&lt;&gt;"Y",0,((SUMIF(Products!$E$5:$E$300,A49,Products!$F$5:$F$300)+SUMIF(RM_Lots!$A$5:$A$400,A49,RM_Lots!$D$5:$D$400))+IF(W49="Y",SUMIF(Products!$E$5:$E$300,A49,Products!$G$5:$G$300),0))*(1+N(V49)))</f>
        <v>0</v>
      </c>
      <c r="AB49" s="22" t="n">
        <f aca="false">IF(F49&lt;&gt;"Y",0,((SUMIF(Products!$E$5:$E$300,A49,Products!$K$5:$K$300)+SUMIF(RM_Lots!$A$5:$A$400,A49,RM_Lots!$F$5:$F$400))+IF(W49="Y",SUMIF(Products!$E$5:$E$300,A49,Products!$L$5:$L$300),0))*(1+N(V49)))</f>
        <v>0</v>
      </c>
      <c r="AC49" s="17" t="n">
        <f aca="false">IF(J49="",1,MAX(1,COUNTIFS($J$5:$J$863,J49,$F$5:$F$863,"Y")))</f>
        <v>1</v>
      </c>
      <c r="AD49" s="18" t="n">
        <f aca="false">(MAX(1,N(I49))*(P49+N(S49))+MAX(1,N(I49))*N(K49)/(MAX(1,N(U49))*AC49))*Settings!$B$9</f>
        <v>0</v>
      </c>
      <c r="AE49" s="18" t="n">
        <f aca="false">(MAX(1,N(I49))*N(Q49)+MAX(1,N(I49))*N(L49)/(MAX(1,N(U49))*AC49))*Settings!$B$8</f>
        <v>0</v>
      </c>
      <c r="AF49" s="18" t="n">
        <f aca="false">MAX(1,N(I49))*N(T49)</f>
        <v>0</v>
      </c>
      <c r="AG49" s="15" t="n">
        <f aca="false">AA49*N(AD49)</f>
        <v>0</v>
      </c>
      <c r="AH49" s="15" t="n">
        <f aca="false">AA49*N(AE49)</f>
        <v>0</v>
      </c>
      <c r="AI49" s="15" t="n">
        <f aca="false">AA49*N(AF49)</f>
        <v>0</v>
      </c>
      <c r="AJ49" s="15" t="n">
        <f aca="false">AA49*N(R49)</f>
        <v>0</v>
      </c>
      <c r="AK49" s="15" t="n">
        <f aca="false">AB49*N(AD49)</f>
        <v>0</v>
      </c>
      <c r="AL49" s="15" t="n">
        <f aca="false">AB49*N(AE49)</f>
        <v>0</v>
      </c>
      <c r="AM49" s="15" t="n">
        <f aca="false">AB49*N(AF49)</f>
        <v>0</v>
      </c>
      <c r="AN49" s="15" t="n">
        <f aca="false">AB49*N(R49)</f>
        <v>0</v>
      </c>
      <c r="AO49" s="21" t="str">
        <f aca="false">IF(F49&lt;&gt;"Y","n/a",IF(AND(N49&lt;&gt;"",OR(Q49&lt;&gt;"",G49="Other / bench",G49="None"),U49&lt;&gt;""),"OK","Missing"))</f>
        <v>Missing</v>
      </c>
    </row>
    <row r="50" customFormat="false" ht="15" hidden="false" customHeight="false" outlineLevel="0" collapsed="false">
      <c r="A50" s="10" t="s">
        <v>231</v>
      </c>
      <c r="B50" s="10" t="s">
        <v>659</v>
      </c>
      <c r="C50" s="10" t="s">
        <v>678</v>
      </c>
      <c r="D50" s="10" t="s">
        <v>666</v>
      </c>
      <c r="E50" s="21" t="str">
        <f aca="false">IF(A50="","",A50&amp;"|"&amp;D50)</f>
        <v>F08|Content uniformity</v>
      </c>
      <c r="F50" s="16" t="s">
        <v>662</v>
      </c>
      <c r="G50" s="16" t="s">
        <v>147</v>
      </c>
      <c r="H50" s="16" t="s">
        <v>672</v>
      </c>
      <c r="I50" s="16" t="n">
        <v>1</v>
      </c>
      <c r="J50" s="16"/>
      <c r="K50" s="14"/>
      <c r="L50" s="14"/>
      <c r="M50" s="14"/>
      <c r="N50" s="14"/>
      <c r="O50" s="14"/>
      <c r="P50" s="18" t="n">
        <f aca="false">IF(N50="",0,IF(OR(M50="",O50=""),N50,(M50+4*N50+O50)/6))</f>
        <v>0</v>
      </c>
      <c r="Q50" s="14"/>
      <c r="R50" s="14"/>
      <c r="S50" s="14"/>
      <c r="T50" s="14"/>
      <c r="U50" s="16"/>
      <c r="V50" s="13"/>
      <c r="W50" s="16" t="s">
        <v>667</v>
      </c>
      <c r="X50" s="16"/>
      <c r="Y50" s="16"/>
      <c r="Z50" s="16"/>
      <c r="AA50" s="22" t="n">
        <f aca="false">IF(F50&lt;&gt;"Y",0,((SUMIF(Products!$E$5:$E$300,A50,Products!$F$5:$F$300)+SUMIF(RM_Lots!$A$5:$A$400,A50,RM_Lots!$D$5:$D$400))+IF(W50="Y",SUMIF(Products!$E$5:$E$300,A50,Products!$G$5:$G$300),0))*(1+N(V50)))</f>
        <v>0</v>
      </c>
      <c r="AB50" s="22" t="n">
        <f aca="false">IF(F50&lt;&gt;"Y",0,((SUMIF(Products!$E$5:$E$300,A50,Products!$K$5:$K$300)+SUMIF(RM_Lots!$A$5:$A$400,A50,RM_Lots!$F$5:$F$400))+IF(W50="Y",SUMIF(Products!$E$5:$E$300,A50,Products!$L$5:$L$300),0))*(1+N(V50)))</f>
        <v>0</v>
      </c>
      <c r="AC50" s="17" t="n">
        <f aca="false">IF(J50="",1,MAX(1,COUNTIFS($J$5:$J$863,J50,$F$5:$F$863,"Y")))</f>
        <v>1</v>
      </c>
      <c r="AD50" s="18" t="n">
        <f aca="false">(MAX(1,N(I50))*(P50+N(S50))+MAX(1,N(I50))*N(K50)/(MAX(1,N(U50))*AC50))*Settings!$B$9</f>
        <v>0</v>
      </c>
      <c r="AE50" s="18" t="n">
        <f aca="false">(MAX(1,N(I50))*N(Q50)+MAX(1,N(I50))*N(L50)/(MAX(1,N(U50))*AC50))*Settings!$B$8</f>
        <v>0</v>
      </c>
      <c r="AF50" s="18" t="n">
        <f aca="false">MAX(1,N(I50))*N(T50)</f>
        <v>0</v>
      </c>
      <c r="AG50" s="15" t="n">
        <f aca="false">AA50*N(AD50)</f>
        <v>0</v>
      </c>
      <c r="AH50" s="15" t="n">
        <f aca="false">AA50*N(AE50)</f>
        <v>0</v>
      </c>
      <c r="AI50" s="15" t="n">
        <f aca="false">AA50*N(AF50)</f>
        <v>0</v>
      </c>
      <c r="AJ50" s="15" t="n">
        <f aca="false">AA50*N(R50)</f>
        <v>0</v>
      </c>
      <c r="AK50" s="15" t="n">
        <f aca="false">AB50*N(AD50)</f>
        <v>0</v>
      </c>
      <c r="AL50" s="15" t="n">
        <f aca="false">AB50*N(AE50)</f>
        <v>0</v>
      </c>
      <c r="AM50" s="15" t="n">
        <f aca="false">AB50*N(AF50)</f>
        <v>0</v>
      </c>
      <c r="AN50" s="15" t="n">
        <f aca="false">AB50*N(R50)</f>
        <v>0</v>
      </c>
      <c r="AO50" s="21" t="str">
        <f aca="false">IF(F50&lt;&gt;"Y","n/a",IF(AND(N50&lt;&gt;"",OR(Q50&lt;&gt;"",G50="Other / bench",G50="None"),U50&lt;&gt;""),"OK","Missing"))</f>
        <v>Missing</v>
      </c>
    </row>
    <row r="51" customFormat="false" ht="15" hidden="false" customHeight="false" outlineLevel="0" collapsed="false">
      <c r="A51" s="10" t="s">
        <v>231</v>
      </c>
      <c r="B51" s="10" t="s">
        <v>659</v>
      </c>
      <c r="C51" s="10" t="s">
        <v>678</v>
      </c>
      <c r="D51" s="10" t="s">
        <v>668</v>
      </c>
      <c r="E51" s="21" t="str">
        <f aca="false">IF(A51="","",A51&amp;"|"&amp;D51)</f>
        <v>F08|Identification (if separate from assay)</v>
      </c>
      <c r="F51" s="16" t="s">
        <v>667</v>
      </c>
      <c r="G51" s="16" t="s">
        <v>147</v>
      </c>
      <c r="H51" s="16" t="s">
        <v>672</v>
      </c>
      <c r="I51" s="16" t="n">
        <v>1</v>
      </c>
      <c r="J51" s="16"/>
      <c r="K51" s="14"/>
      <c r="L51" s="14"/>
      <c r="M51" s="14"/>
      <c r="N51" s="14"/>
      <c r="O51" s="14"/>
      <c r="P51" s="18" t="n">
        <f aca="false">IF(N51="",0,IF(OR(M51="",O51=""),N51,(M51+4*N51+O51)/6))</f>
        <v>0</v>
      </c>
      <c r="Q51" s="14"/>
      <c r="R51" s="14"/>
      <c r="S51" s="14"/>
      <c r="T51" s="14"/>
      <c r="U51" s="16"/>
      <c r="V51" s="13"/>
      <c r="W51" s="16" t="s">
        <v>667</v>
      </c>
      <c r="X51" s="16"/>
      <c r="Y51" s="16"/>
      <c r="Z51" s="16"/>
      <c r="AA51" s="22" t="n">
        <f aca="false">IF(F51&lt;&gt;"Y",0,((SUMIF(Products!$E$5:$E$300,A51,Products!$F$5:$F$300)+SUMIF(RM_Lots!$A$5:$A$400,A51,RM_Lots!$D$5:$D$400))+IF(W51="Y",SUMIF(Products!$E$5:$E$300,A51,Products!$G$5:$G$300),0))*(1+N(V51)))</f>
        <v>0</v>
      </c>
      <c r="AB51" s="22" t="n">
        <f aca="false">IF(F51&lt;&gt;"Y",0,((SUMIF(Products!$E$5:$E$300,A51,Products!$K$5:$K$300)+SUMIF(RM_Lots!$A$5:$A$400,A51,RM_Lots!$F$5:$F$400))+IF(W51="Y",SUMIF(Products!$E$5:$E$300,A51,Products!$L$5:$L$300),0))*(1+N(V51)))</f>
        <v>0</v>
      </c>
      <c r="AC51" s="17" t="n">
        <f aca="false">IF(J51="",1,MAX(1,COUNTIFS($J$5:$J$863,J51,$F$5:$F$863,"Y")))</f>
        <v>1</v>
      </c>
      <c r="AD51" s="18" t="n">
        <f aca="false">(MAX(1,N(I51))*(P51+N(S51))+MAX(1,N(I51))*N(K51)/(MAX(1,N(U51))*AC51))*Settings!$B$9</f>
        <v>0</v>
      </c>
      <c r="AE51" s="18" t="n">
        <f aca="false">(MAX(1,N(I51))*N(Q51)+MAX(1,N(I51))*N(L51)/(MAX(1,N(U51))*AC51))*Settings!$B$8</f>
        <v>0</v>
      </c>
      <c r="AF51" s="18" t="n">
        <f aca="false">MAX(1,N(I51))*N(T51)</f>
        <v>0</v>
      </c>
      <c r="AG51" s="15" t="n">
        <f aca="false">AA51*N(AD51)</f>
        <v>0</v>
      </c>
      <c r="AH51" s="15" t="n">
        <f aca="false">AA51*N(AE51)</f>
        <v>0</v>
      </c>
      <c r="AI51" s="15" t="n">
        <f aca="false">AA51*N(AF51)</f>
        <v>0</v>
      </c>
      <c r="AJ51" s="15" t="n">
        <f aca="false">AA51*N(R51)</f>
        <v>0</v>
      </c>
      <c r="AK51" s="15" t="n">
        <f aca="false">AB51*N(AD51)</f>
        <v>0</v>
      </c>
      <c r="AL51" s="15" t="n">
        <f aca="false">AB51*N(AE51)</f>
        <v>0</v>
      </c>
      <c r="AM51" s="15" t="n">
        <f aca="false">AB51*N(AF51)</f>
        <v>0</v>
      </c>
      <c r="AN51" s="15" t="n">
        <f aca="false">AB51*N(R51)</f>
        <v>0</v>
      </c>
      <c r="AO51" s="21" t="str">
        <f aca="false">IF(F51&lt;&gt;"Y","n/a",IF(AND(N51&lt;&gt;"",OR(Q51&lt;&gt;"",G51="Other / bench",G51="None"),U51&lt;&gt;""),"OK","Missing"))</f>
        <v>n/a</v>
      </c>
    </row>
    <row r="52" customFormat="false" ht="15" hidden="false" customHeight="false" outlineLevel="0" collapsed="false">
      <c r="A52" s="10" t="s">
        <v>231</v>
      </c>
      <c r="B52" s="10" t="s">
        <v>659</v>
      </c>
      <c r="C52" s="10" t="s">
        <v>678</v>
      </c>
      <c r="D52" s="10" t="s">
        <v>669</v>
      </c>
      <c r="E52" s="21" t="str">
        <f aca="false">IF(A52="","",A52&amp;"|"&amp;D52)</f>
        <v>F08|Other tests (non-HPLC: physical, LOD/KF, disintegration, pH, micro...)</v>
      </c>
      <c r="F52" s="16" t="s">
        <v>662</v>
      </c>
      <c r="G52" s="16" t="s">
        <v>670</v>
      </c>
      <c r="H52" s="16" t="s">
        <v>672</v>
      </c>
      <c r="I52" s="16" t="n">
        <v>1</v>
      </c>
      <c r="J52" s="16"/>
      <c r="K52" s="14"/>
      <c r="L52" s="14"/>
      <c r="M52" s="14"/>
      <c r="N52" s="14"/>
      <c r="O52" s="14"/>
      <c r="P52" s="18" t="n">
        <f aca="false">IF(N52="",0,IF(OR(M52="",O52=""),N52,(M52+4*N52+O52)/6))</f>
        <v>0</v>
      </c>
      <c r="Q52" s="14"/>
      <c r="R52" s="14"/>
      <c r="S52" s="14"/>
      <c r="T52" s="14"/>
      <c r="U52" s="16"/>
      <c r="V52" s="13"/>
      <c r="W52" s="16" t="s">
        <v>662</v>
      </c>
      <c r="X52" s="16"/>
      <c r="Y52" s="16"/>
      <c r="Z52" s="16"/>
      <c r="AA52" s="22" t="n">
        <f aca="false">IF(F52&lt;&gt;"Y",0,((SUMIF(Products!$E$5:$E$300,A52,Products!$F$5:$F$300)+SUMIF(RM_Lots!$A$5:$A$400,A52,RM_Lots!$D$5:$D$400))+IF(W52="Y",SUMIF(Products!$E$5:$E$300,A52,Products!$G$5:$G$300),0))*(1+N(V52)))</f>
        <v>0</v>
      </c>
      <c r="AB52" s="22" t="n">
        <f aca="false">IF(F52&lt;&gt;"Y",0,((SUMIF(Products!$E$5:$E$300,A52,Products!$K$5:$K$300)+SUMIF(RM_Lots!$A$5:$A$400,A52,RM_Lots!$F$5:$F$400))+IF(W52="Y",SUMIF(Products!$E$5:$E$300,A52,Products!$L$5:$L$300),0))*(1+N(V52)))</f>
        <v>0</v>
      </c>
      <c r="AC52" s="17" t="n">
        <f aca="false">IF(J52="",1,MAX(1,COUNTIFS($J$5:$J$863,J52,$F$5:$F$863,"Y")))</f>
        <v>1</v>
      </c>
      <c r="AD52" s="18" t="n">
        <f aca="false">(MAX(1,N(I52))*(P52+N(S52))+MAX(1,N(I52))*N(K52)/(MAX(1,N(U52))*AC52))*Settings!$B$9</f>
        <v>0</v>
      </c>
      <c r="AE52" s="18" t="n">
        <f aca="false">(MAX(1,N(I52))*N(Q52)+MAX(1,N(I52))*N(L52)/(MAX(1,N(U52))*AC52))*Settings!$B$8</f>
        <v>0</v>
      </c>
      <c r="AF52" s="18" t="n">
        <f aca="false">MAX(1,N(I52))*N(T52)</f>
        <v>0</v>
      </c>
      <c r="AG52" s="15" t="n">
        <f aca="false">AA52*N(AD52)</f>
        <v>0</v>
      </c>
      <c r="AH52" s="15" t="n">
        <f aca="false">AA52*N(AE52)</f>
        <v>0</v>
      </c>
      <c r="AI52" s="15" t="n">
        <f aca="false">AA52*N(AF52)</f>
        <v>0</v>
      </c>
      <c r="AJ52" s="15" t="n">
        <f aca="false">AA52*N(R52)</f>
        <v>0</v>
      </c>
      <c r="AK52" s="15" t="n">
        <f aca="false">AB52*N(AD52)</f>
        <v>0</v>
      </c>
      <c r="AL52" s="15" t="n">
        <f aca="false">AB52*N(AE52)</f>
        <v>0</v>
      </c>
      <c r="AM52" s="15" t="n">
        <f aca="false">AB52*N(AF52)</f>
        <v>0</v>
      </c>
      <c r="AN52" s="15" t="n">
        <f aca="false">AB52*N(R52)</f>
        <v>0</v>
      </c>
      <c r="AO52" s="21" t="str">
        <f aca="false">IF(F52&lt;&gt;"Y","n/a",IF(AND(N52&lt;&gt;"",OR(Q52&lt;&gt;"",G52="Other / bench",G52="None"),U52&lt;&gt;""),"OK","Missing"))</f>
        <v>Missing</v>
      </c>
    </row>
    <row r="53" customFormat="false" ht="15" hidden="false" customHeight="false" outlineLevel="0" collapsed="false">
      <c r="A53" s="10" t="s">
        <v>235</v>
      </c>
      <c r="B53" s="10" t="s">
        <v>659</v>
      </c>
      <c r="C53" s="10" t="s">
        <v>679</v>
      </c>
      <c r="D53" s="10" t="s">
        <v>661</v>
      </c>
      <c r="E53" s="21" t="str">
        <f aca="false">IF(A53="","",A53&amp;"|"&amp;D53)</f>
        <v>F09|Assay</v>
      </c>
      <c r="F53" s="16" t="s">
        <v>662</v>
      </c>
      <c r="G53" s="16" t="s">
        <v>147</v>
      </c>
      <c r="H53" s="16" t="s">
        <v>672</v>
      </c>
      <c r="I53" s="16" t="n">
        <v>1</v>
      </c>
      <c r="J53" s="16"/>
      <c r="K53" s="14"/>
      <c r="L53" s="14"/>
      <c r="M53" s="14"/>
      <c r="N53" s="14"/>
      <c r="O53" s="14"/>
      <c r="P53" s="18" t="n">
        <f aca="false">IF(N53="",0,IF(OR(M53="",O53=""),N53,(M53+4*N53+O53)/6))</f>
        <v>0</v>
      </c>
      <c r="Q53" s="14"/>
      <c r="R53" s="14"/>
      <c r="S53" s="14"/>
      <c r="T53" s="14"/>
      <c r="U53" s="16"/>
      <c r="V53" s="13"/>
      <c r="W53" s="16" t="s">
        <v>662</v>
      </c>
      <c r="X53" s="16"/>
      <c r="Y53" s="16"/>
      <c r="Z53" s="16"/>
      <c r="AA53" s="22" t="n">
        <f aca="false">IF(F53&lt;&gt;"Y",0,((SUMIF(Products!$E$5:$E$300,A53,Products!$F$5:$F$300)+SUMIF(RM_Lots!$A$5:$A$400,A53,RM_Lots!$D$5:$D$400))+IF(W53="Y",SUMIF(Products!$E$5:$E$300,A53,Products!$G$5:$G$300),0))*(1+N(V53)))</f>
        <v>0</v>
      </c>
      <c r="AB53" s="22" t="n">
        <f aca="false">IF(F53&lt;&gt;"Y",0,((SUMIF(Products!$E$5:$E$300,A53,Products!$K$5:$K$300)+SUMIF(RM_Lots!$A$5:$A$400,A53,RM_Lots!$F$5:$F$400))+IF(W53="Y",SUMIF(Products!$E$5:$E$300,A53,Products!$L$5:$L$300),0))*(1+N(V53)))</f>
        <v>0</v>
      </c>
      <c r="AC53" s="17" t="n">
        <f aca="false">IF(J53="",1,MAX(1,COUNTIFS($J$5:$J$863,J53,$F$5:$F$863,"Y")))</f>
        <v>1</v>
      </c>
      <c r="AD53" s="18" t="n">
        <f aca="false">(MAX(1,N(I53))*(P53+N(S53))+MAX(1,N(I53))*N(K53)/(MAX(1,N(U53))*AC53))*Settings!$B$9</f>
        <v>0</v>
      </c>
      <c r="AE53" s="18" t="n">
        <f aca="false">(MAX(1,N(I53))*N(Q53)+MAX(1,N(I53))*N(L53)/(MAX(1,N(U53))*AC53))*Settings!$B$8</f>
        <v>0</v>
      </c>
      <c r="AF53" s="18" t="n">
        <f aca="false">MAX(1,N(I53))*N(T53)</f>
        <v>0</v>
      </c>
      <c r="AG53" s="15" t="n">
        <f aca="false">AA53*N(AD53)</f>
        <v>0</v>
      </c>
      <c r="AH53" s="15" t="n">
        <f aca="false">AA53*N(AE53)</f>
        <v>0</v>
      </c>
      <c r="AI53" s="15" t="n">
        <f aca="false">AA53*N(AF53)</f>
        <v>0</v>
      </c>
      <c r="AJ53" s="15" t="n">
        <f aca="false">AA53*N(R53)</f>
        <v>0</v>
      </c>
      <c r="AK53" s="15" t="n">
        <f aca="false">AB53*N(AD53)</f>
        <v>0</v>
      </c>
      <c r="AL53" s="15" t="n">
        <f aca="false">AB53*N(AE53)</f>
        <v>0</v>
      </c>
      <c r="AM53" s="15" t="n">
        <f aca="false">AB53*N(AF53)</f>
        <v>0</v>
      </c>
      <c r="AN53" s="15" t="n">
        <f aca="false">AB53*N(R53)</f>
        <v>0</v>
      </c>
      <c r="AO53" s="21" t="str">
        <f aca="false">IF(F53&lt;&gt;"Y","n/a",IF(AND(N53&lt;&gt;"",OR(Q53&lt;&gt;"",G53="Other / bench",G53="None"),U53&lt;&gt;""),"OK","Missing"))</f>
        <v>Missing</v>
      </c>
    </row>
    <row r="54" customFormat="false" ht="15" hidden="false" customHeight="false" outlineLevel="0" collapsed="false">
      <c r="A54" s="10" t="s">
        <v>235</v>
      </c>
      <c r="B54" s="10" t="s">
        <v>659</v>
      </c>
      <c r="C54" s="10" t="s">
        <v>679</v>
      </c>
      <c r="D54" s="10" t="s">
        <v>664</v>
      </c>
      <c r="E54" s="21" t="str">
        <f aca="false">IF(A54="","",A54&amp;"|"&amp;D54)</f>
        <v>F09|Related substances / impurities</v>
      </c>
      <c r="F54" s="16" t="s">
        <v>662</v>
      </c>
      <c r="G54" s="16" t="s">
        <v>147</v>
      </c>
      <c r="H54" s="16" t="s">
        <v>672</v>
      </c>
      <c r="I54" s="16" t="n">
        <v>1</v>
      </c>
      <c r="J54" s="16"/>
      <c r="K54" s="14"/>
      <c r="L54" s="14"/>
      <c r="M54" s="14"/>
      <c r="N54" s="14"/>
      <c r="O54" s="14"/>
      <c r="P54" s="18" t="n">
        <f aca="false">IF(N54="",0,IF(OR(M54="",O54=""),N54,(M54+4*N54+O54)/6))</f>
        <v>0</v>
      </c>
      <c r="Q54" s="14"/>
      <c r="R54" s="14"/>
      <c r="S54" s="14"/>
      <c r="T54" s="14"/>
      <c r="U54" s="16"/>
      <c r="V54" s="13"/>
      <c r="W54" s="16" t="s">
        <v>662</v>
      </c>
      <c r="X54" s="16"/>
      <c r="Y54" s="16"/>
      <c r="Z54" s="16"/>
      <c r="AA54" s="22" t="n">
        <f aca="false">IF(F54&lt;&gt;"Y",0,((SUMIF(Products!$E$5:$E$300,A54,Products!$F$5:$F$300)+SUMIF(RM_Lots!$A$5:$A$400,A54,RM_Lots!$D$5:$D$400))+IF(W54="Y",SUMIF(Products!$E$5:$E$300,A54,Products!$G$5:$G$300),0))*(1+N(V54)))</f>
        <v>0</v>
      </c>
      <c r="AB54" s="22" t="n">
        <f aca="false">IF(F54&lt;&gt;"Y",0,((SUMIF(Products!$E$5:$E$300,A54,Products!$K$5:$K$300)+SUMIF(RM_Lots!$A$5:$A$400,A54,RM_Lots!$F$5:$F$400))+IF(W54="Y",SUMIF(Products!$E$5:$E$300,A54,Products!$L$5:$L$300),0))*(1+N(V54)))</f>
        <v>0</v>
      </c>
      <c r="AC54" s="17" t="n">
        <f aca="false">IF(J54="",1,MAX(1,COUNTIFS($J$5:$J$863,J54,$F$5:$F$863,"Y")))</f>
        <v>1</v>
      </c>
      <c r="AD54" s="18" t="n">
        <f aca="false">(MAX(1,N(I54))*(P54+N(S54))+MAX(1,N(I54))*N(K54)/(MAX(1,N(U54))*AC54))*Settings!$B$9</f>
        <v>0</v>
      </c>
      <c r="AE54" s="18" t="n">
        <f aca="false">(MAX(1,N(I54))*N(Q54)+MAX(1,N(I54))*N(L54)/(MAX(1,N(U54))*AC54))*Settings!$B$8</f>
        <v>0</v>
      </c>
      <c r="AF54" s="18" t="n">
        <f aca="false">MAX(1,N(I54))*N(T54)</f>
        <v>0</v>
      </c>
      <c r="AG54" s="15" t="n">
        <f aca="false">AA54*N(AD54)</f>
        <v>0</v>
      </c>
      <c r="AH54" s="15" t="n">
        <f aca="false">AA54*N(AE54)</f>
        <v>0</v>
      </c>
      <c r="AI54" s="15" t="n">
        <f aca="false">AA54*N(AF54)</f>
        <v>0</v>
      </c>
      <c r="AJ54" s="15" t="n">
        <f aca="false">AA54*N(R54)</f>
        <v>0</v>
      </c>
      <c r="AK54" s="15" t="n">
        <f aca="false">AB54*N(AD54)</f>
        <v>0</v>
      </c>
      <c r="AL54" s="15" t="n">
        <f aca="false">AB54*N(AE54)</f>
        <v>0</v>
      </c>
      <c r="AM54" s="15" t="n">
        <f aca="false">AB54*N(AF54)</f>
        <v>0</v>
      </c>
      <c r="AN54" s="15" t="n">
        <f aca="false">AB54*N(R54)</f>
        <v>0</v>
      </c>
      <c r="AO54" s="21" t="str">
        <f aca="false">IF(F54&lt;&gt;"Y","n/a",IF(AND(N54&lt;&gt;"",OR(Q54&lt;&gt;"",G54="Other / bench",G54="None"),U54&lt;&gt;""),"OK","Missing"))</f>
        <v>Missing</v>
      </c>
    </row>
    <row r="55" customFormat="false" ht="15" hidden="false" customHeight="false" outlineLevel="0" collapsed="false">
      <c r="A55" s="10" t="s">
        <v>235</v>
      </c>
      <c r="B55" s="10" t="s">
        <v>659</v>
      </c>
      <c r="C55" s="10" t="s">
        <v>679</v>
      </c>
      <c r="D55" s="10" t="s">
        <v>665</v>
      </c>
      <c r="E55" s="21" t="str">
        <f aca="false">IF(A55="","",A55&amp;"|"&amp;D55)</f>
        <v>F09|Dissolution</v>
      </c>
      <c r="F55" s="16" t="s">
        <v>662</v>
      </c>
      <c r="G55" s="16" t="s">
        <v>147</v>
      </c>
      <c r="H55" s="16" t="s">
        <v>672</v>
      </c>
      <c r="I55" s="16" t="n">
        <v>1</v>
      </c>
      <c r="J55" s="16"/>
      <c r="K55" s="14"/>
      <c r="L55" s="14"/>
      <c r="M55" s="14"/>
      <c r="N55" s="14"/>
      <c r="O55" s="14"/>
      <c r="P55" s="18" t="n">
        <f aca="false">IF(N55="",0,IF(OR(M55="",O55=""),N55,(M55+4*N55+O55)/6))</f>
        <v>0</v>
      </c>
      <c r="Q55" s="14"/>
      <c r="R55" s="14"/>
      <c r="S55" s="14"/>
      <c r="T55" s="14"/>
      <c r="U55" s="16"/>
      <c r="V55" s="13"/>
      <c r="W55" s="16" t="s">
        <v>662</v>
      </c>
      <c r="X55" s="16"/>
      <c r="Y55" s="16"/>
      <c r="Z55" s="16"/>
      <c r="AA55" s="22" t="n">
        <f aca="false">IF(F55&lt;&gt;"Y",0,((SUMIF(Products!$E$5:$E$300,A55,Products!$F$5:$F$300)+SUMIF(RM_Lots!$A$5:$A$400,A55,RM_Lots!$D$5:$D$400))+IF(W55="Y",SUMIF(Products!$E$5:$E$300,A55,Products!$G$5:$G$300),0))*(1+N(V55)))</f>
        <v>0</v>
      </c>
      <c r="AB55" s="22" t="n">
        <f aca="false">IF(F55&lt;&gt;"Y",0,((SUMIF(Products!$E$5:$E$300,A55,Products!$K$5:$K$300)+SUMIF(RM_Lots!$A$5:$A$400,A55,RM_Lots!$F$5:$F$400))+IF(W55="Y",SUMIF(Products!$E$5:$E$300,A55,Products!$L$5:$L$300),0))*(1+N(V55)))</f>
        <v>0</v>
      </c>
      <c r="AC55" s="17" t="n">
        <f aca="false">IF(J55="",1,MAX(1,COUNTIFS($J$5:$J$863,J55,$F$5:$F$863,"Y")))</f>
        <v>1</v>
      </c>
      <c r="AD55" s="18" t="n">
        <f aca="false">(MAX(1,N(I55))*(P55+N(S55))+MAX(1,N(I55))*N(K55)/(MAX(1,N(U55))*AC55))*Settings!$B$9</f>
        <v>0</v>
      </c>
      <c r="AE55" s="18" t="n">
        <f aca="false">(MAX(1,N(I55))*N(Q55)+MAX(1,N(I55))*N(L55)/(MAX(1,N(U55))*AC55))*Settings!$B$8</f>
        <v>0</v>
      </c>
      <c r="AF55" s="18" t="n">
        <f aca="false">MAX(1,N(I55))*N(T55)</f>
        <v>0</v>
      </c>
      <c r="AG55" s="15" t="n">
        <f aca="false">AA55*N(AD55)</f>
        <v>0</v>
      </c>
      <c r="AH55" s="15" t="n">
        <f aca="false">AA55*N(AE55)</f>
        <v>0</v>
      </c>
      <c r="AI55" s="15" t="n">
        <f aca="false">AA55*N(AF55)</f>
        <v>0</v>
      </c>
      <c r="AJ55" s="15" t="n">
        <f aca="false">AA55*N(R55)</f>
        <v>0</v>
      </c>
      <c r="AK55" s="15" t="n">
        <f aca="false">AB55*N(AD55)</f>
        <v>0</v>
      </c>
      <c r="AL55" s="15" t="n">
        <f aca="false">AB55*N(AE55)</f>
        <v>0</v>
      </c>
      <c r="AM55" s="15" t="n">
        <f aca="false">AB55*N(AF55)</f>
        <v>0</v>
      </c>
      <c r="AN55" s="15" t="n">
        <f aca="false">AB55*N(R55)</f>
        <v>0</v>
      </c>
      <c r="AO55" s="21" t="str">
        <f aca="false">IF(F55&lt;&gt;"Y","n/a",IF(AND(N55&lt;&gt;"",OR(Q55&lt;&gt;"",G55="Other / bench",G55="None"),U55&lt;&gt;""),"OK","Missing"))</f>
        <v>Missing</v>
      </c>
    </row>
    <row r="56" customFormat="false" ht="15" hidden="false" customHeight="false" outlineLevel="0" collapsed="false">
      <c r="A56" s="10" t="s">
        <v>235</v>
      </c>
      <c r="B56" s="10" t="s">
        <v>659</v>
      </c>
      <c r="C56" s="10" t="s">
        <v>679</v>
      </c>
      <c r="D56" s="10" t="s">
        <v>666</v>
      </c>
      <c r="E56" s="21" t="str">
        <f aca="false">IF(A56="","",A56&amp;"|"&amp;D56)</f>
        <v>F09|Content uniformity</v>
      </c>
      <c r="F56" s="16" t="s">
        <v>662</v>
      </c>
      <c r="G56" s="16" t="s">
        <v>147</v>
      </c>
      <c r="H56" s="16" t="s">
        <v>672</v>
      </c>
      <c r="I56" s="16" t="n">
        <v>1</v>
      </c>
      <c r="J56" s="16"/>
      <c r="K56" s="14"/>
      <c r="L56" s="14"/>
      <c r="M56" s="14"/>
      <c r="N56" s="14"/>
      <c r="O56" s="14"/>
      <c r="P56" s="18" t="n">
        <f aca="false">IF(N56="",0,IF(OR(M56="",O56=""),N56,(M56+4*N56+O56)/6))</f>
        <v>0</v>
      </c>
      <c r="Q56" s="14"/>
      <c r="R56" s="14"/>
      <c r="S56" s="14"/>
      <c r="T56" s="14"/>
      <c r="U56" s="16"/>
      <c r="V56" s="13"/>
      <c r="W56" s="16" t="s">
        <v>667</v>
      </c>
      <c r="X56" s="16"/>
      <c r="Y56" s="16"/>
      <c r="Z56" s="16"/>
      <c r="AA56" s="22" t="n">
        <f aca="false">IF(F56&lt;&gt;"Y",0,((SUMIF(Products!$E$5:$E$300,A56,Products!$F$5:$F$300)+SUMIF(RM_Lots!$A$5:$A$400,A56,RM_Lots!$D$5:$D$400))+IF(W56="Y",SUMIF(Products!$E$5:$E$300,A56,Products!$G$5:$G$300),0))*(1+N(V56)))</f>
        <v>0</v>
      </c>
      <c r="AB56" s="22" t="n">
        <f aca="false">IF(F56&lt;&gt;"Y",0,((SUMIF(Products!$E$5:$E$300,A56,Products!$K$5:$K$300)+SUMIF(RM_Lots!$A$5:$A$400,A56,RM_Lots!$F$5:$F$400))+IF(W56="Y",SUMIF(Products!$E$5:$E$300,A56,Products!$L$5:$L$300),0))*(1+N(V56)))</f>
        <v>0</v>
      </c>
      <c r="AC56" s="17" t="n">
        <f aca="false">IF(J56="",1,MAX(1,COUNTIFS($J$5:$J$863,J56,$F$5:$F$863,"Y")))</f>
        <v>1</v>
      </c>
      <c r="AD56" s="18" t="n">
        <f aca="false">(MAX(1,N(I56))*(P56+N(S56))+MAX(1,N(I56))*N(K56)/(MAX(1,N(U56))*AC56))*Settings!$B$9</f>
        <v>0</v>
      </c>
      <c r="AE56" s="18" t="n">
        <f aca="false">(MAX(1,N(I56))*N(Q56)+MAX(1,N(I56))*N(L56)/(MAX(1,N(U56))*AC56))*Settings!$B$8</f>
        <v>0</v>
      </c>
      <c r="AF56" s="18" t="n">
        <f aca="false">MAX(1,N(I56))*N(T56)</f>
        <v>0</v>
      </c>
      <c r="AG56" s="15" t="n">
        <f aca="false">AA56*N(AD56)</f>
        <v>0</v>
      </c>
      <c r="AH56" s="15" t="n">
        <f aca="false">AA56*N(AE56)</f>
        <v>0</v>
      </c>
      <c r="AI56" s="15" t="n">
        <f aca="false">AA56*N(AF56)</f>
        <v>0</v>
      </c>
      <c r="AJ56" s="15" t="n">
        <f aca="false">AA56*N(R56)</f>
        <v>0</v>
      </c>
      <c r="AK56" s="15" t="n">
        <f aca="false">AB56*N(AD56)</f>
        <v>0</v>
      </c>
      <c r="AL56" s="15" t="n">
        <f aca="false">AB56*N(AE56)</f>
        <v>0</v>
      </c>
      <c r="AM56" s="15" t="n">
        <f aca="false">AB56*N(AF56)</f>
        <v>0</v>
      </c>
      <c r="AN56" s="15" t="n">
        <f aca="false">AB56*N(R56)</f>
        <v>0</v>
      </c>
      <c r="AO56" s="21" t="str">
        <f aca="false">IF(F56&lt;&gt;"Y","n/a",IF(AND(N56&lt;&gt;"",OR(Q56&lt;&gt;"",G56="Other / bench",G56="None"),U56&lt;&gt;""),"OK","Missing"))</f>
        <v>Missing</v>
      </c>
    </row>
    <row r="57" customFormat="false" ht="15" hidden="false" customHeight="false" outlineLevel="0" collapsed="false">
      <c r="A57" s="10" t="s">
        <v>235</v>
      </c>
      <c r="B57" s="10" t="s">
        <v>659</v>
      </c>
      <c r="C57" s="10" t="s">
        <v>679</v>
      </c>
      <c r="D57" s="10" t="s">
        <v>668</v>
      </c>
      <c r="E57" s="21" t="str">
        <f aca="false">IF(A57="","",A57&amp;"|"&amp;D57)</f>
        <v>F09|Identification (if separate from assay)</v>
      </c>
      <c r="F57" s="16" t="s">
        <v>667</v>
      </c>
      <c r="G57" s="16" t="s">
        <v>147</v>
      </c>
      <c r="H57" s="16" t="s">
        <v>672</v>
      </c>
      <c r="I57" s="16" t="n">
        <v>1</v>
      </c>
      <c r="J57" s="16"/>
      <c r="K57" s="14"/>
      <c r="L57" s="14"/>
      <c r="M57" s="14"/>
      <c r="N57" s="14"/>
      <c r="O57" s="14"/>
      <c r="P57" s="18" t="n">
        <f aca="false">IF(N57="",0,IF(OR(M57="",O57=""),N57,(M57+4*N57+O57)/6))</f>
        <v>0</v>
      </c>
      <c r="Q57" s="14"/>
      <c r="R57" s="14"/>
      <c r="S57" s="14"/>
      <c r="T57" s="14"/>
      <c r="U57" s="16"/>
      <c r="V57" s="13"/>
      <c r="W57" s="16" t="s">
        <v>667</v>
      </c>
      <c r="X57" s="16"/>
      <c r="Y57" s="16"/>
      <c r="Z57" s="16"/>
      <c r="AA57" s="22" t="n">
        <f aca="false">IF(F57&lt;&gt;"Y",0,((SUMIF(Products!$E$5:$E$300,A57,Products!$F$5:$F$300)+SUMIF(RM_Lots!$A$5:$A$400,A57,RM_Lots!$D$5:$D$400))+IF(W57="Y",SUMIF(Products!$E$5:$E$300,A57,Products!$G$5:$G$300),0))*(1+N(V57)))</f>
        <v>0</v>
      </c>
      <c r="AB57" s="22" t="n">
        <f aca="false">IF(F57&lt;&gt;"Y",0,((SUMIF(Products!$E$5:$E$300,A57,Products!$K$5:$K$300)+SUMIF(RM_Lots!$A$5:$A$400,A57,RM_Lots!$F$5:$F$400))+IF(W57="Y",SUMIF(Products!$E$5:$E$300,A57,Products!$L$5:$L$300),0))*(1+N(V57)))</f>
        <v>0</v>
      </c>
      <c r="AC57" s="17" t="n">
        <f aca="false">IF(J57="",1,MAX(1,COUNTIFS($J$5:$J$863,J57,$F$5:$F$863,"Y")))</f>
        <v>1</v>
      </c>
      <c r="AD57" s="18" t="n">
        <f aca="false">(MAX(1,N(I57))*(P57+N(S57))+MAX(1,N(I57))*N(K57)/(MAX(1,N(U57))*AC57))*Settings!$B$9</f>
        <v>0</v>
      </c>
      <c r="AE57" s="18" t="n">
        <f aca="false">(MAX(1,N(I57))*N(Q57)+MAX(1,N(I57))*N(L57)/(MAX(1,N(U57))*AC57))*Settings!$B$8</f>
        <v>0</v>
      </c>
      <c r="AF57" s="18" t="n">
        <f aca="false">MAX(1,N(I57))*N(T57)</f>
        <v>0</v>
      </c>
      <c r="AG57" s="15" t="n">
        <f aca="false">AA57*N(AD57)</f>
        <v>0</v>
      </c>
      <c r="AH57" s="15" t="n">
        <f aca="false">AA57*N(AE57)</f>
        <v>0</v>
      </c>
      <c r="AI57" s="15" t="n">
        <f aca="false">AA57*N(AF57)</f>
        <v>0</v>
      </c>
      <c r="AJ57" s="15" t="n">
        <f aca="false">AA57*N(R57)</f>
        <v>0</v>
      </c>
      <c r="AK57" s="15" t="n">
        <f aca="false">AB57*N(AD57)</f>
        <v>0</v>
      </c>
      <c r="AL57" s="15" t="n">
        <f aca="false">AB57*N(AE57)</f>
        <v>0</v>
      </c>
      <c r="AM57" s="15" t="n">
        <f aca="false">AB57*N(AF57)</f>
        <v>0</v>
      </c>
      <c r="AN57" s="15" t="n">
        <f aca="false">AB57*N(R57)</f>
        <v>0</v>
      </c>
      <c r="AO57" s="21" t="str">
        <f aca="false">IF(F57&lt;&gt;"Y","n/a",IF(AND(N57&lt;&gt;"",OR(Q57&lt;&gt;"",G57="Other / bench",G57="None"),U57&lt;&gt;""),"OK","Missing"))</f>
        <v>n/a</v>
      </c>
    </row>
    <row r="58" customFormat="false" ht="15" hidden="false" customHeight="false" outlineLevel="0" collapsed="false">
      <c r="A58" s="10" t="s">
        <v>235</v>
      </c>
      <c r="B58" s="10" t="s">
        <v>659</v>
      </c>
      <c r="C58" s="10" t="s">
        <v>679</v>
      </c>
      <c r="D58" s="10" t="s">
        <v>669</v>
      </c>
      <c r="E58" s="21" t="str">
        <f aca="false">IF(A58="","",A58&amp;"|"&amp;D58)</f>
        <v>F09|Other tests (non-HPLC: physical, LOD/KF, disintegration, pH, micro...)</v>
      </c>
      <c r="F58" s="16" t="s">
        <v>662</v>
      </c>
      <c r="G58" s="16" t="s">
        <v>670</v>
      </c>
      <c r="H58" s="16" t="s">
        <v>672</v>
      </c>
      <c r="I58" s="16" t="n">
        <v>1</v>
      </c>
      <c r="J58" s="16"/>
      <c r="K58" s="14"/>
      <c r="L58" s="14"/>
      <c r="M58" s="14"/>
      <c r="N58" s="14"/>
      <c r="O58" s="14"/>
      <c r="P58" s="18" t="n">
        <f aca="false">IF(N58="",0,IF(OR(M58="",O58=""),N58,(M58+4*N58+O58)/6))</f>
        <v>0</v>
      </c>
      <c r="Q58" s="14"/>
      <c r="R58" s="14"/>
      <c r="S58" s="14"/>
      <c r="T58" s="14"/>
      <c r="U58" s="16"/>
      <c r="V58" s="13"/>
      <c r="W58" s="16" t="s">
        <v>662</v>
      </c>
      <c r="X58" s="16"/>
      <c r="Y58" s="16"/>
      <c r="Z58" s="16"/>
      <c r="AA58" s="22" t="n">
        <f aca="false">IF(F58&lt;&gt;"Y",0,((SUMIF(Products!$E$5:$E$300,A58,Products!$F$5:$F$300)+SUMIF(RM_Lots!$A$5:$A$400,A58,RM_Lots!$D$5:$D$400))+IF(W58="Y",SUMIF(Products!$E$5:$E$300,A58,Products!$G$5:$G$300),0))*(1+N(V58)))</f>
        <v>0</v>
      </c>
      <c r="AB58" s="22" t="n">
        <f aca="false">IF(F58&lt;&gt;"Y",0,((SUMIF(Products!$E$5:$E$300,A58,Products!$K$5:$K$300)+SUMIF(RM_Lots!$A$5:$A$400,A58,RM_Lots!$F$5:$F$400))+IF(W58="Y",SUMIF(Products!$E$5:$E$300,A58,Products!$L$5:$L$300),0))*(1+N(V58)))</f>
        <v>0</v>
      </c>
      <c r="AC58" s="17" t="n">
        <f aca="false">IF(J58="",1,MAX(1,COUNTIFS($J$5:$J$863,J58,$F$5:$F$863,"Y")))</f>
        <v>1</v>
      </c>
      <c r="AD58" s="18" t="n">
        <f aca="false">(MAX(1,N(I58))*(P58+N(S58))+MAX(1,N(I58))*N(K58)/(MAX(1,N(U58))*AC58))*Settings!$B$9</f>
        <v>0</v>
      </c>
      <c r="AE58" s="18" t="n">
        <f aca="false">(MAX(1,N(I58))*N(Q58)+MAX(1,N(I58))*N(L58)/(MAX(1,N(U58))*AC58))*Settings!$B$8</f>
        <v>0</v>
      </c>
      <c r="AF58" s="18" t="n">
        <f aca="false">MAX(1,N(I58))*N(T58)</f>
        <v>0</v>
      </c>
      <c r="AG58" s="15" t="n">
        <f aca="false">AA58*N(AD58)</f>
        <v>0</v>
      </c>
      <c r="AH58" s="15" t="n">
        <f aca="false">AA58*N(AE58)</f>
        <v>0</v>
      </c>
      <c r="AI58" s="15" t="n">
        <f aca="false">AA58*N(AF58)</f>
        <v>0</v>
      </c>
      <c r="AJ58" s="15" t="n">
        <f aca="false">AA58*N(R58)</f>
        <v>0</v>
      </c>
      <c r="AK58" s="15" t="n">
        <f aca="false">AB58*N(AD58)</f>
        <v>0</v>
      </c>
      <c r="AL58" s="15" t="n">
        <f aca="false">AB58*N(AE58)</f>
        <v>0</v>
      </c>
      <c r="AM58" s="15" t="n">
        <f aca="false">AB58*N(AF58)</f>
        <v>0</v>
      </c>
      <c r="AN58" s="15" t="n">
        <f aca="false">AB58*N(R58)</f>
        <v>0</v>
      </c>
      <c r="AO58" s="21" t="str">
        <f aca="false">IF(F58&lt;&gt;"Y","n/a",IF(AND(N58&lt;&gt;"",OR(Q58&lt;&gt;"",G58="Other / bench",G58="None"),U58&lt;&gt;""),"OK","Missing"))</f>
        <v>Missing</v>
      </c>
    </row>
    <row r="59" customFormat="false" ht="15" hidden="false" customHeight="false" outlineLevel="0" collapsed="false">
      <c r="A59" s="10" t="s">
        <v>238</v>
      </c>
      <c r="B59" s="10" t="s">
        <v>659</v>
      </c>
      <c r="C59" s="10" t="s">
        <v>680</v>
      </c>
      <c r="D59" s="10" t="s">
        <v>661</v>
      </c>
      <c r="E59" s="21" t="str">
        <f aca="false">IF(A59="","",A59&amp;"|"&amp;D59)</f>
        <v>F10|Assay</v>
      </c>
      <c r="F59" s="16" t="s">
        <v>662</v>
      </c>
      <c r="G59" s="16" t="s">
        <v>147</v>
      </c>
      <c r="H59" s="16" t="s">
        <v>672</v>
      </c>
      <c r="I59" s="16" t="n">
        <v>1</v>
      </c>
      <c r="J59" s="16"/>
      <c r="K59" s="14"/>
      <c r="L59" s="14"/>
      <c r="M59" s="14"/>
      <c r="N59" s="14"/>
      <c r="O59" s="14"/>
      <c r="P59" s="18" t="n">
        <f aca="false">IF(N59="",0,IF(OR(M59="",O59=""),N59,(M59+4*N59+O59)/6))</f>
        <v>0</v>
      </c>
      <c r="Q59" s="14"/>
      <c r="R59" s="14"/>
      <c r="S59" s="14"/>
      <c r="T59" s="14"/>
      <c r="U59" s="16"/>
      <c r="V59" s="13"/>
      <c r="W59" s="16" t="s">
        <v>662</v>
      </c>
      <c r="X59" s="16"/>
      <c r="Y59" s="16"/>
      <c r="Z59" s="16"/>
      <c r="AA59" s="22" t="n">
        <f aca="false">IF(F59&lt;&gt;"Y",0,((SUMIF(Products!$E$5:$E$300,A59,Products!$F$5:$F$300)+SUMIF(RM_Lots!$A$5:$A$400,A59,RM_Lots!$D$5:$D$400))+IF(W59="Y",SUMIF(Products!$E$5:$E$300,A59,Products!$G$5:$G$300),0))*(1+N(V59)))</f>
        <v>0</v>
      </c>
      <c r="AB59" s="22" t="n">
        <f aca="false">IF(F59&lt;&gt;"Y",0,((SUMIF(Products!$E$5:$E$300,A59,Products!$K$5:$K$300)+SUMIF(RM_Lots!$A$5:$A$400,A59,RM_Lots!$F$5:$F$400))+IF(W59="Y",SUMIF(Products!$E$5:$E$300,A59,Products!$L$5:$L$300),0))*(1+N(V59)))</f>
        <v>0</v>
      </c>
      <c r="AC59" s="17" t="n">
        <f aca="false">IF(J59="",1,MAX(1,COUNTIFS($J$5:$J$863,J59,$F$5:$F$863,"Y")))</f>
        <v>1</v>
      </c>
      <c r="AD59" s="18" t="n">
        <f aca="false">(MAX(1,N(I59))*(P59+N(S59))+MAX(1,N(I59))*N(K59)/(MAX(1,N(U59))*AC59))*Settings!$B$9</f>
        <v>0</v>
      </c>
      <c r="AE59" s="18" t="n">
        <f aca="false">(MAX(1,N(I59))*N(Q59)+MAX(1,N(I59))*N(L59)/(MAX(1,N(U59))*AC59))*Settings!$B$8</f>
        <v>0</v>
      </c>
      <c r="AF59" s="18" t="n">
        <f aca="false">MAX(1,N(I59))*N(T59)</f>
        <v>0</v>
      </c>
      <c r="AG59" s="15" t="n">
        <f aca="false">AA59*N(AD59)</f>
        <v>0</v>
      </c>
      <c r="AH59" s="15" t="n">
        <f aca="false">AA59*N(AE59)</f>
        <v>0</v>
      </c>
      <c r="AI59" s="15" t="n">
        <f aca="false">AA59*N(AF59)</f>
        <v>0</v>
      </c>
      <c r="AJ59" s="15" t="n">
        <f aca="false">AA59*N(R59)</f>
        <v>0</v>
      </c>
      <c r="AK59" s="15" t="n">
        <f aca="false">AB59*N(AD59)</f>
        <v>0</v>
      </c>
      <c r="AL59" s="15" t="n">
        <f aca="false">AB59*N(AE59)</f>
        <v>0</v>
      </c>
      <c r="AM59" s="15" t="n">
        <f aca="false">AB59*N(AF59)</f>
        <v>0</v>
      </c>
      <c r="AN59" s="15" t="n">
        <f aca="false">AB59*N(R59)</f>
        <v>0</v>
      </c>
      <c r="AO59" s="21" t="str">
        <f aca="false">IF(F59&lt;&gt;"Y","n/a",IF(AND(N59&lt;&gt;"",OR(Q59&lt;&gt;"",G59="Other / bench",G59="None"),U59&lt;&gt;""),"OK","Missing"))</f>
        <v>Missing</v>
      </c>
    </row>
    <row r="60" customFormat="false" ht="15" hidden="false" customHeight="false" outlineLevel="0" collapsed="false">
      <c r="A60" s="10" t="s">
        <v>238</v>
      </c>
      <c r="B60" s="10" t="s">
        <v>659</v>
      </c>
      <c r="C60" s="10" t="s">
        <v>680</v>
      </c>
      <c r="D60" s="10" t="s">
        <v>664</v>
      </c>
      <c r="E60" s="21" t="str">
        <f aca="false">IF(A60="","",A60&amp;"|"&amp;D60)</f>
        <v>F10|Related substances / impurities</v>
      </c>
      <c r="F60" s="16" t="s">
        <v>662</v>
      </c>
      <c r="G60" s="16" t="s">
        <v>147</v>
      </c>
      <c r="H60" s="16" t="s">
        <v>672</v>
      </c>
      <c r="I60" s="16" t="n">
        <v>1</v>
      </c>
      <c r="J60" s="16"/>
      <c r="K60" s="14"/>
      <c r="L60" s="14"/>
      <c r="M60" s="14"/>
      <c r="N60" s="14"/>
      <c r="O60" s="14"/>
      <c r="P60" s="18" t="n">
        <f aca="false">IF(N60="",0,IF(OR(M60="",O60=""),N60,(M60+4*N60+O60)/6))</f>
        <v>0</v>
      </c>
      <c r="Q60" s="14"/>
      <c r="R60" s="14"/>
      <c r="S60" s="14"/>
      <c r="T60" s="14"/>
      <c r="U60" s="16"/>
      <c r="V60" s="13"/>
      <c r="W60" s="16" t="s">
        <v>662</v>
      </c>
      <c r="X60" s="16"/>
      <c r="Y60" s="16"/>
      <c r="Z60" s="16"/>
      <c r="AA60" s="22" t="n">
        <f aca="false">IF(F60&lt;&gt;"Y",0,((SUMIF(Products!$E$5:$E$300,A60,Products!$F$5:$F$300)+SUMIF(RM_Lots!$A$5:$A$400,A60,RM_Lots!$D$5:$D$400))+IF(W60="Y",SUMIF(Products!$E$5:$E$300,A60,Products!$G$5:$G$300),0))*(1+N(V60)))</f>
        <v>0</v>
      </c>
      <c r="AB60" s="22" t="n">
        <f aca="false">IF(F60&lt;&gt;"Y",0,((SUMIF(Products!$E$5:$E$300,A60,Products!$K$5:$K$300)+SUMIF(RM_Lots!$A$5:$A$400,A60,RM_Lots!$F$5:$F$400))+IF(W60="Y",SUMIF(Products!$E$5:$E$300,A60,Products!$L$5:$L$300),0))*(1+N(V60)))</f>
        <v>0</v>
      </c>
      <c r="AC60" s="17" t="n">
        <f aca="false">IF(J60="",1,MAX(1,COUNTIFS($J$5:$J$863,J60,$F$5:$F$863,"Y")))</f>
        <v>1</v>
      </c>
      <c r="AD60" s="18" t="n">
        <f aca="false">(MAX(1,N(I60))*(P60+N(S60))+MAX(1,N(I60))*N(K60)/(MAX(1,N(U60))*AC60))*Settings!$B$9</f>
        <v>0</v>
      </c>
      <c r="AE60" s="18" t="n">
        <f aca="false">(MAX(1,N(I60))*N(Q60)+MAX(1,N(I60))*N(L60)/(MAX(1,N(U60))*AC60))*Settings!$B$8</f>
        <v>0</v>
      </c>
      <c r="AF60" s="18" t="n">
        <f aca="false">MAX(1,N(I60))*N(T60)</f>
        <v>0</v>
      </c>
      <c r="AG60" s="15" t="n">
        <f aca="false">AA60*N(AD60)</f>
        <v>0</v>
      </c>
      <c r="AH60" s="15" t="n">
        <f aca="false">AA60*N(AE60)</f>
        <v>0</v>
      </c>
      <c r="AI60" s="15" t="n">
        <f aca="false">AA60*N(AF60)</f>
        <v>0</v>
      </c>
      <c r="AJ60" s="15" t="n">
        <f aca="false">AA60*N(R60)</f>
        <v>0</v>
      </c>
      <c r="AK60" s="15" t="n">
        <f aca="false">AB60*N(AD60)</f>
        <v>0</v>
      </c>
      <c r="AL60" s="15" t="n">
        <f aca="false">AB60*N(AE60)</f>
        <v>0</v>
      </c>
      <c r="AM60" s="15" t="n">
        <f aca="false">AB60*N(AF60)</f>
        <v>0</v>
      </c>
      <c r="AN60" s="15" t="n">
        <f aca="false">AB60*N(R60)</f>
        <v>0</v>
      </c>
      <c r="AO60" s="21" t="str">
        <f aca="false">IF(F60&lt;&gt;"Y","n/a",IF(AND(N60&lt;&gt;"",OR(Q60&lt;&gt;"",G60="Other / bench",G60="None"),U60&lt;&gt;""),"OK","Missing"))</f>
        <v>Missing</v>
      </c>
    </row>
    <row r="61" customFormat="false" ht="15" hidden="false" customHeight="false" outlineLevel="0" collapsed="false">
      <c r="A61" s="10" t="s">
        <v>238</v>
      </c>
      <c r="B61" s="10" t="s">
        <v>659</v>
      </c>
      <c r="C61" s="10" t="s">
        <v>680</v>
      </c>
      <c r="D61" s="10" t="s">
        <v>665</v>
      </c>
      <c r="E61" s="21" t="str">
        <f aca="false">IF(A61="","",A61&amp;"|"&amp;D61)</f>
        <v>F10|Dissolution</v>
      </c>
      <c r="F61" s="16" t="s">
        <v>662</v>
      </c>
      <c r="G61" s="16" t="s">
        <v>147</v>
      </c>
      <c r="H61" s="16" t="s">
        <v>672</v>
      </c>
      <c r="I61" s="16" t="n">
        <v>1</v>
      </c>
      <c r="J61" s="16"/>
      <c r="K61" s="14"/>
      <c r="L61" s="14"/>
      <c r="M61" s="14"/>
      <c r="N61" s="14"/>
      <c r="O61" s="14"/>
      <c r="P61" s="18" t="n">
        <f aca="false">IF(N61="",0,IF(OR(M61="",O61=""),N61,(M61+4*N61+O61)/6))</f>
        <v>0</v>
      </c>
      <c r="Q61" s="14"/>
      <c r="R61" s="14"/>
      <c r="S61" s="14"/>
      <c r="T61" s="14"/>
      <c r="U61" s="16"/>
      <c r="V61" s="13"/>
      <c r="W61" s="16" t="s">
        <v>662</v>
      </c>
      <c r="X61" s="16"/>
      <c r="Y61" s="16"/>
      <c r="Z61" s="16"/>
      <c r="AA61" s="22" t="n">
        <f aca="false">IF(F61&lt;&gt;"Y",0,((SUMIF(Products!$E$5:$E$300,A61,Products!$F$5:$F$300)+SUMIF(RM_Lots!$A$5:$A$400,A61,RM_Lots!$D$5:$D$400))+IF(W61="Y",SUMIF(Products!$E$5:$E$300,A61,Products!$G$5:$G$300),0))*(1+N(V61)))</f>
        <v>0</v>
      </c>
      <c r="AB61" s="22" t="n">
        <f aca="false">IF(F61&lt;&gt;"Y",0,((SUMIF(Products!$E$5:$E$300,A61,Products!$K$5:$K$300)+SUMIF(RM_Lots!$A$5:$A$400,A61,RM_Lots!$F$5:$F$400))+IF(W61="Y",SUMIF(Products!$E$5:$E$300,A61,Products!$L$5:$L$300),0))*(1+N(V61)))</f>
        <v>0</v>
      </c>
      <c r="AC61" s="17" t="n">
        <f aca="false">IF(J61="",1,MAX(1,COUNTIFS($J$5:$J$863,J61,$F$5:$F$863,"Y")))</f>
        <v>1</v>
      </c>
      <c r="AD61" s="18" t="n">
        <f aca="false">(MAX(1,N(I61))*(P61+N(S61))+MAX(1,N(I61))*N(K61)/(MAX(1,N(U61))*AC61))*Settings!$B$9</f>
        <v>0</v>
      </c>
      <c r="AE61" s="18" t="n">
        <f aca="false">(MAX(1,N(I61))*N(Q61)+MAX(1,N(I61))*N(L61)/(MAX(1,N(U61))*AC61))*Settings!$B$8</f>
        <v>0</v>
      </c>
      <c r="AF61" s="18" t="n">
        <f aca="false">MAX(1,N(I61))*N(T61)</f>
        <v>0</v>
      </c>
      <c r="AG61" s="15" t="n">
        <f aca="false">AA61*N(AD61)</f>
        <v>0</v>
      </c>
      <c r="AH61" s="15" t="n">
        <f aca="false">AA61*N(AE61)</f>
        <v>0</v>
      </c>
      <c r="AI61" s="15" t="n">
        <f aca="false">AA61*N(AF61)</f>
        <v>0</v>
      </c>
      <c r="AJ61" s="15" t="n">
        <f aca="false">AA61*N(R61)</f>
        <v>0</v>
      </c>
      <c r="AK61" s="15" t="n">
        <f aca="false">AB61*N(AD61)</f>
        <v>0</v>
      </c>
      <c r="AL61" s="15" t="n">
        <f aca="false">AB61*N(AE61)</f>
        <v>0</v>
      </c>
      <c r="AM61" s="15" t="n">
        <f aca="false">AB61*N(AF61)</f>
        <v>0</v>
      </c>
      <c r="AN61" s="15" t="n">
        <f aca="false">AB61*N(R61)</f>
        <v>0</v>
      </c>
      <c r="AO61" s="21" t="str">
        <f aca="false">IF(F61&lt;&gt;"Y","n/a",IF(AND(N61&lt;&gt;"",OR(Q61&lt;&gt;"",G61="Other / bench",G61="None"),U61&lt;&gt;""),"OK","Missing"))</f>
        <v>Missing</v>
      </c>
    </row>
    <row r="62" customFormat="false" ht="15" hidden="false" customHeight="false" outlineLevel="0" collapsed="false">
      <c r="A62" s="10" t="s">
        <v>238</v>
      </c>
      <c r="B62" s="10" t="s">
        <v>659</v>
      </c>
      <c r="C62" s="10" t="s">
        <v>680</v>
      </c>
      <c r="D62" s="10" t="s">
        <v>666</v>
      </c>
      <c r="E62" s="21" t="str">
        <f aca="false">IF(A62="","",A62&amp;"|"&amp;D62)</f>
        <v>F10|Content uniformity</v>
      </c>
      <c r="F62" s="16" t="s">
        <v>662</v>
      </c>
      <c r="G62" s="16" t="s">
        <v>147</v>
      </c>
      <c r="H62" s="16" t="s">
        <v>672</v>
      </c>
      <c r="I62" s="16" t="n">
        <v>1</v>
      </c>
      <c r="J62" s="16"/>
      <c r="K62" s="14"/>
      <c r="L62" s="14"/>
      <c r="M62" s="14"/>
      <c r="N62" s="14"/>
      <c r="O62" s="14"/>
      <c r="P62" s="18" t="n">
        <f aca="false">IF(N62="",0,IF(OR(M62="",O62=""),N62,(M62+4*N62+O62)/6))</f>
        <v>0</v>
      </c>
      <c r="Q62" s="14"/>
      <c r="R62" s="14"/>
      <c r="S62" s="14"/>
      <c r="T62" s="14"/>
      <c r="U62" s="16"/>
      <c r="V62" s="13"/>
      <c r="W62" s="16" t="s">
        <v>667</v>
      </c>
      <c r="X62" s="16"/>
      <c r="Y62" s="16"/>
      <c r="Z62" s="16"/>
      <c r="AA62" s="22" t="n">
        <f aca="false">IF(F62&lt;&gt;"Y",0,((SUMIF(Products!$E$5:$E$300,A62,Products!$F$5:$F$300)+SUMIF(RM_Lots!$A$5:$A$400,A62,RM_Lots!$D$5:$D$400))+IF(W62="Y",SUMIF(Products!$E$5:$E$300,A62,Products!$G$5:$G$300),0))*(1+N(V62)))</f>
        <v>0</v>
      </c>
      <c r="AB62" s="22" t="n">
        <f aca="false">IF(F62&lt;&gt;"Y",0,((SUMIF(Products!$E$5:$E$300,A62,Products!$K$5:$K$300)+SUMIF(RM_Lots!$A$5:$A$400,A62,RM_Lots!$F$5:$F$400))+IF(W62="Y",SUMIF(Products!$E$5:$E$300,A62,Products!$L$5:$L$300),0))*(1+N(V62)))</f>
        <v>0</v>
      </c>
      <c r="AC62" s="17" t="n">
        <f aca="false">IF(J62="",1,MAX(1,COUNTIFS($J$5:$J$863,J62,$F$5:$F$863,"Y")))</f>
        <v>1</v>
      </c>
      <c r="AD62" s="18" t="n">
        <f aca="false">(MAX(1,N(I62))*(P62+N(S62))+MAX(1,N(I62))*N(K62)/(MAX(1,N(U62))*AC62))*Settings!$B$9</f>
        <v>0</v>
      </c>
      <c r="AE62" s="18" t="n">
        <f aca="false">(MAX(1,N(I62))*N(Q62)+MAX(1,N(I62))*N(L62)/(MAX(1,N(U62))*AC62))*Settings!$B$8</f>
        <v>0</v>
      </c>
      <c r="AF62" s="18" t="n">
        <f aca="false">MAX(1,N(I62))*N(T62)</f>
        <v>0</v>
      </c>
      <c r="AG62" s="15" t="n">
        <f aca="false">AA62*N(AD62)</f>
        <v>0</v>
      </c>
      <c r="AH62" s="15" t="n">
        <f aca="false">AA62*N(AE62)</f>
        <v>0</v>
      </c>
      <c r="AI62" s="15" t="n">
        <f aca="false">AA62*N(AF62)</f>
        <v>0</v>
      </c>
      <c r="AJ62" s="15" t="n">
        <f aca="false">AA62*N(R62)</f>
        <v>0</v>
      </c>
      <c r="AK62" s="15" t="n">
        <f aca="false">AB62*N(AD62)</f>
        <v>0</v>
      </c>
      <c r="AL62" s="15" t="n">
        <f aca="false">AB62*N(AE62)</f>
        <v>0</v>
      </c>
      <c r="AM62" s="15" t="n">
        <f aca="false">AB62*N(AF62)</f>
        <v>0</v>
      </c>
      <c r="AN62" s="15" t="n">
        <f aca="false">AB62*N(R62)</f>
        <v>0</v>
      </c>
      <c r="AO62" s="21" t="str">
        <f aca="false">IF(F62&lt;&gt;"Y","n/a",IF(AND(N62&lt;&gt;"",OR(Q62&lt;&gt;"",G62="Other / bench",G62="None"),U62&lt;&gt;""),"OK","Missing"))</f>
        <v>Missing</v>
      </c>
    </row>
    <row r="63" customFormat="false" ht="15" hidden="false" customHeight="false" outlineLevel="0" collapsed="false">
      <c r="A63" s="10" t="s">
        <v>238</v>
      </c>
      <c r="B63" s="10" t="s">
        <v>659</v>
      </c>
      <c r="C63" s="10" t="s">
        <v>680</v>
      </c>
      <c r="D63" s="10" t="s">
        <v>668</v>
      </c>
      <c r="E63" s="21" t="str">
        <f aca="false">IF(A63="","",A63&amp;"|"&amp;D63)</f>
        <v>F10|Identification (if separate from assay)</v>
      </c>
      <c r="F63" s="16" t="s">
        <v>667</v>
      </c>
      <c r="G63" s="16" t="s">
        <v>147</v>
      </c>
      <c r="H63" s="16" t="s">
        <v>672</v>
      </c>
      <c r="I63" s="16" t="n">
        <v>1</v>
      </c>
      <c r="J63" s="16"/>
      <c r="K63" s="14"/>
      <c r="L63" s="14"/>
      <c r="M63" s="14"/>
      <c r="N63" s="14"/>
      <c r="O63" s="14"/>
      <c r="P63" s="18" t="n">
        <f aca="false">IF(N63="",0,IF(OR(M63="",O63=""),N63,(M63+4*N63+O63)/6))</f>
        <v>0</v>
      </c>
      <c r="Q63" s="14"/>
      <c r="R63" s="14"/>
      <c r="S63" s="14"/>
      <c r="T63" s="14"/>
      <c r="U63" s="16"/>
      <c r="V63" s="13"/>
      <c r="W63" s="16" t="s">
        <v>667</v>
      </c>
      <c r="X63" s="16"/>
      <c r="Y63" s="16"/>
      <c r="Z63" s="16"/>
      <c r="AA63" s="22" t="n">
        <f aca="false">IF(F63&lt;&gt;"Y",0,((SUMIF(Products!$E$5:$E$300,A63,Products!$F$5:$F$300)+SUMIF(RM_Lots!$A$5:$A$400,A63,RM_Lots!$D$5:$D$400))+IF(W63="Y",SUMIF(Products!$E$5:$E$300,A63,Products!$G$5:$G$300),0))*(1+N(V63)))</f>
        <v>0</v>
      </c>
      <c r="AB63" s="22" t="n">
        <f aca="false">IF(F63&lt;&gt;"Y",0,((SUMIF(Products!$E$5:$E$300,A63,Products!$K$5:$K$300)+SUMIF(RM_Lots!$A$5:$A$400,A63,RM_Lots!$F$5:$F$400))+IF(W63="Y",SUMIF(Products!$E$5:$E$300,A63,Products!$L$5:$L$300),0))*(1+N(V63)))</f>
        <v>0</v>
      </c>
      <c r="AC63" s="17" t="n">
        <f aca="false">IF(J63="",1,MAX(1,COUNTIFS($J$5:$J$863,J63,$F$5:$F$863,"Y")))</f>
        <v>1</v>
      </c>
      <c r="AD63" s="18" t="n">
        <f aca="false">(MAX(1,N(I63))*(P63+N(S63))+MAX(1,N(I63))*N(K63)/(MAX(1,N(U63))*AC63))*Settings!$B$9</f>
        <v>0</v>
      </c>
      <c r="AE63" s="18" t="n">
        <f aca="false">(MAX(1,N(I63))*N(Q63)+MAX(1,N(I63))*N(L63)/(MAX(1,N(U63))*AC63))*Settings!$B$8</f>
        <v>0</v>
      </c>
      <c r="AF63" s="18" t="n">
        <f aca="false">MAX(1,N(I63))*N(T63)</f>
        <v>0</v>
      </c>
      <c r="AG63" s="15" t="n">
        <f aca="false">AA63*N(AD63)</f>
        <v>0</v>
      </c>
      <c r="AH63" s="15" t="n">
        <f aca="false">AA63*N(AE63)</f>
        <v>0</v>
      </c>
      <c r="AI63" s="15" t="n">
        <f aca="false">AA63*N(AF63)</f>
        <v>0</v>
      </c>
      <c r="AJ63" s="15" t="n">
        <f aca="false">AA63*N(R63)</f>
        <v>0</v>
      </c>
      <c r="AK63" s="15" t="n">
        <f aca="false">AB63*N(AD63)</f>
        <v>0</v>
      </c>
      <c r="AL63" s="15" t="n">
        <f aca="false">AB63*N(AE63)</f>
        <v>0</v>
      </c>
      <c r="AM63" s="15" t="n">
        <f aca="false">AB63*N(AF63)</f>
        <v>0</v>
      </c>
      <c r="AN63" s="15" t="n">
        <f aca="false">AB63*N(R63)</f>
        <v>0</v>
      </c>
      <c r="AO63" s="21" t="str">
        <f aca="false">IF(F63&lt;&gt;"Y","n/a",IF(AND(N63&lt;&gt;"",OR(Q63&lt;&gt;"",G63="Other / bench",G63="None"),U63&lt;&gt;""),"OK","Missing"))</f>
        <v>n/a</v>
      </c>
    </row>
    <row r="64" customFormat="false" ht="15" hidden="false" customHeight="false" outlineLevel="0" collapsed="false">
      <c r="A64" s="10" t="s">
        <v>238</v>
      </c>
      <c r="B64" s="10" t="s">
        <v>659</v>
      </c>
      <c r="C64" s="10" t="s">
        <v>680</v>
      </c>
      <c r="D64" s="10" t="s">
        <v>669</v>
      </c>
      <c r="E64" s="21" t="str">
        <f aca="false">IF(A64="","",A64&amp;"|"&amp;D64)</f>
        <v>F10|Other tests (non-HPLC: physical, LOD/KF, disintegration, pH, micro...)</v>
      </c>
      <c r="F64" s="16" t="s">
        <v>662</v>
      </c>
      <c r="G64" s="16" t="s">
        <v>670</v>
      </c>
      <c r="H64" s="16" t="s">
        <v>672</v>
      </c>
      <c r="I64" s="16" t="n">
        <v>1</v>
      </c>
      <c r="J64" s="16"/>
      <c r="K64" s="14"/>
      <c r="L64" s="14"/>
      <c r="M64" s="14"/>
      <c r="N64" s="14"/>
      <c r="O64" s="14"/>
      <c r="P64" s="18" t="n">
        <f aca="false">IF(N64="",0,IF(OR(M64="",O64=""),N64,(M64+4*N64+O64)/6))</f>
        <v>0</v>
      </c>
      <c r="Q64" s="14"/>
      <c r="R64" s="14"/>
      <c r="S64" s="14"/>
      <c r="T64" s="14"/>
      <c r="U64" s="16"/>
      <c r="V64" s="13"/>
      <c r="W64" s="16" t="s">
        <v>662</v>
      </c>
      <c r="X64" s="16"/>
      <c r="Y64" s="16"/>
      <c r="Z64" s="16"/>
      <c r="AA64" s="22" t="n">
        <f aca="false">IF(F64&lt;&gt;"Y",0,((SUMIF(Products!$E$5:$E$300,A64,Products!$F$5:$F$300)+SUMIF(RM_Lots!$A$5:$A$400,A64,RM_Lots!$D$5:$D$400))+IF(W64="Y",SUMIF(Products!$E$5:$E$300,A64,Products!$G$5:$G$300),0))*(1+N(V64)))</f>
        <v>0</v>
      </c>
      <c r="AB64" s="22" t="n">
        <f aca="false">IF(F64&lt;&gt;"Y",0,((SUMIF(Products!$E$5:$E$300,A64,Products!$K$5:$K$300)+SUMIF(RM_Lots!$A$5:$A$400,A64,RM_Lots!$F$5:$F$400))+IF(W64="Y",SUMIF(Products!$E$5:$E$300,A64,Products!$L$5:$L$300),0))*(1+N(V64)))</f>
        <v>0</v>
      </c>
      <c r="AC64" s="17" t="n">
        <f aca="false">IF(J64="",1,MAX(1,COUNTIFS($J$5:$J$863,J64,$F$5:$F$863,"Y")))</f>
        <v>1</v>
      </c>
      <c r="AD64" s="18" t="n">
        <f aca="false">(MAX(1,N(I64))*(P64+N(S64))+MAX(1,N(I64))*N(K64)/(MAX(1,N(U64))*AC64))*Settings!$B$9</f>
        <v>0</v>
      </c>
      <c r="AE64" s="18" t="n">
        <f aca="false">(MAX(1,N(I64))*N(Q64)+MAX(1,N(I64))*N(L64)/(MAX(1,N(U64))*AC64))*Settings!$B$8</f>
        <v>0</v>
      </c>
      <c r="AF64" s="18" t="n">
        <f aca="false">MAX(1,N(I64))*N(T64)</f>
        <v>0</v>
      </c>
      <c r="AG64" s="15" t="n">
        <f aca="false">AA64*N(AD64)</f>
        <v>0</v>
      </c>
      <c r="AH64" s="15" t="n">
        <f aca="false">AA64*N(AE64)</f>
        <v>0</v>
      </c>
      <c r="AI64" s="15" t="n">
        <f aca="false">AA64*N(AF64)</f>
        <v>0</v>
      </c>
      <c r="AJ64" s="15" t="n">
        <f aca="false">AA64*N(R64)</f>
        <v>0</v>
      </c>
      <c r="AK64" s="15" t="n">
        <f aca="false">AB64*N(AD64)</f>
        <v>0</v>
      </c>
      <c r="AL64" s="15" t="n">
        <f aca="false">AB64*N(AE64)</f>
        <v>0</v>
      </c>
      <c r="AM64" s="15" t="n">
        <f aca="false">AB64*N(AF64)</f>
        <v>0</v>
      </c>
      <c r="AN64" s="15" t="n">
        <f aca="false">AB64*N(R64)</f>
        <v>0</v>
      </c>
      <c r="AO64" s="21" t="str">
        <f aca="false">IF(F64&lt;&gt;"Y","n/a",IF(AND(N64&lt;&gt;"",OR(Q64&lt;&gt;"",G64="Other / bench",G64="None"),U64&lt;&gt;""),"OK","Missing"))</f>
        <v>Missing</v>
      </c>
    </row>
    <row r="65" customFormat="false" ht="15" hidden="false" customHeight="false" outlineLevel="0" collapsed="false">
      <c r="A65" s="10" t="s">
        <v>241</v>
      </c>
      <c r="B65" s="10" t="s">
        <v>659</v>
      </c>
      <c r="C65" s="10" t="s">
        <v>681</v>
      </c>
      <c r="D65" s="10" t="s">
        <v>661</v>
      </c>
      <c r="E65" s="21" t="str">
        <f aca="false">IF(A65="","",A65&amp;"|"&amp;D65)</f>
        <v>F11|Assay</v>
      </c>
      <c r="F65" s="16" t="s">
        <v>662</v>
      </c>
      <c r="G65" s="16" t="s">
        <v>147</v>
      </c>
      <c r="H65" s="16" t="s">
        <v>663</v>
      </c>
      <c r="I65" s="16" t="n">
        <v>1</v>
      </c>
      <c r="J65" s="16"/>
      <c r="K65" s="14"/>
      <c r="L65" s="14"/>
      <c r="M65" s="14"/>
      <c r="N65" s="14"/>
      <c r="O65" s="14"/>
      <c r="P65" s="18" t="n">
        <f aca="false">IF(N65="",0,IF(OR(M65="",O65=""),N65,(M65+4*N65+O65)/6))</f>
        <v>0</v>
      </c>
      <c r="Q65" s="14"/>
      <c r="R65" s="14"/>
      <c r="S65" s="14"/>
      <c r="T65" s="14"/>
      <c r="U65" s="16"/>
      <c r="V65" s="13"/>
      <c r="W65" s="16" t="s">
        <v>662</v>
      </c>
      <c r="X65" s="16"/>
      <c r="Y65" s="16"/>
      <c r="Z65" s="16"/>
      <c r="AA65" s="22" t="n">
        <f aca="false">IF(F65&lt;&gt;"Y",0,((SUMIF(Products!$E$5:$E$300,A65,Products!$F$5:$F$300)+SUMIF(RM_Lots!$A$5:$A$400,A65,RM_Lots!$D$5:$D$400))+IF(W65="Y",SUMIF(Products!$E$5:$E$300,A65,Products!$G$5:$G$300),0))*(1+N(V65)))</f>
        <v>0</v>
      </c>
      <c r="AB65" s="22" t="n">
        <f aca="false">IF(F65&lt;&gt;"Y",0,((SUMIF(Products!$E$5:$E$300,A65,Products!$K$5:$K$300)+SUMIF(RM_Lots!$A$5:$A$400,A65,RM_Lots!$F$5:$F$400))+IF(W65="Y",SUMIF(Products!$E$5:$E$300,A65,Products!$L$5:$L$300),0))*(1+N(V65)))</f>
        <v>0</v>
      </c>
      <c r="AC65" s="17" t="n">
        <f aca="false">IF(J65="",1,MAX(1,COUNTIFS($J$5:$J$863,J65,$F$5:$F$863,"Y")))</f>
        <v>1</v>
      </c>
      <c r="AD65" s="18" t="n">
        <f aca="false">(MAX(1,N(I65))*(P65+N(S65))+MAX(1,N(I65))*N(K65)/(MAX(1,N(U65))*AC65))*Settings!$B$9</f>
        <v>0</v>
      </c>
      <c r="AE65" s="18" t="n">
        <f aca="false">(MAX(1,N(I65))*N(Q65)+MAX(1,N(I65))*N(L65)/(MAX(1,N(U65))*AC65))*Settings!$B$8</f>
        <v>0</v>
      </c>
      <c r="AF65" s="18" t="n">
        <f aca="false">MAX(1,N(I65))*N(T65)</f>
        <v>0</v>
      </c>
      <c r="AG65" s="15" t="n">
        <f aca="false">AA65*N(AD65)</f>
        <v>0</v>
      </c>
      <c r="AH65" s="15" t="n">
        <f aca="false">AA65*N(AE65)</f>
        <v>0</v>
      </c>
      <c r="AI65" s="15" t="n">
        <f aca="false">AA65*N(AF65)</f>
        <v>0</v>
      </c>
      <c r="AJ65" s="15" t="n">
        <f aca="false">AA65*N(R65)</f>
        <v>0</v>
      </c>
      <c r="AK65" s="15" t="n">
        <f aca="false">AB65*N(AD65)</f>
        <v>0</v>
      </c>
      <c r="AL65" s="15" t="n">
        <f aca="false">AB65*N(AE65)</f>
        <v>0</v>
      </c>
      <c r="AM65" s="15" t="n">
        <f aca="false">AB65*N(AF65)</f>
        <v>0</v>
      </c>
      <c r="AN65" s="15" t="n">
        <f aca="false">AB65*N(R65)</f>
        <v>0</v>
      </c>
      <c r="AO65" s="21" t="str">
        <f aca="false">IF(F65&lt;&gt;"Y","n/a",IF(AND(N65&lt;&gt;"",OR(Q65&lt;&gt;"",G65="Other / bench",G65="None"),U65&lt;&gt;""),"OK","Missing"))</f>
        <v>Missing</v>
      </c>
    </row>
    <row r="66" customFormat="false" ht="15" hidden="false" customHeight="false" outlineLevel="0" collapsed="false">
      <c r="A66" s="10" t="s">
        <v>241</v>
      </c>
      <c r="B66" s="10" t="s">
        <v>659</v>
      </c>
      <c r="C66" s="10" t="s">
        <v>681</v>
      </c>
      <c r="D66" s="10" t="s">
        <v>664</v>
      </c>
      <c r="E66" s="21" t="str">
        <f aca="false">IF(A66="","",A66&amp;"|"&amp;D66)</f>
        <v>F11|Related substances / impurities</v>
      </c>
      <c r="F66" s="16" t="s">
        <v>662</v>
      </c>
      <c r="G66" s="16" t="s">
        <v>147</v>
      </c>
      <c r="H66" s="16" t="s">
        <v>663</v>
      </c>
      <c r="I66" s="16" t="n">
        <v>1</v>
      </c>
      <c r="J66" s="16"/>
      <c r="K66" s="14"/>
      <c r="L66" s="14"/>
      <c r="M66" s="14"/>
      <c r="N66" s="14"/>
      <c r="O66" s="14"/>
      <c r="P66" s="18" t="n">
        <f aca="false">IF(N66="",0,IF(OR(M66="",O66=""),N66,(M66+4*N66+O66)/6))</f>
        <v>0</v>
      </c>
      <c r="Q66" s="14"/>
      <c r="R66" s="14"/>
      <c r="S66" s="14"/>
      <c r="T66" s="14"/>
      <c r="U66" s="16"/>
      <c r="V66" s="13"/>
      <c r="W66" s="16" t="s">
        <v>662</v>
      </c>
      <c r="X66" s="16"/>
      <c r="Y66" s="16"/>
      <c r="Z66" s="16"/>
      <c r="AA66" s="22" t="n">
        <f aca="false">IF(F66&lt;&gt;"Y",0,((SUMIF(Products!$E$5:$E$300,A66,Products!$F$5:$F$300)+SUMIF(RM_Lots!$A$5:$A$400,A66,RM_Lots!$D$5:$D$400))+IF(W66="Y",SUMIF(Products!$E$5:$E$300,A66,Products!$G$5:$G$300),0))*(1+N(V66)))</f>
        <v>0</v>
      </c>
      <c r="AB66" s="22" t="n">
        <f aca="false">IF(F66&lt;&gt;"Y",0,((SUMIF(Products!$E$5:$E$300,A66,Products!$K$5:$K$300)+SUMIF(RM_Lots!$A$5:$A$400,A66,RM_Lots!$F$5:$F$400))+IF(W66="Y",SUMIF(Products!$E$5:$E$300,A66,Products!$L$5:$L$300),0))*(1+N(V66)))</f>
        <v>0</v>
      </c>
      <c r="AC66" s="17" t="n">
        <f aca="false">IF(J66="",1,MAX(1,COUNTIFS($J$5:$J$863,J66,$F$5:$F$863,"Y")))</f>
        <v>1</v>
      </c>
      <c r="AD66" s="18" t="n">
        <f aca="false">(MAX(1,N(I66))*(P66+N(S66))+MAX(1,N(I66))*N(K66)/(MAX(1,N(U66))*AC66))*Settings!$B$9</f>
        <v>0</v>
      </c>
      <c r="AE66" s="18" t="n">
        <f aca="false">(MAX(1,N(I66))*N(Q66)+MAX(1,N(I66))*N(L66)/(MAX(1,N(U66))*AC66))*Settings!$B$8</f>
        <v>0</v>
      </c>
      <c r="AF66" s="18" t="n">
        <f aca="false">MAX(1,N(I66))*N(T66)</f>
        <v>0</v>
      </c>
      <c r="AG66" s="15" t="n">
        <f aca="false">AA66*N(AD66)</f>
        <v>0</v>
      </c>
      <c r="AH66" s="15" t="n">
        <f aca="false">AA66*N(AE66)</f>
        <v>0</v>
      </c>
      <c r="AI66" s="15" t="n">
        <f aca="false">AA66*N(AF66)</f>
        <v>0</v>
      </c>
      <c r="AJ66" s="15" t="n">
        <f aca="false">AA66*N(R66)</f>
        <v>0</v>
      </c>
      <c r="AK66" s="15" t="n">
        <f aca="false">AB66*N(AD66)</f>
        <v>0</v>
      </c>
      <c r="AL66" s="15" t="n">
        <f aca="false">AB66*N(AE66)</f>
        <v>0</v>
      </c>
      <c r="AM66" s="15" t="n">
        <f aca="false">AB66*N(AF66)</f>
        <v>0</v>
      </c>
      <c r="AN66" s="15" t="n">
        <f aca="false">AB66*N(R66)</f>
        <v>0</v>
      </c>
      <c r="AO66" s="21" t="str">
        <f aca="false">IF(F66&lt;&gt;"Y","n/a",IF(AND(N66&lt;&gt;"",OR(Q66&lt;&gt;"",G66="Other / bench",G66="None"),U66&lt;&gt;""),"OK","Missing"))</f>
        <v>Missing</v>
      </c>
    </row>
    <row r="67" customFormat="false" ht="15" hidden="false" customHeight="false" outlineLevel="0" collapsed="false">
      <c r="A67" s="10" t="s">
        <v>241</v>
      </c>
      <c r="B67" s="10" t="s">
        <v>659</v>
      </c>
      <c r="C67" s="10" t="s">
        <v>681</v>
      </c>
      <c r="D67" s="10" t="s">
        <v>665</v>
      </c>
      <c r="E67" s="21" t="str">
        <f aca="false">IF(A67="","",A67&amp;"|"&amp;D67)</f>
        <v>F11|Dissolution</v>
      </c>
      <c r="F67" s="16" t="s">
        <v>662</v>
      </c>
      <c r="G67" s="16" t="s">
        <v>147</v>
      </c>
      <c r="H67" s="16" t="s">
        <v>663</v>
      </c>
      <c r="I67" s="16" t="n">
        <v>1</v>
      </c>
      <c r="J67" s="16"/>
      <c r="K67" s="14"/>
      <c r="L67" s="14"/>
      <c r="M67" s="14"/>
      <c r="N67" s="14"/>
      <c r="O67" s="14"/>
      <c r="P67" s="18" t="n">
        <f aca="false">IF(N67="",0,IF(OR(M67="",O67=""),N67,(M67+4*N67+O67)/6))</f>
        <v>0</v>
      </c>
      <c r="Q67" s="14"/>
      <c r="R67" s="14"/>
      <c r="S67" s="14"/>
      <c r="T67" s="14"/>
      <c r="U67" s="16"/>
      <c r="V67" s="13"/>
      <c r="W67" s="16" t="s">
        <v>662</v>
      </c>
      <c r="X67" s="16"/>
      <c r="Y67" s="16"/>
      <c r="Z67" s="16"/>
      <c r="AA67" s="22" t="n">
        <f aca="false">IF(F67&lt;&gt;"Y",0,((SUMIF(Products!$E$5:$E$300,A67,Products!$F$5:$F$300)+SUMIF(RM_Lots!$A$5:$A$400,A67,RM_Lots!$D$5:$D$400))+IF(W67="Y",SUMIF(Products!$E$5:$E$300,A67,Products!$G$5:$G$300),0))*(1+N(V67)))</f>
        <v>0</v>
      </c>
      <c r="AB67" s="22" t="n">
        <f aca="false">IF(F67&lt;&gt;"Y",0,((SUMIF(Products!$E$5:$E$300,A67,Products!$K$5:$K$300)+SUMIF(RM_Lots!$A$5:$A$400,A67,RM_Lots!$F$5:$F$400))+IF(W67="Y",SUMIF(Products!$E$5:$E$300,A67,Products!$L$5:$L$300),0))*(1+N(V67)))</f>
        <v>0</v>
      </c>
      <c r="AC67" s="17" t="n">
        <f aca="false">IF(J67="",1,MAX(1,COUNTIFS($J$5:$J$863,J67,$F$5:$F$863,"Y")))</f>
        <v>1</v>
      </c>
      <c r="AD67" s="18" t="n">
        <f aca="false">(MAX(1,N(I67))*(P67+N(S67))+MAX(1,N(I67))*N(K67)/(MAX(1,N(U67))*AC67))*Settings!$B$9</f>
        <v>0</v>
      </c>
      <c r="AE67" s="18" t="n">
        <f aca="false">(MAX(1,N(I67))*N(Q67)+MAX(1,N(I67))*N(L67)/(MAX(1,N(U67))*AC67))*Settings!$B$8</f>
        <v>0</v>
      </c>
      <c r="AF67" s="18" t="n">
        <f aca="false">MAX(1,N(I67))*N(T67)</f>
        <v>0</v>
      </c>
      <c r="AG67" s="15" t="n">
        <f aca="false">AA67*N(AD67)</f>
        <v>0</v>
      </c>
      <c r="AH67" s="15" t="n">
        <f aca="false">AA67*N(AE67)</f>
        <v>0</v>
      </c>
      <c r="AI67" s="15" t="n">
        <f aca="false">AA67*N(AF67)</f>
        <v>0</v>
      </c>
      <c r="AJ67" s="15" t="n">
        <f aca="false">AA67*N(R67)</f>
        <v>0</v>
      </c>
      <c r="AK67" s="15" t="n">
        <f aca="false">AB67*N(AD67)</f>
        <v>0</v>
      </c>
      <c r="AL67" s="15" t="n">
        <f aca="false">AB67*N(AE67)</f>
        <v>0</v>
      </c>
      <c r="AM67" s="15" t="n">
        <f aca="false">AB67*N(AF67)</f>
        <v>0</v>
      </c>
      <c r="AN67" s="15" t="n">
        <f aca="false">AB67*N(R67)</f>
        <v>0</v>
      </c>
      <c r="AO67" s="21" t="str">
        <f aca="false">IF(F67&lt;&gt;"Y","n/a",IF(AND(N67&lt;&gt;"",OR(Q67&lt;&gt;"",G67="Other / bench",G67="None"),U67&lt;&gt;""),"OK","Missing"))</f>
        <v>Missing</v>
      </c>
    </row>
    <row r="68" customFormat="false" ht="15" hidden="false" customHeight="false" outlineLevel="0" collapsed="false">
      <c r="A68" s="10" t="s">
        <v>241</v>
      </c>
      <c r="B68" s="10" t="s">
        <v>659</v>
      </c>
      <c r="C68" s="10" t="s">
        <v>681</v>
      </c>
      <c r="D68" s="10" t="s">
        <v>666</v>
      </c>
      <c r="E68" s="21" t="str">
        <f aca="false">IF(A68="","",A68&amp;"|"&amp;D68)</f>
        <v>F11|Content uniformity</v>
      </c>
      <c r="F68" s="16" t="s">
        <v>662</v>
      </c>
      <c r="G68" s="16" t="s">
        <v>147</v>
      </c>
      <c r="H68" s="16" t="s">
        <v>663</v>
      </c>
      <c r="I68" s="16" t="n">
        <v>1</v>
      </c>
      <c r="J68" s="16"/>
      <c r="K68" s="14"/>
      <c r="L68" s="14"/>
      <c r="M68" s="14"/>
      <c r="N68" s="14"/>
      <c r="O68" s="14"/>
      <c r="P68" s="18" t="n">
        <f aca="false">IF(N68="",0,IF(OR(M68="",O68=""),N68,(M68+4*N68+O68)/6))</f>
        <v>0</v>
      </c>
      <c r="Q68" s="14"/>
      <c r="R68" s="14"/>
      <c r="S68" s="14"/>
      <c r="T68" s="14"/>
      <c r="U68" s="16"/>
      <c r="V68" s="13"/>
      <c r="W68" s="16" t="s">
        <v>667</v>
      </c>
      <c r="X68" s="16"/>
      <c r="Y68" s="16"/>
      <c r="Z68" s="16"/>
      <c r="AA68" s="22" t="n">
        <f aca="false">IF(F68&lt;&gt;"Y",0,((SUMIF(Products!$E$5:$E$300,A68,Products!$F$5:$F$300)+SUMIF(RM_Lots!$A$5:$A$400,A68,RM_Lots!$D$5:$D$400))+IF(W68="Y",SUMIF(Products!$E$5:$E$300,A68,Products!$G$5:$G$300),0))*(1+N(V68)))</f>
        <v>0</v>
      </c>
      <c r="AB68" s="22" t="n">
        <f aca="false">IF(F68&lt;&gt;"Y",0,((SUMIF(Products!$E$5:$E$300,A68,Products!$K$5:$K$300)+SUMIF(RM_Lots!$A$5:$A$400,A68,RM_Lots!$F$5:$F$400))+IF(W68="Y",SUMIF(Products!$E$5:$E$300,A68,Products!$L$5:$L$300),0))*(1+N(V68)))</f>
        <v>0</v>
      </c>
      <c r="AC68" s="17" t="n">
        <f aca="false">IF(J68="",1,MAX(1,COUNTIFS($J$5:$J$863,J68,$F$5:$F$863,"Y")))</f>
        <v>1</v>
      </c>
      <c r="AD68" s="18" t="n">
        <f aca="false">(MAX(1,N(I68))*(P68+N(S68))+MAX(1,N(I68))*N(K68)/(MAX(1,N(U68))*AC68))*Settings!$B$9</f>
        <v>0</v>
      </c>
      <c r="AE68" s="18" t="n">
        <f aca="false">(MAX(1,N(I68))*N(Q68)+MAX(1,N(I68))*N(L68)/(MAX(1,N(U68))*AC68))*Settings!$B$8</f>
        <v>0</v>
      </c>
      <c r="AF68" s="18" t="n">
        <f aca="false">MAX(1,N(I68))*N(T68)</f>
        <v>0</v>
      </c>
      <c r="AG68" s="15" t="n">
        <f aca="false">AA68*N(AD68)</f>
        <v>0</v>
      </c>
      <c r="AH68" s="15" t="n">
        <f aca="false">AA68*N(AE68)</f>
        <v>0</v>
      </c>
      <c r="AI68" s="15" t="n">
        <f aca="false">AA68*N(AF68)</f>
        <v>0</v>
      </c>
      <c r="AJ68" s="15" t="n">
        <f aca="false">AA68*N(R68)</f>
        <v>0</v>
      </c>
      <c r="AK68" s="15" t="n">
        <f aca="false">AB68*N(AD68)</f>
        <v>0</v>
      </c>
      <c r="AL68" s="15" t="n">
        <f aca="false">AB68*N(AE68)</f>
        <v>0</v>
      </c>
      <c r="AM68" s="15" t="n">
        <f aca="false">AB68*N(AF68)</f>
        <v>0</v>
      </c>
      <c r="AN68" s="15" t="n">
        <f aca="false">AB68*N(R68)</f>
        <v>0</v>
      </c>
      <c r="AO68" s="21" t="str">
        <f aca="false">IF(F68&lt;&gt;"Y","n/a",IF(AND(N68&lt;&gt;"",OR(Q68&lt;&gt;"",G68="Other / bench",G68="None"),U68&lt;&gt;""),"OK","Missing"))</f>
        <v>Missing</v>
      </c>
    </row>
    <row r="69" customFormat="false" ht="15" hidden="false" customHeight="false" outlineLevel="0" collapsed="false">
      <c r="A69" s="10" t="s">
        <v>241</v>
      </c>
      <c r="B69" s="10" t="s">
        <v>659</v>
      </c>
      <c r="C69" s="10" t="s">
        <v>681</v>
      </c>
      <c r="D69" s="10" t="s">
        <v>668</v>
      </c>
      <c r="E69" s="21" t="str">
        <f aca="false">IF(A69="","",A69&amp;"|"&amp;D69)</f>
        <v>F11|Identification (if separate from assay)</v>
      </c>
      <c r="F69" s="16" t="s">
        <v>667</v>
      </c>
      <c r="G69" s="16" t="s">
        <v>147</v>
      </c>
      <c r="H69" s="16" t="s">
        <v>663</v>
      </c>
      <c r="I69" s="16" t="n">
        <v>1</v>
      </c>
      <c r="J69" s="16"/>
      <c r="K69" s="14"/>
      <c r="L69" s="14"/>
      <c r="M69" s="14"/>
      <c r="N69" s="14"/>
      <c r="O69" s="14"/>
      <c r="P69" s="18" t="n">
        <f aca="false">IF(N69="",0,IF(OR(M69="",O69=""),N69,(M69+4*N69+O69)/6))</f>
        <v>0</v>
      </c>
      <c r="Q69" s="14"/>
      <c r="R69" s="14"/>
      <c r="S69" s="14"/>
      <c r="T69" s="14"/>
      <c r="U69" s="16"/>
      <c r="V69" s="13"/>
      <c r="W69" s="16" t="s">
        <v>667</v>
      </c>
      <c r="X69" s="16"/>
      <c r="Y69" s="16"/>
      <c r="Z69" s="16"/>
      <c r="AA69" s="22" t="n">
        <f aca="false">IF(F69&lt;&gt;"Y",0,((SUMIF(Products!$E$5:$E$300,A69,Products!$F$5:$F$300)+SUMIF(RM_Lots!$A$5:$A$400,A69,RM_Lots!$D$5:$D$400))+IF(W69="Y",SUMIF(Products!$E$5:$E$300,A69,Products!$G$5:$G$300),0))*(1+N(V69)))</f>
        <v>0</v>
      </c>
      <c r="AB69" s="22" t="n">
        <f aca="false">IF(F69&lt;&gt;"Y",0,((SUMIF(Products!$E$5:$E$300,A69,Products!$K$5:$K$300)+SUMIF(RM_Lots!$A$5:$A$400,A69,RM_Lots!$F$5:$F$400))+IF(W69="Y",SUMIF(Products!$E$5:$E$300,A69,Products!$L$5:$L$300),0))*(1+N(V69)))</f>
        <v>0</v>
      </c>
      <c r="AC69" s="17" t="n">
        <f aca="false">IF(J69="",1,MAX(1,COUNTIFS($J$5:$J$863,J69,$F$5:$F$863,"Y")))</f>
        <v>1</v>
      </c>
      <c r="AD69" s="18" t="n">
        <f aca="false">(MAX(1,N(I69))*(P69+N(S69))+MAX(1,N(I69))*N(K69)/(MAX(1,N(U69))*AC69))*Settings!$B$9</f>
        <v>0</v>
      </c>
      <c r="AE69" s="18" t="n">
        <f aca="false">(MAX(1,N(I69))*N(Q69)+MAX(1,N(I69))*N(L69)/(MAX(1,N(U69))*AC69))*Settings!$B$8</f>
        <v>0</v>
      </c>
      <c r="AF69" s="18" t="n">
        <f aca="false">MAX(1,N(I69))*N(T69)</f>
        <v>0</v>
      </c>
      <c r="AG69" s="15" t="n">
        <f aca="false">AA69*N(AD69)</f>
        <v>0</v>
      </c>
      <c r="AH69" s="15" t="n">
        <f aca="false">AA69*N(AE69)</f>
        <v>0</v>
      </c>
      <c r="AI69" s="15" t="n">
        <f aca="false">AA69*N(AF69)</f>
        <v>0</v>
      </c>
      <c r="AJ69" s="15" t="n">
        <f aca="false">AA69*N(R69)</f>
        <v>0</v>
      </c>
      <c r="AK69" s="15" t="n">
        <f aca="false">AB69*N(AD69)</f>
        <v>0</v>
      </c>
      <c r="AL69" s="15" t="n">
        <f aca="false">AB69*N(AE69)</f>
        <v>0</v>
      </c>
      <c r="AM69" s="15" t="n">
        <f aca="false">AB69*N(AF69)</f>
        <v>0</v>
      </c>
      <c r="AN69" s="15" t="n">
        <f aca="false">AB69*N(R69)</f>
        <v>0</v>
      </c>
      <c r="AO69" s="21" t="str">
        <f aca="false">IF(F69&lt;&gt;"Y","n/a",IF(AND(N69&lt;&gt;"",OR(Q69&lt;&gt;"",G69="Other / bench",G69="None"),U69&lt;&gt;""),"OK","Missing"))</f>
        <v>n/a</v>
      </c>
    </row>
    <row r="70" customFormat="false" ht="15" hidden="false" customHeight="false" outlineLevel="0" collapsed="false">
      <c r="A70" s="10" t="s">
        <v>241</v>
      </c>
      <c r="B70" s="10" t="s">
        <v>659</v>
      </c>
      <c r="C70" s="10" t="s">
        <v>681</v>
      </c>
      <c r="D70" s="10" t="s">
        <v>669</v>
      </c>
      <c r="E70" s="21" t="str">
        <f aca="false">IF(A70="","",A70&amp;"|"&amp;D70)</f>
        <v>F11|Other tests (non-HPLC: physical, LOD/KF, disintegration, pH, micro...)</v>
      </c>
      <c r="F70" s="16" t="s">
        <v>662</v>
      </c>
      <c r="G70" s="16" t="s">
        <v>670</v>
      </c>
      <c r="H70" s="16" t="s">
        <v>663</v>
      </c>
      <c r="I70" s="16" t="n">
        <v>1</v>
      </c>
      <c r="J70" s="16"/>
      <c r="K70" s="14"/>
      <c r="L70" s="14"/>
      <c r="M70" s="14"/>
      <c r="N70" s="14"/>
      <c r="O70" s="14"/>
      <c r="P70" s="18" t="n">
        <f aca="false">IF(N70="",0,IF(OR(M70="",O70=""),N70,(M70+4*N70+O70)/6))</f>
        <v>0</v>
      </c>
      <c r="Q70" s="14"/>
      <c r="R70" s="14"/>
      <c r="S70" s="14"/>
      <c r="T70" s="14"/>
      <c r="U70" s="16"/>
      <c r="V70" s="13"/>
      <c r="W70" s="16" t="s">
        <v>662</v>
      </c>
      <c r="X70" s="16"/>
      <c r="Y70" s="16"/>
      <c r="Z70" s="16"/>
      <c r="AA70" s="22" t="n">
        <f aca="false">IF(F70&lt;&gt;"Y",0,((SUMIF(Products!$E$5:$E$300,A70,Products!$F$5:$F$300)+SUMIF(RM_Lots!$A$5:$A$400,A70,RM_Lots!$D$5:$D$400))+IF(W70="Y",SUMIF(Products!$E$5:$E$300,A70,Products!$G$5:$G$300),0))*(1+N(V70)))</f>
        <v>0</v>
      </c>
      <c r="AB70" s="22" t="n">
        <f aca="false">IF(F70&lt;&gt;"Y",0,((SUMIF(Products!$E$5:$E$300,A70,Products!$K$5:$K$300)+SUMIF(RM_Lots!$A$5:$A$400,A70,RM_Lots!$F$5:$F$400))+IF(W70="Y",SUMIF(Products!$E$5:$E$300,A70,Products!$L$5:$L$300),0))*(1+N(V70)))</f>
        <v>0</v>
      </c>
      <c r="AC70" s="17" t="n">
        <f aca="false">IF(J70="",1,MAX(1,COUNTIFS($J$5:$J$863,J70,$F$5:$F$863,"Y")))</f>
        <v>1</v>
      </c>
      <c r="AD70" s="18" t="n">
        <f aca="false">(MAX(1,N(I70))*(P70+N(S70))+MAX(1,N(I70))*N(K70)/(MAX(1,N(U70))*AC70))*Settings!$B$9</f>
        <v>0</v>
      </c>
      <c r="AE70" s="18" t="n">
        <f aca="false">(MAX(1,N(I70))*N(Q70)+MAX(1,N(I70))*N(L70)/(MAX(1,N(U70))*AC70))*Settings!$B$8</f>
        <v>0</v>
      </c>
      <c r="AF70" s="18" t="n">
        <f aca="false">MAX(1,N(I70))*N(T70)</f>
        <v>0</v>
      </c>
      <c r="AG70" s="15" t="n">
        <f aca="false">AA70*N(AD70)</f>
        <v>0</v>
      </c>
      <c r="AH70" s="15" t="n">
        <f aca="false">AA70*N(AE70)</f>
        <v>0</v>
      </c>
      <c r="AI70" s="15" t="n">
        <f aca="false">AA70*N(AF70)</f>
        <v>0</v>
      </c>
      <c r="AJ70" s="15" t="n">
        <f aca="false">AA70*N(R70)</f>
        <v>0</v>
      </c>
      <c r="AK70" s="15" t="n">
        <f aca="false">AB70*N(AD70)</f>
        <v>0</v>
      </c>
      <c r="AL70" s="15" t="n">
        <f aca="false">AB70*N(AE70)</f>
        <v>0</v>
      </c>
      <c r="AM70" s="15" t="n">
        <f aca="false">AB70*N(AF70)</f>
        <v>0</v>
      </c>
      <c r="AN70" s="15" t="n">
        <f aca="false">AB70*N(R70)</f>
        <v>0</v>
      </c>
      <c r="AO70" s="21" t="str">
        <f aca="false">IF(F70&lt;&gt;"Y","n/a",IF(AND(N70&lt;&gt;"",OR(Q70&lt;&gt;"",G70="Other / bench",G70="None"),U70&lt;&gt;""),"OK","Missing"))</f>
        <v>Missing</v>
      </c>
    </row>
    <row r="71" customFormat="false" ht="15" hidden="false" customHeight="false" outlineLevel="0" collapsed="false">
      <c r="A71" s="10" t="s">
        <v>244</v>
      </c>
      <c r="B71" s="10" t="s">
        <v>659</v>
      </c>
      <c r="C71" s="10" t="s">
        <v>682</v>
      </c>
      <c r="D71" s="10" t="s">
        <v>661</v>
      </c>
      <c r="E71" s="21" t="str">
        <f aca="false">IF(A71="","",A71&amp;"|"&amp;D71)</f>
        <v>F12|Assay</v>
      </c>
      <c r="F71" s="16" t="s">
        <v>662</v>
      </c>
      <c r="G71" s="16" t="s">
        <v>147</v>
      </c>
      <c r="H71" s="16" t="s">
        <v>672</v>
      </c>
      <c r="I71" s="16" t="n">
        <v>1</v>
      </c>
      <c r="J71" s="16"/>
      <c r="K71" s="14"/>
      <c r="L71" s="14"/>
      <c r="M71" s="14"/>
      <c r="N71" s="14"/>
      <c r="O71" s="14"/>
      <c r="P71" s="18" t="n">
        <f aca="false">IF(N71="",0,IF(OR(M71="",O71=""),N71,(M71+4*N71+O71)/6))</f>
        <v>0</v>
      </c>
      <c r="Q71" s="14"/>
      <c r="R71" s="14"/>
      <c r="S71" s="14"/>
      <c r="T71" s="14"/>
      <c r="U71" s="16"/>
      <c r="V71" s="13"/>
      <c r="W71" s="16" t="s">
        <v>662</v>
      </c>
      <c r="X71" s="16"/>
      <c r="Y71" s="16"/>
      <c r="Z71" s="16"/>
      <c r="AA71" s="22" t="n">
        <f aca="false">IF(F71&lt;&gt;"Y",0,((SUMIF(Products!$E$5:$E$300,A71,Products!$F$5:$F$300)+SUMIF(RM_Lots!$A$5:$A$400,A71,RM_Lots!$D$5:$D$400))+IF(W71="Y",SUMIF(Products!$E$5:$E$300,A71,Products!$G$5:$G$300),0))*(1+N(V71)))</f>
        <v>0</v>
      </c>
      <c r="AB71" s="22" t="n">
        <f aca="false">IF(F71&lt;&gt;"Y",0,((SUMIF(Products!$E$5:$E$300,A71,Products!$K$5:$K$300)+SUMIF(RM_Lots!$A$5:$A$400,A71,RM_Lots!$F$5:$F$400))+IF(W71="Y",SUMIF(Products!$E$5:$E$300,A71,Products!$L$5:$L$300),0))*(1+N(V71)))</f>
        <v>0</v>
      </c>
      <c r="AC71" s="17" t="n">
        <f aca="false">IF(J71="",1,MAX(1,COUNTIFS($J$5:$J$863,J71,$F$5:$F$863,"Y")))</f>
        <v>1</v>
      </c>
      <c r="AD71" s="18" t="n">
        <f aca="false">(MAX(1,N(I71))*(P71+N(S71))+MAX(1,N(I71))*N(K71)/(MAX(1,N(U71))*AC71))*Settings!$B$9</f>
        <v>0</v>
      </c>
      <c r="AE71" s="18" t="n">
        <f aca="false">(MAX(1,N(I71))*N(Q71)+MAX(1,N(I71))*N(L71)/(MAX(1,N(U71))*AC71))*Settings!$B$8</f>
        <v>0</v>
      </c>
      <c r="AF71" s="18" t="n">
        <f aca="false">MAX(1,N(I71))*N(T71)</f>
        <v>0</v>
      </c>
      <c r="AG71" s="15" t="n">
        <f aca="false">AA71*N(AD71)</f>
        <v>0</v>
      </c>
      <c r="AH71" s="15" t="n">
        <f aca="false">AA71*N(AE71)</f>
        <v>0</v>
      </c>
      <c r="AI71" s="15" t="n">
        <f aca="false">AA71*N(AF71)</f>
        <v>0</v>
      </c>
      <c r="AJ71" s="15" t="n">
        <f aca="false">AA71*N(R71)</f>
        <v>0</v>
      </c>
      <c r="AK71" s="15" t="n">
        <f aca="false">AB71*N(AD71)</f>
        <v>0</v>
      </c>
      <c r="AL71" s="15" t="n">
        <f aca="false">AB71*N(AE71)</f>
        <v>0</v>
      </c>
      <c r="AM71" s="15" t="n">
        <f aca="false">AB71*N(AF71)</f>
        <v>0</v>
      </c>
      <c r="AN71" s="15" t="n">
        <f aca="false">AB71*N(R71)</f>
        <v>0</v>
      </c>
      <c r="AO71" s="21" t="str">
        <f aca="false">IF(F71&lt;&gt;"Y","n/a",IF(AND(N71&lt;&gt;"",OR(Q71&lt;&gt;"",G71="Other / bench",G71="None"),U71&lt;&gt;""),"OK","Missing"))</f>
        <v>Missing</v>
      </c>
    </row>
    <row r="72" customFormat="false" ht="15" hidden="false" customHeight="false" outlineLevel="0" collapsed="false">
      <c r="A72" s="10" t="s">
        <v>244</v>
      </c>
      <c r="B72" s="10" t="s">
        <v>659</v>
      </c>
      <c r="C72" s="10" t="s">
        <v>682</v>
      </c>
      <c r="D72" s="10" t="s">
        <v>664</v>
      </c>
      <c r="E72" s="21" t="str">
        <f aca="false">IF(A72="","",A72&amp;"|"&amp;D72)</f>
        <v>F12|Related substances / impurities</v>
      </c>
      <c r="F72" s="16" t="s">
        <v>662</v>
      </c>
      <c r="G72" s="16" t="s">
        <v>147</v>
      </c>
      <c r="H72" s="16" t="s">
        <v>672</v>
      </c>
      <c r="I72" s="16" t="n">
        <v>1</v>
      </c>
      <c r="J72" s="16"/>
      <c r="K72" s="14"/>
      <c r="L72" s="14"/>
      <c r="M72" s="14"/>
      <c r="N72" s="14"/>
      <c r="O72" s="14"/>
      <c r="P72" s="18" t="n">
        <f aca="false">IF(N72="",0,IF(OR(M72="",O72=""),N72,(M72+4*N72+O72)/6))</f>
        <v>0</v>
      </c>
      <c r="Q72" s="14"/>
      <c r="R72" s="14"/>
      <c r="S72" s="14"/>
      <c r="T72" s="14"/>
      <c r="U72" s="16"/>
      <c r="V72" s="13"/>
      <c r="W72" s="16" t="s">
        <v>662</v>
      </c>
      <c r="X72" s="16"/>
      <c r="Y72" s="16"/>
      <c r="Z72" s="16"/>
      <c r="AA72" s="22" t="n">
        <f aca="false">IF(F72&lt;&gt;"Y",0,((SUMIF(Products!$E$5:$E$300,A72,Products!$F$5:$F$300)+SUMIF(RM_Lots!$A$5:$A$400,A72,RM_Lots!$D$5:$D$400))+IF(W72="Y",SUMIF(Products!$E$5:$E$300,A72,Products!$G$5:$G$300),0))*(1+N(V72)))</f>
        <v>0</v>
      </c>
      <c r="AB72" s="22" t="n">
        <f aca="false">IF(F72&lt;&gt;"Y",0,((SUMIF(Products!$E$5:$E$300,A72,Products!$K$5:$K$300)+SUMIF(RM_Lots!$A$5:$A$400,A72,RM_Lots!$F$5:$F$400))+IF(W72="Y",SUMIF(Products!$E$5:$E$300,A72,Products!$L$5:$L$300),0))*(1+N(V72)))</f>
        <v>0</v>
      </c>
      <c r="AC72" s="17" t="n">
        <f aca="false">IF(J72="",1,MAX(1,COUNTIFS($J$5:$J$863,J72,$F$5:$F$863,"Y")))</f>
        <v>1</v>
      </c>
      <c r="AD72" s="18" t="n">
        <f aca="false">(MAX(1,N(I72))*(P72+N(S72))+MAX(1,N(I72))*N(K72)/(MAX(1,N(U72))*AC72))*Settings!$B$9</f>
        <v>0</v>
      </c>
      <c r="AE72" s="18" t="n">
        <f aca="false">(MAX(1,N(I72))*N(Q72)+MAX(1,N(I72))*N(L72)/(MAX(1,N(U72))*AC72))*Settings!$B$8</f>
        <v>0</v>
      </c>
      <c r="AF72" s="18" t="n">
        <f aca="false">MAX(1,N(I72))*N(T72)</f>
        <v>0</v>
      </c>
      <c r="AG72" s="15" t="n">
        <f aca="false">AA72*N(AD72)</f>
        <v>0</v>
      </c>
      <c r="AH72" s="15" t="n">
        <f aca="false">AA72*N(AE72)</f>
        <v>0</v>
      </c>
      <c r="AI72" s="15" t="n">
        <f aca="false">AA72*N(AF72)</f>
        <v>0</v>
      </c>
      <c r="AJ72" s="15" t="n">
        <f aca="false">AA72*N(R72)</f>
        <v>0</v>
      </c>
      <c r="AK72" s="15" t="n">
        <f aca="false">AB72*N(AD72)</f>
        <v>0</v>
      </c>
      <c r="AL72" s="15" t="n">
        <f aca="false">AB72*N(AE72)</f>
        <v>0</v>
      </c>
      <c r="AM72" s="15" t="n">
        <f aca="false">AB72*N(AF72)</f>
        <v>0</v>
      </c>
      <c r="AN72" s="15" t="n">
        <f aca="false">AB72*N(R72)</f>
        <v>0</v>
      </c>
      <c r="AO72" s="21" t="str">
        <f aca="false">IF(F72&lt;&gt;"Y","n/a",IF(AND(N72&lt;&gt;"",OR(Q72&lt;&gt;"",G72="Other / bench",G72="None"),U72&lt;&gt;""),"OK","Missing"))</f>
        <v>Missing</v>
      </c>
    </row>
    <row r="73" customFormat="false" ht="15" hidden="false" customHeight="false" outlineLevel="0" collapsed="false">
      <c r="A73" s="10" t="s">
        <v>244</v>
      </c>
      <c r="B73" s="10" t="s">
        <v>659</v>
      </c>
      <c r="C73" s="10" t="s">
        <v>682</v>
      </c>
      <c r="D73" s="10" t="s">
        <v>665</v>
      </c>
      <c r="E73" s="21" t="str">
        <f aca="false">IF(A73="","",A73&amp;"|"&amp;D73)</f>
        <v>F12|Dissolution</v>
      </c>
      <c r="F73" s="16" t="s">
        <v>662</v>
      </c>
      <c r="G73" s="16" t="s">
        <v>147</v>
      </c>
      <c r="H73" s="16" t="s">
        <v>672</v>
      </c>
      <c r="I73" s="16" t="n">
        <v>1</v>
      </c>
      <c r="J73" s="16"/>
      <c r="K73" s="14"/>
      <c r="L73" s="14"/>
      <c r="M73" s="14"/>
      <c r="N73" s="14"/>
      <c r="O73" s="14"/>
      <c r="P73" s="18" t="n">
        <f aca="false">IF(N73="",0,IF(OR(M73="",O73=""),N73,(M73+4*N73+O73)/6))</f>
        <v>0</v>
      </c>
      <c r="Q73" s="14"/>
      <c r="R73" s="14"/>
      <c r="S73" s="14"/>
      <c r="T73" s="14"/>
      <c r="U73" s="16"/>
      <c r="V73" s="13"/>
      <c r="W73" s="16" t="s">
        <v>662</v>
      </c>
      <c r="X73" s="16"/>
      <c r="Y73" s="16"/>
      <c r="Z73" s="16"/>
      <c r="AA73" s="22" t="n">
        <f aca="false">IF(F73&lt;&gt;"Y",0,((SUMIF(Products!$E$5:$E$300,A73,Products!$F$5:$F$300)+SUMIF(RM_Lots!$A$5:$A$400,A73,RM_Lots!$D$5:$D$400))+IF(W73="Y",SUMIF(Products!$E$5:$E$300,A73,Products!$G$5:$G$300),0))*(1+N(V73)))</f>
        <v>0</v>
      </c>
      <c r="AB73" s="22" t="n">
        <f aca="false">IF(F73&lt;&gt;"Y",0,((SUMIF(Products!$E$5:$E$300,A73,Products!$K$5:$K$300)+SUMIF(RM_Lots!$A$5:$A$400,A73,RM_Lots!$F$5:$F$400))+IF(W73="Y",SUMIF(Products!$E$5:$E$300,A73,Products!$L$5:$L$300),0))*(1+N(V73)))</f>
        <v>0</v>
      </c>
      <c r="AC73" s="17" t="n">
        <f aca="false">IF(J73="",1,MAX(1,COUNTIFS($J$5:$J$863,J73,$F$5:$F$863,"Y")))</f>
        <v>1</v>
      </c>
      <c r="AD73" s="18" t="n">
        <f aca="false">(MAX(1,N(I73))*(P73+N(S73))+MAX(1,N(I73))*N(K73)/(MAX(1,N(U73))*AC73))*Settings!$B$9</f>
        <v>0</v>
      </c>
      <c r="AE73" s="18" t="n">
        <f aca="false">(MAX(1,N(I73))*N(Q73)+MAX(1,N(I73))*N(L73)/(MAX(1,N(U73))*AC73))*Settings!$B$8</f>
        <v>0</v>
      </c>
      <c r="AF73" s="18" t="n">
        <f aca="false">MAX(1,N(I73))*N(T73)</f>
        <v>0</v>
      </c>
      <c r="AG73" s="15" t="n">
        <f aca="false">AA73*N(AD73)</f>
        <v>0</v>
      </c>
      <c r="AH73" s="15" t="n">
        <f aca="false">AA73*N(AE73)</f>
        <v>0</v>
      </c>
      <c r="AI73" s="15" t="n">
        <f aca="false">AA73*N(AF73)</f>
        <v>0</v>
      </c>
      <c r="AJ73" s="15" t="n">
        <f aca="false">AA73*N(R73)</f>
        <v>0</v>
      </c>
      <c r="AK73" s="15" t="n">
        <f aca="false">AB73*N(AD73)</f>
        <v>0</v>
      </c>
      <c r="AL73" s="15" t="n">
        <f aca="false">AB73*N(AE73)</f>
        <v>0</v>
      </c>
      <c r="AM73" s="15" t="n">
        <f aca="false">AB73*N(AF73)</f>
        <v>0</v>
      </c>
      <c r="AN73" s="15" t="n">
        <f aca="false">AB73*N(R73)</f>
        <v>0</v>
      </c>
      <c r="AO73" s="21" t="str">
        <f aca="false">IF(F73&lt;&gt;"Y","n/a",IF(AND(N73&lt;&gt;"",OR(Q73&lt;&gt;"",G73="Other / bench",G73="None"),U73&lt;&gt;""),"OK","Missing"))</f>
        <v>Missing</v>
      </c>
    </row>
    <row r="74" customFormat="false" ht="15" hidden="false" customHeight="false" outlineLevel="0" collapsed="false">
      <c r="A74" s="10" t="s">
        <v>244</v>
      </c>
      <c r="B74" s="10" t="s">
        <v>659</v>
      </c>
      <c r="C74" s="10" t="s">
        <v>682</v>
      </c>
      <c r="D74" s="10" t="s">
        <v>666</v>
      </c>
      <c r="E74" s="21" t="str">
        <f aca="false">IF(A74="","",A74&amp;"|"&amp;D74)</f>
        <v>F12|Content uniformity</v>
      </c>
      <c r="F74" s="16" t="s">
        <v>662</v>
      </c>
      <c r="G74" s="16" t="s">
        <v>147</v>
      </c>
      <c r="H74" s="16" t="s">
        <v>672</v>
      </c>
      <c r="I74" s="16" t="n">
        <v>1</v>
      </c>
      <c r="J74" s="16"/>
      <c r="K74" s="14"/>
      <c r="L74" s="14"/>
      <c r="M74" s="14"/>
      <c r="N74" s="14"/>
      <c r="O74" s="14"/>
      <c r="P74" s="18" t="n">
        <f aca="false">IF(N74="",0,IF(OR(M74="",O74=""),N74,(M74+4*N74+O74)/6))</f>
        <v>0</v>
      </c>
      <c r="Q74" s="14"/>
      <c r="R74" s="14"/>
      <c r="S74" s="14"/>
      <c r="T74" s="14"/>
      <c r="U74" s="16"/>
      <c r="V74" s="13"/>
      <c r="W74" s="16" t="s">
        <v>667</v>
      </c>
      <c r="X74" s="16"/>
      <c r="Y74" s="16"/>
      <c r="Z74" s="16"/>
      <c r="AA74" s="22" t="n">
        <f aca="false">IF(F74&lt;&gt;"Y",0,((SUMIF(Products!$E$5:$E$300,A74,Products!$F$5:$F$300)+SUMIF(RM_Lots!$A$5:$A$400,A74,RM_Lots!$D$5:$D$400))+IF(W74="Y",SUMIF(Products!$E$5:$E$300,A74,Products!$G$5:$G$300),0))*(1+N(V74)))</f>
        <v>0</v>
      </c>
      <c r="AB74" s="22" t="n">
        <f aca="false">IF(F74&lt;&gt;"Y",0,((SUMIF(Products!$E$5:$E$300,A74,Products!$K$5:$K$300)+SUMIF(RM_Lots!$A$5:$A$400,A74,RM_Lots!$F$5:$F$400))+IF(W74="Y",SUMIF(Products!$E$5:$E$300,A74,Products!$L$5:$L$300),0))*(1+N(V74)))</f>
        <v>0</v>
      </c>
      <c r="AC74" s="17" t="n">
        <f aca="false">IF(J74="",1,MAX(1,COUNTIFS($J$5:$J$863,J74,$F$5:$F$863,"Y")))</f>
        <v>1</v>
      </c>
      <c r="AD74" s="18" t="n">
        <f aca="false">(MAX(1,N(I74))*(P74+N(S74))+MAX(1,N(I74))*N(K74)/(MAX(1,N(U74))*AC74))*Settings!$B$9</f>
        <v>0</v>
      </c>
      <c r="AE74" s="18" t="n">
        <f aca="false">(MAX(1,N(I74))*N(Q74)+MAX(1,N(I74))*N(L74)/(MAX(1,N(U74))*AC74))*Settings!$B$8</f>
        <v>0</v>
      </c>
      <c r="AF74" s="18" t="n">
        <f aca="false">MAX(1,N(I74))*N(T74)</f>
        <v>0</v>
      </c>
      <c r="AG74" s="15" t="n">
        <f aca="false">AA74*N(AD74)</f>
        <v>0</v>
      </c>
      <c r="AH74" s="15" t="n">
        <f aca="false">AA74*N(AE74)</f>
        <v>0</v>
      </c>
      <c r="AI74" s="15" t="n">
        <f aca="false">AA74*N(AF74)</f>
        <v>0</v>
      </c>
      <c r="AJ74" s="15" t="n">
        <f aca="false">AA74*N(R74)</f>
        <v>0</v>
      </c>
      <c r="AK74" s="15" t="n">
        <f aca="false">AB74*N(AD74)</f>
        <v>0</v>
      </c>
      <c r="AL74" s="15" t="n">
        <f aca="false">AB74*N(AE74)</f>
        <v>0</v>
      </c>
      <c r="AM74" s="15" t="n">
        <f aca="false">AB74*N(AF74)</f>
        <v>0</v>
      </c>
      <c r="AN74" s="15" t="n">
        <f aca="false">AB74*N(R74)</f>
        <v>0</v>
      </c>
      <c r="AO74" s="21" t="str">
        <f aca="false">IF(F74&lt;&gt;"Y","n/a",IF(AND(N74&lt;&gt;"",OR(Q74&lt;&gt;"",G74="Other / bench",G74="None"),U74&lt;&gt;""),"OK","Missing"))</f>
        <v>Missing</v>
      </c>
    </row>
    <row r="75" customFormat="false" ht="15" hidden="false" customHeight="false" outlineLevel="0" collapsed="false">
      <c r="A75" s="10" t="s">
        <v>244</v>
      </c>
      <c r="B75" s="10" t="s">
        <v>659</v>
      </c>
      <c r="C75" s="10" t="s">
        <v>682</v>
      </c>
      <c r="D75" s="10" t="s">
        <v>668</v>
      </c>
      <c r="E75" s="21" t="str">
        <f aca="false">IF(A75="","",A75&amp;"|"&amp;D75)</f>
        <v>F12|Identification (if separate from assay)</v>
      </c>
      <c r="F75" s="16" t="s">
        <v>667</v>
      </c>
      <c r="G75" s="16" t="s">
        <v>147</v>
      </c>
      <c r="H75" s="16" t="s">
        <v>672</v>
      </c>
      <c r="I75" s="16" t="n">
        <v>1</v>
      </c>
      <c r="J75" s="16"/>
      <c r="K75" s="14"/>
      <c r="L75" s="14"/>
      <c r="M75" s="14"/>
      <c r="N75" s="14"/>
      <c r="O75" s="14"/>
      <c r="P75" s="18" t="n">
        <f aca="false">IF(N75="",0,IF(OR(M75="",O75=""),N75,(M75+4*N75+O75)/6))</f>
        <v>0</v>
      </c>
      <c r="Q75" s="14"/>
      <c r="R75" s="14"/>
      <c r="S75" s="14"/>
      <c r="T75" s="14"/>
      <c r="U75" s="16"/>
      <c r="V75" s="13"/>
      <c r="W75" s="16" t="s">
        <v>667</v>
      </c>
      <c r="X75" s="16"/>
      <c r="Y75" s="16"/>
      <c r="Z75" s="16"/>
      <c r="AA75" s="22" t="n">
        <f aca="false">IF(F75&lt;&gt;"Y",0,((SUMIF(Products!$E$5:$E$300,A75,Products!$F$5:$F$300)+SUMIF(RM_Lots!$A$5:$A$400,A75,RM_Lots!$D$5:$D$400))+IF(W75="Y",SUMIF(Products!$E$5:$E$300,A75,Products!$G$5:$G$300),0))*(1+N(V75)))</f>
        <v>0</v>
      </c>
      <c r="AB75" s="22" t="n">
        <f aca="false">IF(F75&lt;&gt;"Y",0,((SUMIF(Products!$E$5:$E$300,A75,Products!$K$5:$K$300)+SUMIF(RM_Lots!$A$5:$A$400,A75,RM_Lots!$F$5:$F$400))+IF(W75="Y",SUMIF(Products!$E$5:$E$300,A75,Products!$L$5:$L$300),0))*(1+N(V75)))</f>
        <v>0</v>
      </c>
      <c r="AC75" s="17" t="n">
        <f aca="false">IF(J75="",1,MAX(1,COUNTIFS($J$5:$J$863,J75,$F$5:$F$863,"Y")))</f>
        <v>1</v>
      </c>
      <c r="AD75" s="18" t="n">
        <f aca="false">(MAX(1,N(I75))*(P75+N(S75))+MAX(1,N(I75))*N(K75)/(MAX(1,N(U75))*AC75))*Settings!$B$9</f>
        <v>0</v>
      </c>
      <c r="AE75" s="18" t="n">
        <f aca="false">(MAX(1,N(I75))*N(Q75)+MAX(1,N(I75))*N(L75)/(MAX(1,N(U75))*AC75))*Settings!$B$8</f>
        <v>0</v>
      </c>
      <c r="AF75" s="18" t="n">
        <f aca="false">MAX(1,N(I75))*N(T75)</f>
        <v>0</v>
      </c>
      <c r="AG75" s="15" t="n">
        <f aca="false">AA75*N(AD75)</f>
        <v>0</v>
      </c>
      <c r="AH75" s="15" t="n">
        <f aca="false">AA75*N(AE75)</f>
        <v>0</v>
      </c>
      <c r="AI75" s="15" t="n">
        <f aca="false">AA75*N(AF75)</f>
        <v>0</v>
      </c>
      <c r="AJ75" s="15" t="n">
        <f aca="false">AA75*N(R75)</f>
        <v>0</v>
      </c>
      <c r="AK75" s="15" t="n">
        <f aca="false">AB75*N(AD75)</f>
        <v>0</v>
      </c>
      <c r="AL75" s="15" t="n">
        <f aca="false">AB75*N(AE75)</f>
        <v>0</v>
      </c>
      <c r="AM75" s="15" t="n">
        <f aca="false">AB75*N(AF75)</f>
        <v>0</v>
      </c>
      <c r="AN75" s="15" t="n">
        <f aca="false">AB75*N(R75)</f>
        <v>0</v>
      </c>
      <c r="AO75" s="21" t="str">
        <f aca="false">IF(F75&lt;&gt;"Y","n/a",IF(AND(N75&lt;&gt;"",OR(Q75&lt;&gt;"",G75="Other / bench",G75="None"),U75&lt;&gt;""),"OK","Missing"))</f>
        <v>n/a</v>
      </c>
    </row>
    <row r="76" customFormat="false" ht="15" hidden="false" customHeight="false" outlineLevel="0" collapsed="false">
      <c r="A76" s="10" t="s">
        <v>244</v>
      </c>
      <c r="B76" s="10" t="s">
        <v>659</v>
      </c>
      <c r="C76" s="10" t="s">
        <v>682</v>
      </c>
      <c r="D76" s="10" t="s">
        <v>669</v>
      </c>
      <c r="E76" s="21" t="str">
        <f aca="false">IF(A76="","",A76&amp;"|"&amp;D76)</f>
        <v>F12|Other tests (non-HPLC: physical, LOD/KF, disintegration, pH, micro...)</v>
      </c>
      <c r="F76" s="16" t="s">
        <v>662</v>
      </c>
      <c r="G76" s="16" t="s">
        <v>670</v>
      </c>
      <c r="H76" s="16" t="s">
        <v>672</v>
      </c>
      <c r="I76" s="16" t="n">
        <v>1</v>
      </c>
      <c r="J76" s="16"/>
      <c r="K76" s="14"/>
      <c r="L76" s="14"/>
      <c r="M76" s="14"/>
      <c r="N76" s="14"/>
      <c r="O76" s="14"/>
      <c r="P76" s="18" t="n">
        <f aca="false">IF(N76="",0,IF(OR(M76="",O76=""),N76,(M76+4*N76+O76)/6))</f>
        <v>0</v>
      </c>
      <c r="Q76" s="14"/>
      <c r="R76" s="14"/>
      <c r="S76" s="14"/>
      <c r="T76" s="14"/>
      <c r="U76" s="16"/>
      <c r="V76" s="13"/>
      <c r="W76" s="16" t="s">
        <v>662</v>
      </c>
      <c r="X76" s="16"/>
      <c r="Y76" s="16"/>
      <c r="Z76" s="16"/>
      <c r="AA76" s="22" t="n">
        <f aca="false">IF(F76&lt;&gt;"Y",0,((SUMIF(Products!$E$5:$E$300,A76,Products!$F$5:$F$300)+SUMIF(RM_Lots!$A$5:$A$400,A76,RM_Lots!$D$5:$D$400))+IF(W76="Y",SUMIF(Products!$E$5:$E$300,A76,Products!$G$5:$G$300),0))*(1+N(V76)))</f>
        <v>0</v>
      </c>
      <c r="AB76" s="22" t="n">
        <f aca="false">IF(F76&lt;&gt;"Y",0,((SUMIF(Products!$E$5:$E$300,A76,Products!$K$5:$K$300)+SUMIF(RM_Lots!$A$5:$A$400,A76,RM_Lots!$F$5:$F$400))+IF(W76="Y",SUMIF(Products!$E$5:$E$300,A76,Products!$L$5:$L$300),0))*(1+N(V76)))</f>
        <v>0</v>
      </c>
      <c r="AC76" s="17" t="n">
        <f aca="false">IF(J76="",1,MAX(1,COUNTIFS($J$5:$J$863,J76,$F$5:$F$863,"Y")))</f>
        <v>1</v>
      </c>
      <c r="AD76" s="18" t="n">
        <f aca="false">(MAX(1,N(I76))*(P76+N(S76))+MAX(1,N(I76))*N(K76)/(MAX(1,N(U76))*AC76))*Settings!$B$9</f>
        <v>0</v>
      </c>
      <c r="AE76" s="18" t="n">
        <f aca="false">(MAX(1,N(I76))*N(Q76)+MAX(1,N(I76))*N(L76)/(MAX(1,N(U76))*AC76))*Settings!$B$8</f>
        <v>0</v>
      </c>
      <c r="AF76" s="18" t="n">
        <f aca="false">MAX(1,N(I76))*N(T76)</f>
        <v>0</v>
      </c>
      <c r="AG76" s="15" t="n">
        <f aca="false">AA76*N(AD76)</f>
        <v>0</v>
      </c>
      <c r="AH76" s="15" t="n">
        <f aca="false">AA76*N(AE76)</f>
        <v>0</v>
      </c>
      <c r="AI76" s="15" t="n">
        <f aca="false">AA76*N(AF76)</f>
        <v>0</v>
      </c>
      <c r="AJ76" s="15" t="n">
        <f aca="false">AA76*N(R76)</f>
        <v>0</v>
      </c>
      <c r="AK76" s="15" t="n">
        <f aca="false">AB76*N(AD76)</f>
        <v>0</v>
      </c>
      <c r="AL76" s="15" t="n">
        <f aca="false">AB76*N(AE76)</f>
        <v>0</v>
      </c>
      <c r="AM76" s="15" t="n">
        <f aca="false">AB76*N(AF76)</f>
        <v>0</v>
      </c>
      <c r="AN76" s="15" t="n">
        <f aca="false">AB76*N(R76)</f>
        <v>0</v>
      </c>
      <c r="AO76" s="21" t="str">
        <f aca="false">IF(F76&lt;&gt;"Y","n/a",IF(AND(N76&lt;&gt;"",OR(Q76&lt;&gt;"",G76="Other / bench",G76="None"),U76&lt;&gt;""),"OK","Missing"))</f>
        <v>Missing</v>
      </c>
    </row>
    <row r="77" customFormat="false" ht="15" hidden="false" customHeight="false" outlineLevel="0" collapsed="false">
      <c r="A77" s="10" t="s">
        <v>247</v>
      </c>
      <c r="B77" s="10" t="s">
        <v>659</v>
      </c>
      <c r="C77" s="10" t="s">
        <v>683</v>
      </c>
      <c r="D77" s="10" t="s">
        <v>661</v>
      </c>
      <c r="E77" s="21" t="str">
        <f aca="false">IF(A77="","",A77&amp;"|"&amp;D77)</f>
        <v>F13|Assay</v>
      </c>
      <c r="F77" s="16" t="s">
        <v>662</v>
      </c>
      <c r="G77" s="16" t="s">
        <v>147</v>
      </c>
      <c r="H77" s="16" t="s">
        <v>672</v>
      </c>
      <c r="I77" s="16" t="n">
        <v>1</v>
      </c>
      <c r="J77" s="16"/>
      <c r="K77" s="14"/>
      <c r="L77" s="14"/>
      <c r="M77" s="14"/>
      <c r="N77" s="14"/>
      <c r="O77" s="14"/>
      <c r="P77" s="18" t="n">
        <f aca="false">IF(N77="",0,IF(OR(M77="",O77=""),N77,(M77+4*N77+O77)/6))</f>
        <v>0</v>
      </c>
      <c r="Q77" s="14"/>
      <c r="R77" s="14"/>
      <c r="S77" s="14"/>
      <c r="T77" s="14"/>
      <c r="U77" s="16"/>
      <c r="V77" s="13"/>
      <c r="W77" s="16" t="s">
        <v>662</v>
      </c>
      <c r="X77" s="16"/>
      <c r="Y77" s="16"/>
      <c r="Z77" s="16"/>
      <c r="AA77" s="22" t="n">
        <f aca="false">IF(F77&lt;&gt;"Y",0,((SUMIF(Products!$E$5:$E$300,A77,Products!$F$5:$F$300)+SUMIF(RM_Lots!$A$5:$A$400,A77,RM_Lots!$D$5:$D$400))+IF(W77="Y",SUMIF(Products!$E$5:$E$300,A77,Products!$G$5:$G$300),0))*(1+N(V77)))</f>
        <v>0</v>
      </c>
      <c r="AB77" s="22" t="n">
        <f aca="false">IF(F77&lt;&gt;"Y",0,((SUMIF(Products!$E$5:$E$300,A77,Products!$K$5:$K$300)+SUMIF(RM_Lots!$A$5:$A$400,A77,RM_Lots!$F$5:$F$400))+IF(W77="Y",SUMIF(Products!$E$5:$E$300,A77,Products!$L$5:$L$300),0))*(1+N(V77)))</f>
        <v>0</v>
      </c>
      <c r="AC77" s="17" t="n">
        <f aca="false">IF(J77="",1,MAX(1,COUNTIFS($J$5:$J$863,J77,$F$5:$F$863,"Y")))</f>
        <v>1</v>
      </c>
      <c r="AD77" s="18" t="n">
        <f aca="false">(MAX(1,N(I77))*(P77+N(S77))+MAX(1,N(I77))*N(K77)/(MAX(1,N(U77))*AC77))*Settings!$B$9</f>
        <v>0</v>
      </c>
      <c r="AE77" s="18" t="n">
        <f aca="false">(MAX(1,N(I77))*N(Q77)+MAX(1,N(I77))*N(L77)/(MAX(1,N(U77))*AC77))*Settings!$B$8</f>
        <v>0</v>
      </c>
      <c r="AF77" s="18" t="n">
        <f aca="false">MAX(1,N(I77))*N(T77)</f>
        <v>0</v>
      </c>
      <c r="AG77" s="15" t="n">
        <f aca="false">AA77*N(AD77)</f>
        <v>0</v>
      </c>
      <c r="AH77" s="15" t="n">
        <f aca="false">AA77*N(AE77)</f>
        <v>0</v>
      </c>
      <c r="AI77" s="15" t="n">
        <f aca="false">AA77*N(AF77)</f>
        <v>0</v>
      </c>
      <c r="AJ77" s="15" t="n">
        <f aca="false">AA77*N(R77)</f>
        <v>0</v>
      </c>
      <c r="AK77" s="15" t="n">
        <f aca="false">AB77*N(AD77)</f>
        <v>0</v>
      </c>
      <c r="AL77" s="15" t="n">
        <f aca="false">AB77*N(AE77)</f>
        <v>0</v>
      </c>
      <c r="AM77" s="15" t="n">
        <f aca="false">AB77*N(AF77)</f>
        <v>0</v>
      </c>
      <c r="AN77" s="15" t="n">
        <f aca="false">AB77*N(R77)</f>
        <v>0</v>
      </c>
      <c r="AO77" s="21" t="str">
        <f aca="false">IF(F77&lt;&gt;"Y","n/a",IF(AND(N77&lt;&gt;"",OR(Q77&lt;&gt;"",G77="Other / bench",G77="None"),U77&lt;&gt;""),"OK","Missing"))</f>
        <v>Missing</v>
      </c>
    </row>
    <row r="78" customFormat="false" ht="15" hidden="false" customHeight="false" outlineLevel="0" collapsed="false">
      <c r="A78" s="10" t="s">
        <v>247</v>
      </c>
      <c r="B78" s="10" t="s">
        <v>659</v>
      </c>
      <c r="C78" s="10" t="s">
        <v>683</v>
      </c>
      <c r="D78" s="10" t="s">
        <v>664</v>
      </c>
      <c r="E78" s="21" t="str">
        <f aca="false">IF(A78="","",A78&amp;"|"&amp;D78)</f>
        <v>F13|Related substances / impurities</v>
      </c>
      <c r="F78" s="16" t="s">
        <v>662</v>
      </c>
      <c r="G78" s="16" t="s">
        <v>147</v>
      </c>
      <c r="H78" s="16" t="s">
        <v>672</v>
      </c>
      <c r="I78" s="16" t="n">
        <v>1</v>
      </c>
      <c r="J78" s="16"/>
      <c r="K78" s="14"/>
      <c r="L78" s="14"/>
      <c r="M78" s="14"/>
      <c r="N78" s="14"/>
      <c r="O78" s="14"/>
      <c r="P78" s="18" t="n">
        <f aca="false">IF(N78="",0,IF(OR(M78="",O78=""),N78,(M78+4*N78+O78)/6))</f>
        <v>0</v>
      </c>
      <c r="Q78" s="14"/>
      <c r="R78" s="14"/>
      <c r="S78" s="14"/>
      <c r="T78" s="14"/>
      <c r="U78" s="16"/>
      <c r="V78" s="13"/>
      <c r="W78" s="16" t="s">
        <v>662</v>
      </c>
      <c r="X78" s="16"/>
      <c r="Y78" s="16"/>
      <c r="Z78" s="16"/>
      <c r="AA78" s="22" t="n">
        <f aca="false">IF(F78&lt;&gt;"Y",0,((SUMIF(Products!$E$5:$E$300,A78,Products!$F$5:$F$300)+SUMIF(RM_Lots!$A$5:$A$400,A78,RM_Lots!$D$5:$D$400))+IF(W78="Y",SUMIF(Products!$E$5:$E$300,A78,Products!$G$5:$G$300),0))*(1+N(V78)))</f>
        <v>0</v>
      </c>
      <c r="AB78" s="22" t="n">
        <f aca="false">IF(F78&lt;&gt;"Y",0,((SUMIF(Products!$E$5:$E$300,A78,Products!$K$5:$K$300)+SUMIF(RM_Lots!$A$5:$A$400,A78,RM_Lots!$F$5:$F$400))+IF(W78="Y",SUMIF(Products!$E$5:$E$300,A78,Products!$L$5:$L$300),0))*(1+N(V78)))</f>
        <v>0</v>
      </c>
      <c r="AC78" s="17" t="n">
        <f aca="false">IF(J78="",1,MAX(1,COUNTIFS($J$5:$J$863,J78,$F$5:$F$863,"Y")))</f>
        <v>1</v>
      </c>
      <c r="AD78" s="18" t="n">
        <f aca="false">(MAX(1,N(I78))*(P78+N(S78))+MAX(1,N(I78))*N(K78)/(MAX(1,N(U78))*AC78))*Settings!$B$9</f>
        <v>0</v>
      </c>
      <c r="AE78" s="18" t="n">
        <f aca="false">(MAX(1,N(I78))*N(Q78)+MAX(1,N(I78))*N(L78)/(MAX(1,N(U78))*AC78))*Settings!$B$8</f>
        <v>0</v>
      </c>
      <c r="AF78" s="18" t="n">
        <f aca="false">MAX(1,N(I78))*N(T78)</f>
        <v>0</v>
      </c>
      <c r="AG78" s="15" t="n">
        <f aca="false">AA78*N(AD78)</f>
        <v>0</v>
      </c>
      <c r="AH78" s="15" t="n">
        <f aca="false">AA78*N(AE78)</f>
        <v>0</v>
      </c>
      <c r="AI78" s="15" t="n">
        <f aca="false">AA78*N(AF78)</f>
        <v>0</v>
      </c>
      <c r="AJ78" s="15" t="n">
        <f aca="false">AA78*N(R78)</f>
        <v>0</v>
      </c>
      <c r="AK78" s="15" t="n">
        <f aca="false">AB78*N(AD78)</f>
        <v>0</v>
      </c>
      <c r="AL78" s="15" t="n">
        <f aca="false">AB78*N(AE78)</f>
        <v>0</v>
      </c>
      <c r="AM78" s="15" t="n">
        <f aca="false">AB78*N(AF78)</f>
        <v>0</v>
      </c>
      <c r="AN78" s="15" t="n">
        <f aca="false">AB78*N(R78)</f>
        <v>0</v>
      </c>
      <c r="AO78" s="21" t="str">
        <f aca="false">IF(F78&lt;&gt;"Y","n/a",IF(AND(N78&lt;&gt;"",OR(Q78&lt;&gt;"",G78="Other / bench",G78="None"),U78&lt;&gt;""),"OK","Missing"))</f>
        <v>Missing</v>
      </c>
    </row>
    <row r="79" customFormat="false" ht="15" hidden="false" customHeight="false" outlineLevel="0" collapsed="false">
      <c r="A79" s="10" t="s">
        <v>247</v>
      </c>
      <c r="B79" s="10" t="s">
        <v>659</v>
      </c>
      <c r="C79" s="10" t="s">
        <v>683</v>
      </c>
      <c r="D79" s="10" t="s">
        <v>665</v>
      </c>
      <c r="E79" s="21" t="str">
        <f aca="false">IF(A79="","",A79&amp;"|"&amp;D79)</f>
        <v>F13|Dissolution</v>
      </c>
      <c r="F79" s="16" t="s">
        <v>662</v>
      </c>
      <c r="G79" s="16" t="s">
        <v>147</v>
      </c>
      <c r="H79" s="16" t="s">
        <v>672</v>
      </c>
      <c r="I79" s="16" t="n">
        <v>1</v>
      </c>
      <c r="J79" s="16"/>
      <c r="K79" s="14"/>
      <c r="L79" s="14"/>
      <c r="M79" s="14"/>
      <c r="N79" s="14"/>
      <c r="O79" s="14"/>
      <c r="P79" s="18" t="n">
        <f aca="false">IF(N79="",0,IF(OR(M79="",O79=""),N79,(M79+4*N79+O79)/6))</f>
        <v>0</v>
      </c>
      <c r="Q79" s="14"/>
      <c r="R79" s="14"/>
      <c r="S79" s="14"/>
      <c r="T79" s="14"/>
      <c r="U79" s="16"/>
      <c r="V79" s="13"/>
      <c r="W79" s="16" t="s">
        <v>662</v>
      </c>
      <c r="X79" s="16"/>
      <c r="Y79" s="16"/>
      <c r="Z79" s="16"/>
      <c r="AA79" s="22" t="n">
        <f aca="false">IF(F79&lt;&gt;"Y",0,((SUMIF(Products!$E$5:$E$300,A79,Products!$F$5:$F$300)+SUMIF(RM_Lots!$A$5:$A$400,A79,RM_Lots!$D$5:$D$400))+IF(W79="Y",SUMIF(Products!$E$5:$E$300,A79,Products!$G$5:$G$300),0))*(1+N(V79)))</f>
        <v>0</v>
      </c>
      <c r="AB79" s="22" t="n">
        <f aca="false">IF(F79&lt;&gt;"Y",0,((SUMIF(Products!$E$5:$E$300,A79,Products!$K$5:$K$300)+SUMIF(RM_Lots!$A$5:$A$400,A79,RM_Lots!$F$5:$F$400))+IF(W79="Y",SUMIF(Products!$E$5:$E$300,A79,Products!$L$5:$L$300),0))*(1+N(V79)))</f>
        <v>0</v>
      </c>
      <c r="AC79" s="17" t="n">
        <f aca="false">IF(J79="",1,MAX(1,COUNTIFS($J$5:$J$863,J79,$F$5:$F$863,"Y")))</f>
        <v>1</v>
      </c>
      <c r="AD79" s="18" t="n">
        <f aca="false">(MAX(1,N(I79))*(P79+N(S79))+MAX(1,N(I79))*N(K79)/(MAX(1,N(U79))*AC79))*Settings!$B$9</f>
        <v>0</v>
      </c>
      <c r="AE79" s="18" t="n">
        <f aca="false">(MAX(1,N(I79))*N(Q79)+MAX(1,N(I79))*N(L79)/(MAX(1,N(U79))*AC79))*Settings!$B$8</f>
        <v>0</v>
      </c>
      <c r="AF79" s="18" t="n">
        <f aca="false">MAX(1,N(I79))*N(T79)</f>
        <v>0</v>
      </c>
      <c r="AG79" s="15" t="n">
        <f aca="false">AA79*N(AD79)</f>
        <v>0</v>
      </c>
      <c r="AH79" s="15" t="n">
        <f aca="false">AA79*N(AE79)</f>
        <v>0</v>
      </c>
      <c r="AI79" s="15" t="n">
        <f aca="false">AA79*N(AF79)</f>
        <v>0</v>
      </c>
      <c r="AJ79" s="15" t="n">
        <f aca="false">AA79*N(R79)</f>
        <v>0</v>
      </c>
      <c r="AK79" s="15" t="n">
        <f aca="false">AB79*N(AD79)</f>
        <v>0</v>
      </c>
      <c r="AL79" s="15" t="n">
        <f aca="false">AB79*N(AE79)</f>
        <v>0</v>
      </c>
      <c r="AM79" s="15" t="n">
        <f aca="false">AB79*N(AF79)</f>
        <v>0</v>
      </c>
      <c r="AN79" s="15" t="n">
        <f aca="false">AB79*N(R79)</f>
        <v>0</v>
      </c>
      <c r="AO79" s="21" t="str">
        <f aca="false">IF(F79&lt;&gt;"Y","n/a",IF(AND(N79&lt;&gt;"",OR(Q79&lt;&gt;"",G79="Other / bench",G79="None"),U79&lt;&gt;""),"OK","Missing"))</f>
        <v>Missing</v>
      </c>
    </row>
    <row r="80" customFormat="false" ht="15" hidden="false" customHeight="false" outlineLevel="0" collapsed="false">
      <c r="A80" s="10" t="s">
        <v>247</v>
      </c>
      <c r="B80" s="10" t="s">
        <v>659</v>
      </c>
      <c r="C80" s="10" t="s">
        <v>683</v>
      </c>
      <c r="D80" s="10" t="s">
        <v>666</v>
      </c>
      <c r="E80" s="21" t="str">
        <f aca="false">IF(A80="","",A80&amp;"|"&amp;D80)</f>
        <v>F13|Content uniformity</v>
      </c>
      <c r="F80" s="16" t="s">
        <v>662</v>
      </c>
      <c r="G80" s="16" t="s">
        <v>147</v>
      </c>
      <c r="H80" s="16" t="s">
        <v>672</v>
      </c>
      <c r="I80" s="16" t="n">
        <v>1</v>
      </c>
      <c r="J80" s="16"/>
      <c r="K80" s="14"/>
      <c r="L80" s="14"/>
      <c r="M80" s="14"/>
      <c r="N80" s="14"/>
      <c r="O80" s="14"/>
      <c r="P80" s="18" t="n">
        <f aca="false">IF(N80="",0,IF(OR(M80="",O80=""),N80,(M80+4*N80+O80)/6))</f>
        <v>0</v>
      </c>
      <c r="Q80" s="14"/>
      <c r="R80" s="14"/>
      <c r="S80" s="14"/>
      <c r="T80" s="14"/>
      <c r="U80" s="16"/>
      <c r="V80" s="13"/>
      <c r="W80" s="16" t="s">
        <v>667</v>
      </c>
      <c r="X80" s="16"/>
      <c r="Y80" s="16"/>
      <c r="Z80" s="16"/>
      <c r="AA80" s="22" t="n">
        <f aca="false">IF(F80&lt;&gt;"Y",0,((SUMIF(Products!$E$5:$E$300,A80,Products!$F$5:$F$300)+SUMIF(RM_Lots!$A$5:$A$400,A80,RM_Lots!$D$5:$D$400))+IF(W80="Y",SUMIF(Products!$E$5:$E$300,A80,Products!$G$5:$G$300),0))*(1+N(V80)))</f>
        <v>0</v>
      </c>
      <c r="AB80" s="22" t="n">
        <f aca="false">IF(F80&lt;&gt;"Y",0,((SUMIF(Products!$E$5:$E$300,A80,Products!$K$5:$K$300)+SUMIF(RM_Lots!$A$5:$A$400,A80,RM_Lots!$F$5:$F$400))+IF(W80="Y",SUMIF(Products!$E$5:$E$300,A80,Products!$L$5:$L$300),0))*(1+N(V80)))</f>
        <v>0</v>
      </c>
      <c r="AC80" s="17" t="n">
        <f aca="false">IF(J80="",1,MAX(1,COUNTIFS($J$5:$J$863,J80,$F$5:$F$863,"Y")))</f>
        <v>1</v>
      </c>
      <c r="AD80" s="18" t="n">
        <f aca="false">(MAX(1,N(I80))*(P80+N(S80))+MAX(1,N(I80))*N(K80)/(MAX(1,N(U80))*AC80))*Settings!$B$9</f>
        <v>0</v>
      </c>
      <c r="AE80" s="18" t="n">
        <f aca="false">(MAX(1,N(I80))*N(Q80)+MAX(1,N(I80))*N(L80)/(MAX(1,N(U80))*AC80))*Settings!$B$8</f>
        <v>0</v>
      </c>
      <c r="AF80" s="18" t="n">
        <f aca="false">MAX(1,N(I80))*N(T80)</f>
        <v>0</v>
      </c>
      <c r="AG80" s="15" t="n">
        <f aca="false">AA80*N(AD80)</f>
        <v>0</v>
      </c>
      <c r="AH80" s="15" t="n">
        <f aca="false">AA80*N(AE80)</f>
        <v>0</v>
      </c>
      <c r="AI80" s="15" t="n">
        <f aca="false">AA80*N(AF80)</f>
        <v>0</v>
      </c>
      <c r="AJ80" s="15" t="n">
        <f aca="false">AA80*N(R80)</f>
        <v>0</v>
      </c>
      <c r="AK80" s="15" t="n">
        <f aca="false">AB80*N(AD80)</f>
        <v>0</v>
      </c>
      <c r="AL80" s="15" t="n">
        <f aca="false">AB80*N(AE80)</f>
        <v>0</v>
      </c>
      <c r="AM80" s="15" t="n">
        <f aca="false">AB80*N(AF80)</f>
        <v>0</v>
      </c>
      <c r="AN80" s="15" t="n">
        <f aca="false">AB80*N(R80)</f>
        <v>0</v>
      </c>
      <c r="AO80" s="21" t="str">
        <f aca="false">IF(F80&lt;&gt;"Y","n/a",IF(AND(N80&lt;&gt;"",OR(Q80&lt;&gt;"",G80="Other / bench",G80="None"),U80&lt;&gt;""),"OK","Missing"))</f>
        <v>Missing</v>
      </c>
    </row>
    <row r="81" customFormat="false" ht="15" hidden="false" customHeight="false" outlineLevel="0" collapsed="false">
      <c r="A81" s="10" t="s">
        <v>247</v>
      </c>
      <c r="B81" s="10" t="s">
        <v>659</v>
      </c>
      <c r="C81" s="10" t="s">
        <v>683</v>
      </c>
      <c r="D81" s="10" t="s">
        <v>668</v>
      </c>
      <c r="E81" s="21" t="str">
        <f aca="false">IF(A81="","",A81&amp;"|"&amp;D81)</f>
        <v>F13|Identification (if separate from assay)</v>
      </c>
      <c r="F81" s="16" t="s">
        <v>667</v>
      </c>
      <c r="G81" s="16" t="s">
        <v>147</v>
      </c>
      <c r="H81" s="16" t="s">
        <v>672</v>
      </c>
      <c r="I81" s="16" t="n">
        <v>1</v>
      </c>
      <c r="J81" s="16"/>
      <c r="K81" s="14"/>
      <c r="L81" s="14"/>
      <c r="M81" s="14"/>
      <c r="N81" s="14"/>
      <c r="O81" s="14"/>
      <c r="P81" s="18" t="n">
        <f aca="false">IF(N81="",0,IF(OR(M81="",O81=""),N81,(M81+4*N81+O81)/6))</f>
        <v>0</v>
      </c>
      <c r="Q81" s="14"/>
      <c r="R81" s="14"/>
      <c r="S81" s="14"/>
      <c r="T81" s="14"/>
      <c r="U81" s="16"/>
      <c r="V81" s="13"/>
      <c r="W81" s="16" t="s">
        <v>667</v>
      </c>
      <c r="X81" s="16"/>
      <c r="Y81" s="16"/>
      <c r="Z81" s="16"/>
      <c r="AA81" s="22" t="n">
        <f aca="false">IF(F81&lt;&gt;"Y",0,((SUMIF(Products!$E$5:$E$300,A81,Products!$F$5:$F$300)+SUMIF(RM_Lots!$A$5:$A$400,A81,RM_Lots!$D$5:$D$400))+IF(W81="Y",SUMIF(Products!$E$5:$E$300,A81,Products!$G$5:$G$300),0))*(1+N(V81)))</f>
        <v>0</v>
      </c>
      <c r="AB81" s="22" t="n">
        <f aca="false">IF(F81&lt;&gt;"Y",0,((SUMIF(Products!$E$5:$E$300,A81,Products!$K$5:$K$300)+SUMIF(RM_Lots!$A$5:$A$400,A81,RM_Lots!$F$5:$F$400))+IF(W81="Y",SUMIF(Products!$E$5:$E$300,A81,Products!$L$5:$L$300),0))*(1+N(V81)))</f>
        <v>0</v>
      </c>
      <c r="AC81" s="17" t="n">
        <f aca="false">IF(J81="",1,MAX(1,COUNTIFS($J$5:$J$863,J81,$F$5:$F$863,"Y")))</f>
        <v>1</v>
      </c>
      <c r="AD81" s="18" t="n">
        <f aca="false">(MAX(1,N(I81))*(P81+N(S81))+MAX(1,N(I81))*N(K81)/(MAX(1,N(U81))*AC81))*Settings!$B$9</f>
        <v>0</v>
      </c>
      <c r="AE81" s="18" t="n">
        <f aca="false">(MAX(1,N(I81))*N(Q81)+MAX(1,N(I81))*N(L81)/(MAX(1,N(U81))*AC81))*Settings!$B$8</f>
        <v>0</v>
      </c>
      <c r="AF81" s="18" t="n">
        <f aca="false">MAX(1,N(I81))*N(T81)</f>
        <v>0</v>
      </c>
      <c r="AG81" s="15" t="n">
        <f aca="false">AA81*N(AD81)</f>
        <v>0</v>
      </c>
      <c r="AH81" s="15" t="n">
        <f aca="false">AA81*N(AE81)</f>
        <v>0</v>
      </c>
      <c r="AI81" s="15" t="n">
        <f aca="false">AA81*N(AF81)</f>
        <v>0</v>
      </c>
      <c r="AJ81" s="15" t="n">
        <f aca="false">AA81*N(R81)</f>
        <v>0</v>
      </c>
      <c r="AK81" s="15" t="n">
        <f aca="false">AB81*N(AD81)</f>
        <v>0</v>
      </c>
      <c r="AL81" s="15" t="n">
        <f aca="false">AB81*N(AE81)</f>
        <v>0</v>
      </c>
      <c r="AM81" s="15" t="n">
        <f aca="false">AB81*N(AF81)</f>
        <v>0</v>
      </c>
      <c r="AN81" s="15" t="n">
        <f aca="false">AB81*N(R81)</f>
        <v>0</v>
      </c>
      <c r="AO81" s="21" t="str">
        <f aca="false">IF(F81&lt;&gt;"Y","n/a",IF(AND(N81&lt;&gt;"",OR(Q81&lt;&gt;"",G81="Other / bench",G81="None"),U81&lt;&gt;""),"OK","Missing"))</f>
        <v>n/a</v>
      </c>
    </row>
    <row r="82" customFormat="false" ht="15" hidden="false" customHeight="false" outlineLevel="0" collapsed="false">
      <c r="A82" s="10" t="s">
        <v>247</v>
      </c>
      <c r="B82" s="10" t="s">
        <v>659</v>
      </c>
      <c r="C82" s="10" t="s">
        <v>683</v>
      </c>
      <c r="D82" s="10" t="s">
        <v>669</v>
      </c>
      <c r="E82" s="21" t="str">
        <f aca="false">IF(A82="","",A82&amp;"|"&amp;D82)</f>
        <v>F13|Other tests (non-HPLC: physical, LOD/KF, disintegration, pH, micro...)</v>
      </c>
      <c r="F82" s="16" t="s">
        <v>662</v>
      </c>
      <c r="G82" s="16" t="s">
        <v>670</v>
      </c>
      <c r="H82" s="16" t="s">
        <v>672</v>
      </c>
      <c r="I82" s="16" t="n">
        <v>1</v>
      </c>
      <c r="J82" s="16"/>
      <c r="K82" s="14"/>
      <c r="L82" s="14"/>
      <c r="M82" s="14"/>
      <c r="N82" s="14"/>
      <c r="O82" s="14"/>
      <c r="P82" s="18" t="n">
        <f aca="false">IF(N82="",0,IF(OR(M82="",O82=""),N82,(M82+4*N82+O82)/6))</f>
        <v>0</v>
      </c>
      <c r="Q82" s="14"/>
      <c r="R82" s="14"/>
      <c r="S82" s="14"/>
      <c r="T82" s="14"/>
      <c r="U82" s="16"/>
      <c r="V82" s="13"/>
      <c r="W82" s="16" t="s">
        <v>662</v>
      </c>
      <c r="X82" s="16"/>
      <c r="Y82" s="16"/>
      <c r="Z82" s="16"/>
      <c r="AA82" s="22" t="n">
        <f aca="false">IF(F82&lt;&gt;"Y",0,((SUMIF(Products!$E$5:$E$300,A82,Products!$F$5:$F$300)+SUMIF(RM_Lots!$A$5:$A$400,A82,RM_Lots!$D$5:$D$400))+IF(W82="Y",SUMIF(Products!$E$5:$E$300,A82,Products!$G$5:$G$300),0))*(1+N(V82)))</f>
        <v>0</v>
      </c>
      <c r="AB82" s="22" t="n">
        <f aca="false">IF(F82&lt;&gt;"Y",0,((SUMIF(Products!$E$5:$E$300,A82,Products!$K$5:$K$300)+SUMIF(RM_Lots!$A$5:$A$400,A82,RM_Lots!$F$5:$F$400))+IF(W82="Y",SUMIF(Products!$E$5:$E$300,A82,Products!$L$5:$L$300),0))*(1+N(V82)))</f>
        <v>0</v>
      </c>
      <c r="AC82" s="17" t="n">
        <f aca="false">IF(J82="",1,MAX(1,COUNTIFS($J$5:$J$863,J82,$F$5:$F$863,"Y")))</f>
        <v>1</v>
      </c>
      <c r="AD82" s="18" t="n">
        <f aca="false">(MAX(1,N(I82))*(P82+N(S82))+MAX(1,N(I82))*N(K82)/(MAX(1,N(U82))*AC82))*Settings!$B$9</f>
        <v>0</v>
      </c>
      <c r="AE82" s="18" t="n">
        <f aca="false">(MAX(1,N(I82))*N(Q82)+MAX(1,N(I82))*N(L82)/(MAX(1,N(U82))*AC82))*Settings!$B$8</f>
        <v>0</v>
      </c>
      <c r="AF82" s="18" t="n">
        <f aca="false">MAX(1,N(I82))*N(T82)</f>
        <v>0</v>
      </c>
      <c r="AG82" s="15" t="n">
        <f aca="false">AA82*N(AD82)</f>
        <v>0</v>
      </c>
      <c r="AH82" s="15" t="n">
        <f aca="false">AA82*N(AE82)</f>
        <v>0</v>
      </c>
      <c r="AI82" s="15" t="n">
        <f aca="false">AA82*N(AF82)</f>
        <v>0</v>
      </c>
      <c r="AJ82" s="15" t="n">
        <f aca="false">AA82*N(R82)</f>
        <v>0</v>
      </c>
      <c r="AK82" s="15" t="n">
        <f aca="false">AB82*N(AD82)</f>
        <v>0</v>
      </c>
      <c r="AL82" s="15" t="n">
        <f aca="false">AB82*N(AE82)</f>
        <v>0</v>
      </c>
      <c r="AM82" s="15" t="n">
        <f aca="false">AB82*N(AF82)</f>
        <v>0</v>
      </c>
      <c r="AN82" s="15" t="n">
        <f aca="false">AB82*N(R82)</f>
        <v>0</v>
      </c>
      <c r="AO82" s="21" t="str">
        <f aca="false">IF(F82&lt;&gt;"Y","n/a",IF(AND(N82&lt;&gt;"",OR(Q82&lt;&gt;"",G82="Other / bench",G82="None"),U82&lt;&gt;""),"OK","Missing"))</f>
        <v>Missing</v>
      </c>
    </row>
    <row r="83" customFormat="false" ht="15" hidden="false" customHeight="false" outlineLevel="0" collapsed="false">
      <c r="A83" s="10" t="s">
        <v>251</v>
      </c>
      <c r="B83" s="10" t="s">
        <v>659</v>
      </c>
      <c r="C83" s="10" t="s">
        <v>684</v>
      </c>
      <c r="D83" s="10" t="s">
        <v>661</v>
      </c>
      <c r="E83" s="21" t="str">
        <f aca="false">IF(A83="","",A83&amp;"|"&amp;D83)</f>
        <v>F14|Assay</v>
      </c>
      <c r="F83" s="16" t="s">
        <v>662</v>
      </c>
      <c r="G83" s="16" t="s">
        <v>147</v>
      </c>
      <c r="H83" s="16" t="s">
        <v>685</v>
      </c>
      <c r="I83" s="16" t="n">
        <v>1</v>
      </c>
      <c r="J83" s="16"/>
      <c r="K83" s="14"/>
      <c r="L83" s="14"/>
      <c r="M83" s="14"/>
      <c r="N83" s="14"/>
      <c r="O83" s="14"/>
      <c r="P83" s="18" t="n">
        <f aca="false">IF(N83="",0,IF(OR(M83="",O83=""),N83,(M83+4*N83+O83)/6))</f>
        <v>0</v>
      </c>
      <c r="Q83" s="14"/>
      <c r="R83" s="14"/>
      <c r="S83" s="14"/>
      <c r="T83" s="14"/>
      <c r="U83" s="16"/>
      <c r="V83" s="13"/>
      <c r="W83" s="16" t="s">
        <v>662</v>
      </c>
      <c r="X83" s="16"/>
      <c r="Y83" s="16"/>
      <c r="Z83" s="16"/>
      <c r="AA83" s="22" t="n">
        <f aca="false">IF(F83&lt;&gt;"Y",0,((SUMIF(Products!$E$5:$E$300,A83,Products!$F$5:$F$300)+SUMIF(RM_Lots!$A$5:$A$400,A83,RM_Lots!$D$5:$D$400))+IF(W83="Y",SUMIF(Products!$E$5:$E$300,A83,Products!$G$5:$G$300),0))*(1+N(V83)))</f>
        <v>0</v>
      </c>
      <c r="AB83" s="22" t="n">
        <f aca="false">IF(F83&lt;&gt;"Y",0,((SUMIF(Products!$E$5:$E$300,A83,Products!$K$5:$K$300)+SUMIF(RM_Lots!$A$5:$A$400,A83,RM_Lots!$F$5:$F$400))+IF(W83="Y",SUMIF(Products!$E$5:$E$300,A83,Products!$L$5:$L$300),0))*(1+N(V83)))</f>
        <v>0</v>
      </c>
      <c r="AC83" s="17" t="n">
        <f aca="false">IF(J83="",1,MAX(1,COUNTIFS($J$5:$J$863,J83,$F$5:$F$863,"Y")))</f>
        <v>1</v>
      </c>
      <c r="AD83" s="18" t="n">
        <f aca="false">(MAX(1,N(I83))*(P83+N(S83))+MAX(1,N(I83))*N(K83)/(MAX(1,N(U83))*AC83))*Settings!$B$9</f>
        <v>0</v>
      </c>
      <c r="AE83" s="18" t="n">
        <f aca="false">(MAX(1,N(I83))*N(Q83)+MAX(1,N(I83))*N(L83)/(MAX(1,N(U83))*AC83))*Settings!$B$8</f>
        <v>0</v>
      </c>
      <c r="AF83" s="18" t="n">
        <f aca="false">MAX(1,N(I83))*N(T83)</f>
        <v>0</v>
      </c>
      <c r="AG83" s="15" t="n">
        <f aca="false">AA83*N(AD83)</f>
        <v>0</v>
      </c>
      <c r="AH83" s="15" t="n">
        <f aca="false">AA83*N(AE83)</f>
        <v>0</v>
      </c>
      <c r="AI83" s="15" t="n">
        <f aca="false">AA83*N(AF83)</f>
        <v>0</v>
      </c>
      <c r="AJ83" s="15" t="n">
        <f aca="false">AA83*N(R83)</f>
        <v>0</v>
      </c>
      <c r="AK83" s="15" t="n">
        <f aca="false">AB83*N(AD83)</f>
        <v>0</v>
      </c>
      <c r="AL83" s="15" t="n">
        <f aca="false">AB83*N(AE83)</f>
        <v>0</v>
      </c>
      <c r="AM83" s="15" t="n">
        <f aca="false">AB83*N(AF83)</f>
        <v>0</v>
      </c>
      <c r="AN83" s="15" t="n">
        <f aca="false">AB83*N(R83)</f>
        <v>0</v>
      </c>
      <c r="AO83" s="21" t="str">
        <f aca="false">IF(F83&lt;&gt;"Y","n/a",IF(AND(N83&lt;&gt;"",OR(Q83&lt;&gt;"",G83="Other / bench",G83="None"),U83&lt;&gt;""),"OK","Missing"))</f>
        <v>Missing</v>
      </c>
    </row>
    <row r="84" customFormat="false" ht="15" hidden="false" customHeight="false" outlineLevel="0" collapsed="false">
      <c r="A84" s="10" t="s">
        <v>251</v>
      </c>
      <c r="B84" s="10" t="s">
        <v>659</v>
      </c>
      <c r="C84" s="10" t="s">
        <v>684</v>
      </c>
      <c r="D84" s="10" t="s">
        <v>664</v>
      </c>
      <c r="E84" s="21" t="str">
        <f aca="false">IF(A84="","",A84&amp;"|"&amp;D84)</f>
        <v>F14|Related substances / impurities</v>
      </c>
      <c r="F84" s="16" t="s">
        <v>662</v>
      </c>
      <c r="G84" s="16" t="s">
        <v>147</v>
      </c>
      <c r="H84" s="16" t="s">
        <v>685</v>
      </c>
      <c r="I84" s="16" t="n">
        <v>1</v>
      </c>
      <c r="J84" s="16"/>
      <c r="K84" s="14"/>
      <c r="L84" s="14"/>
      <c r="M84" s="14"/>
      <c r="N84" s="14"/>
      <c r="O84" s="14"/>
      <c r="P84" s="18" t="n">
        <f aca="false">IF(N84="",0,IF(OR(M84="",O84=""),N84,(M84+4*N84+O84)/6))</f>
        <v>0</v>
      </c>
      <c r="Q84" s="14"/>
      <c r="R84" s="14"/>
      <c r="S84" s="14"/>
      <c r="T84" s="14"/>
      <c r="U84" s="16"/>
      <c r="V84" s="13"/>
      <c r="W84" s="16" t="s">
        <v>662</v>
      </c>
      <c r="X84" s="16"/>
      <c r="Y84" s="16"/>
      <c r="Z84" s="16"/>
      <c r="AA84" s="22" t="n">
        <f aca="false">IF(F84&lt;&gt;"Y",0,((SUMIF(Products!$E$5:$E$300,A84,Products!$F$5:$F$300)+SUMIF(RM_Lots!$A$5:$A$400,A84,RM_Lots!$D$5:$D$400))+IF(W84="Y",SUMIF(Products!$E$5:$E$300,A84,Products!$G$5:$G$300),0))*(1+N(V84)))</f>
        <v>0</v>
      </c>
      <c r="AB84" s="22" t="n">
        <f aca="false">IF(F84&lt;&gt;"Y",0,((SUMIF(Products!$E$5:$E$300,A84,Products!$K$5:$K$300)+SUMIF(RM_Lots!$A$5:$A$400,A84,RM_Lots!$F$5:$F$400))+IF(W84="Y",SUMIF(Products!$E$5:$E$300,A84,Products!$L$5:$L$300),0))*(1+N(V84)))</f>
        <v>0</v>
      </c>
      <c r="AC84" s="17" t="n">
        <f aca="false">IF(J84="",1,MAX(1,COUNTIFS($J$5:$J$863,J84,$F$5:$F$863,"Y")))</f>
        <v>1</v>
      </c>
      <c r="AD84" s="18" t="n">
        <f aca="false">(MAX(1,N(I84))*(P84+N(S84))+MAX(1,N(I84))*N(K84)/(MAX(1,N(U84))*AC84))*Settings!$B$9</f>
        <v>0</v>
      </c>
      <c r="AE84" s="18" t="n">
        <f aca="false">(MAX(1,N(I84))*N(Q84)+MAX(1,N(I84))*N(L84)/(MAX(1,N(U84))*AC84))*Settings!$B$8</f>
        <v>0</v>
      </c>
      <c r="AF84" s="18" t="n">
        <f aca="false">MAX(1,N(I84))*N(T84)</f>
        <v>0</v>
      </c>
      <c r="AG84" s="15" t="n">
        <f aca="false">AA84*N(AD84)</f>
        <v>0</v>
      </c>
      <c r="AH84" s="15" t="n">
        <f aca="false">AA84*N(AE84)</f>
        <v>0</v>
      </c>
      <c r="AI84" s="15" t="n">
        <f aca="false">AA84*N(AF84)</f>
        <v>0</v>
      </c>
      <c r="AJ84" s="15" t="n">
        <f aca="false">AA84*N(R84)</f>
        <v>0</v>
      </c>
      <c r="AK84" s="15" t="n">
        <f aca="false">AB84*N(AD84)</f>
        <v>0</v>
      </c>
      <c r="AL84" s="15" t="n">
        <f aca="false">AB84*N(AE84)</f>
        <v>0</v>
      </c>
      <c r="AM84" s="15" t="n">
        <f aca="false">AB84*N(AF84)</f>
        <v>0</v>
      </c>
      <c r="AN84" s="15" t="n">
        <f aca="false">AB84*N(R84)</f>
        <v>0</v>
      </c>
      <c r="AO84" s="21" t="str">
        <f aca="false">IF(F84&lt;&gt;"Y","n/a",IF(AND(N84&lt;&gt;"",OR(Q84&lt;&gt;"",G84="Other / bench",G84="None"),U84&lt;&gt;""),"OK","Missing"))</f>
        <v>Missing</v>
      </c>
    </row>
    <row r="85" customFormat="false" ht="15" hidden="false" customHeight="false" outlineLevel="0" collapsed="false">
      <c r="A85" s="10" t="s">
        <v>251</v>
      </c>
      <c r="B85" s="10" t="s">
        <v>659</v>
      </c>
      <c r="C85" s="10" t="s">
        <v>684</v>
      </c>
      <c r="D85" s="10" t="s">
        <v>665</v>
      </c>
      <c r="E85" s="21" t="str">
        <f aca="false">IF(A85="","",A85&amp;"|"&amp;D85)</f>
        <v>F14|Dissolution</v>
      </c>
      <c r="F85" s="16" t="s">
        <v>667</v>
      </c>
      <c r="G85" s="16" t="s">
        <v>147</v>
      </c>
      <c r="H85" s="16" t="s">
        <v>685</v>
      </c>
      <c r="I85" s="16" t="n">
        <v>1</v>
      </c>
      <c r="J85" s="16"/>
      <c r="K85" s="14"/>
      <c r="L85" s="14"/>
      <c r="M85" s="14"/>
      <c r="N85" s="14"/>
      <c r="O85" s="14"/>
      <c r="P85" s="18" t="n">
        <f aca="false">IF(N85="",0,IF(OR(M85="",O85=""),N85,(M85+4*N85+O85)/6))</f>
        <v>0</v>
      </c>
      <c r="Q85" s="14"/>
      <c r="R85" s="14"/>
      <c r="S85" s="14"/>
      <c r="T85" s="14"/>
      <c r="U85" s="16"/>
      <c r="V85" s="13"/>
      <c r="W85" s="16" t="s">
        <v>662</v>
      </c>
      <c r="X85" s="16"/>
      <c r="Y85" s="16"/>
      <c r="Z85" s="16"/>
      <c r="AA85" s="22" t="n">
        <f aca="false">IF(F85&lt;&gt;"Y",0,((SUMIF(Products!$E$5:$E$300,A85,Products!$F$5:$F$300)+SUMIF(RM_Lots!$A$5:$A$400,A85,RM_Lots!$D$5:$D$400))+IF(W85="Y",SUMIF(Products!$E$5:$E$300,A85,Products!$G$5:$G$300),0))*(1+N(V85)))</f>
        <v>0</v>
      </c>
      <c r="AB85" s="22" t="n">
        <f aca="false">IF(F85&lt;&gt;"Y",0,((SUMIF(Products!$E$5:$E$300,A85,Products!$K$5:$K$300)+SUMIF(RM_Lots!$A$5:$A$400,A85,RM_Lots!$F$5:$F$400))+IF(W85="Y",SUMIF(Products!$E$5:$E$300,A85,Products!$L$5:$L$300),0))*(1+N(V85)))</f>
        <v>0</v>
      </c>
      <c r="AC85" s="17" t="n">
        <f aca="false">IF(J85="",1,MAX(1,COUNTIFS($J$5:$J$863,J85,$F$5:$F$863,"Y")))</f>
        <v>1</v>
      </c>
      <c r="AD85" s="18" t="n">
        <f aca="false">(MAX(1,N(I85))*(P85+N(S85))+MAX(1,N(I85))*N(K85)/(MAX(1,N(U85))*AC85))*Settings!$B$9</f>
        <v>0</v>
      </c>
      <c r="AE85" s="18" t="n">
        <f aca="false">(MAX(1,N(I85))*N(Q85)+MAX(1,N(I85))*N(L85)/(MAX(1,N(U85))*AC85))*Settings!$B$8</f>
        <v>0</v>
      </c>
      <c r="AF85" s="18" t="n">
        <f aca="false">MAX(1,N(I85))*N(T85)</f>
        <v>0</v>
      </c>
      <c r="AG85" s="15" t="n">
        <f aca="false">AA85*N(AD85)</f>
        <v>0</v>
      </c>
      <c r="AH85" s="15" t="n">
        <f aca="false">AA85*N(AE85)</f>
        <v>0</v>
      </c>
      <c r="AI85" s="15" t="n">
        <f aca="false">AA85*N(AF85)</f>
        <v>0</v>
      </c>
      <c r="AJ85" s="15" t="n">
        <f aca="false">AA85*N(R85)</f>
        <v>0</v>
      </c>
      <c r="AK85" s="15" t="n">
        <f aca="false">AB85*N(AD85)</f>
        <v>0</v>
      </c>
      <c r="AL85" s="15" t="n">
        <f aca="false">AB85*N(AE85)</f>
        <v>0</v>
      </c>
      <c r="AM85" s="15" t="n">
        <f aca="false">AB85*N(AF85)</f>
        <v>0</v>
      </c>
      <c r="AN85" s="15" t="n">
        <f aca="false">AB85*N(R85)</f>
        <v>0</v>
      </c>
      <c r="AO85" s="21" t="str">
        <f aca="false">IF(F85&lt;&gt;"Y","n/a",IF(AND(N85&lt;&gt;"",OR(Q85&lt;&gt;"",G85="Other / bench",G85="None"),U85&lt;&gt;""),"OK","Missing"))</f>
        <v>n/a</v>
      </c>
    </row>
    <row r="86" customFormat="false" ht="15" hidden="false" customHeight="false" outlineLevel="0" collapsed="false">
      <c r="A86" s="10" t="s">
        <v>251</v>
      </c>
      <c r="B86" s="10" t="s">
        <v>659</v>
      </c>
      <c r="C86" s="10" t="s">
        <v>684</v>
      </c>
      <c r="D86" s="10" t="s">
        <v>686</v>
      </c>
      <c r="E86" s="21" t="str">
        <f aca="false">IF(A86="","",A86&amp;"|"&amp;D86)</f>
        <v>F14|Spray pattern / droplet / delivered dose</v>
      </c>
      <c r="F86" s="16" t="s">
        <v>662</v>
      </c>
      <c r="G86" s="16" t="s">
        <v>670</v>
      </c>
      <c r="H86" s="16" t="s">
        <v>685</v>
      </c>
      <c r="I86" s="16" t="n">
        <v>1</v>
      </c>
      <c r="J86" s="16"/>
      <c r="K86" s="14"/>
      <c r="L86" s="14"/>
      <c r="M86" s="14"/>
      <c r="N86" s="14"/>
      <c r="O86" s="14"/>
      <c r="P86" s="18" t="n">
        <f aca="false">IF(N86="",0,IF(OR(M86="",O86=""),N86,(M86+4*N86+O86)/6))</f>
        <v>0</v>
      </c>
      <c r="Q86" s="14"/>
      <c r="R86" s="14"/>
      <c r="S86" s="14"/>
      <c r="T86" s="14"/>
      <c r="U86" s="16"/>
      <c r="V86" s="13"/>
      <c r="W86" s="16" t="s">
        <v>662</v>
      </c>
      <c r="X86" s="16"/>
      <c r="Y86" s="16"/>
      <c r="Z86" s="16"/>
      <c r="AA86" s="22" t="n">
        <f aca="false">IF(F86&lt;&gt;"Y",0,((SUMIF(Products!$E$5:$E$300,A86,Products!$F$5:$F$300)+SUMIF(RM_Lots!$A$5:$A$400,A86,RM_Lots!$D$5:$D$400))+IF(W86="Y",SUMIF(Products!$E$5:$E$300,A86,Products!$G$5:$G$300),0))*(1+N(V86)))</f>
        <v>0</v>
      </c>
      <c r="AB86" s="22" t="n">
        <f aca="false">IF(F86&lt;&gt;"Y",0,((SUMIF(Products!$E$5:$E$300,A86,Products!$K$5:$K$300)+SUMIF(RM_Lots!$A$5:$A$400,A86,RM_Lots!$F$5:$F$400))+IF(W86="Y",SUMIF(Products!$E$5:$E$300,A86,Products!$L$5:$L$300),0))*(1+N(V86)))</f>
        <v>0</v>
      </c>
      <c r="AC86" s="17" t="n">
        <f aca="false">IF(J86="",1,MAX(1,COUNTIFS($J$5:$J$863,J86,$F$5:$F$863,"Y")))</f>
        <v>1</v>
      </c>
      <c r="AD86" s="18" t="n">
        <f aca="false">(MAX(1,N(I86))*(P86+N(S86))+MAX(1,N(I86))*N(K86)/(MAX(1,N(U86))*AC86))*Settings!$B$9</f>
        <v>0</v>
      </c>
      <c r="AE86" s="18" t="n">
        <f aca="false">(MAX(1,N(I86))*N(Q86)+MAX(1,N(I86))*N(L86)/(MAX(1,N(U86))*AC86))*Settings!$B$8</f>
        <v>0</v>
      </c>
      <c r="AF86" s="18" t="n">
        <f aca="false">MAX(1,N(I86))*N(T86)</f>
        <v>0</v>
      </c>
      <c r="AG86" s="15" t="n">
        <f aca="false">AA86*N(AD86)</f>
        <v>0</v>
      </c>
      <c r="AH86" s="15" t="n">
        <f aca="false">AA86*N(AE86)</f>
        <v>0</v>
      </c>
      <c r="AI86" s="15" t="n">
        <f aca="false">AA86*N(AF86)</f>
        <v>0</v>
      </c>
      <c r="AJ86" s="15" t="n">
        <f aca="false">AA86*N(R86)</f>
        <v>0</v>
      </c>
      <c r="AK86" s="15" t="n">
        <f aca="false">AB86*N(AD86)</f>
        <v>0</v>
      </c>
      <c r="AL86" s="15" t="n">
        <f aca="false">AB86*N(AE86)</f>
        <v>0</v>
      </c>
      <c r="AM86" s="15" t="n">
        <f aca="false">AB86*N(AF86)</f>
        <v>0</v>
      </c>
      <c r="AN86" s="15" t="n">
        <f aca="false">AB86*N(R86)</f>
        <v>0</v>
      </c>
      <c r="AO86" s="21" t="str">
        <f aca="false">IF(F86&lt;&gt;"Y","n/a",IF(AND(N86&lt;&gt;"",OR(Q86&lt;&gt;"",G86="Other / bench",G86="None"),U86&lt;&gt;""),"OK","Missing"))</f>
        <v>Missing</v>
      </c>
    </row>
    <row r="87" customFormat="false" ht="15" hidden="false" customHeight="false" outlineLevel="0" collapsed="false">
      <c r="A87" s="10" t="s">
        <v>251</v>
      </c>
      <c r="B87" s="10" t="s">
        <v>659</v>
      </c>
      <c r="C87" s="10" t="s">
        <v>684</v>
      </c>
      <c r="D87" s="10" t="s">
        <v>666</v>
      </c>
      <c r="E87" s="21" t="str">
        <f aca="false">IF(A87="","",A87&amp;"|"&amp;D87)</f>
        <v>F14|Content uniformity</v>
      </c>
      <c r="F87" s="16" t="s">
        <v>667</v>
      </c>
      <c r="G87" s="16" t="s">
        <v>147</v>
      </c>
      <c r="H87" s="16" t="s">
        <v>685</v>
      </c>
      <c r="I87" s="16" t="n">
        <v>1</v>
      </c>
      <c r="J87" s="16"/>
      <c r="K87" s="14"/>
      <c r="L87" s="14"/>
      <c r="M87" s="14"/>
      <c r="N87" s="14"/>
      <c r="O87" s="14"/>
      <c r="P87" s="18" t="n">
        <f aca="false">IF(N87="",0,IF(OR(M87="",O87=""),N87,(M87+4*N87+O87)/6))</f>
        <v>0</v>
      </c>
      <c r="Q87" s="14"/>
      <c r="R87" s="14"/>
      <c r="S87" s="14"/>
      <c r="T87" s="14"/>
      <c r="U87" s="16"/>
      <c r="V87" s="13"/>
      <c r="W87" s="16" t="s">
        <v>667</v>
      </c>
      <c r="X87" s="16"/>
      <c r="Y87" s="16"/>
      <c r="Z87" s="16"/>
      <c r="AA87" s="22" t="n">
        <f aca="false">IF(F87&lt;&gt;"Y",0,((SUMIF(Products!$E$5:$E$300,A87,Products!$F$5:$F$300)+SUMIF(RM_Lots!$A$5:$A$400,A87,RM_Lots!$D$5:$D$400))+IF(W87="Y",SUMIF(Products!$E$5:$E$300,A87,Products!$G$5:$G$300),0))*(1+N(V87)))</f>
        <v>0</v>
      </c>
      <c r="AB87" s="22" t="n">
        <f aca="false">IF(F87&lt;&gt;"Y",0,((SUMIF(Products!$E$5:$E$300,A87,Products!$K$5:$K$300)+SUMIF(RM_Lots!$A$5:$A$400,A87,RM_Lots!$F$5:$F$400))+IF(W87="Y",SUMIF(Products!$E$5:$E$300,A87,Products!$L$5:$L$300),0))*(1+N(V87)))</f>
        <v>0</v>
      </c>
      <c r="AC87" s="17" t="n">
        <f aca="false">IF(J87="",1,MAX(1,COUNTIFS($J$5:$J$863,J87,$F$5:$F$863,"Y")))</f>
        <v>1</v>
      </c>
      <c r="AD87" s="18" t="n">
        <f aca="false">(MAX(1,N(I87))*(P87+N(S87))+MAX(1,N(I87))*N(K87)/(MAX(1,N(U87))*AC87))*Settings!$B$9</f>
        <v>0</v>
      </c>
      <c r="AE87" s="18" t="n">
        <f aca="false">(MAX(1,N(I87))*N(Q87)+MAX(1,N(I87))*N(L87)/(MAX(1,N(U87))*AC87))*Settings!$B$8</f>
        <v>0</v>
      </c>
      <c r="AF87" s="18" t="n">
        <f aca="false">MAX(1,N(I87))*N(T87)</f>
        <v>0</v>
      </c>
      <c r="AG87" s="15" t="n">
        <f aca="false">AA87*N(AD87)</f>
        <v>0</v>
      </c>
      <c r="AH87" s="15" t="n">
        <f aca="false">AA87*N(AE87)</f>
        <v>0</v>
      </c>
      <c r="AI87" s="15" t="n">
        <f aca="false">AA87*N(AF87)</f>
        <v>0</v>
      </c>
      <c r="AJ87" s="15" t="n">
        <f aca="false">AA87*N(R87)</f>
        <v>0</v>
      </c>
      <c r="AK87" s="15" t="n">
        <f aca="false">AB87*N(AD87)</f>
        <v>0</v>
      </c>
      <c r="AL87" s="15" t="n">
        <f aca="false">AB87*N(AE87)</f>
        <v>0</v>
      </c>
      <c r="AM87" s="15" t="n">
        <f aca="false">AB87*N(AF87)</f>
        <v>0</v>
      </c>
      <c r="AN87" s="15" t="n">
        <f aca="false">AB87*N(R87)</f>
        <v>0</v>
      </c>
      <c r="AO87" s="21" t="str">
        <f aca="false">IF(F87&lt;&gt;"Y","n/a",IF(AND(N87&lt;&gt;"",OR(Q87&lt;&gt;"",G87="Other / bench",G87="None"),U87&lt;&gt;""),"OK","Missing"))</f>
        <v>n/a</v>
      </c>
    </row>
    <row r="88" customFormat="false" ht="15" hidden="false" customHeight="false" outlineLevel="0" collapsed="false">
      <c r="A88" s="10" t="s">
        <v>251</v>
      </c>
      <c r="B88" s="10" t="s">
        <v>659</v>
      </c>
      <c r="C88" s="10" t="s">
        <v>684</v>
      </c>
      <c r="D88" s="10" t="s">
        <v>668</v>
      </c>
      <c r="E88" s="21" t="str">
        <f aca="false">IF(A88="","",A88&amp;"|"&amp;D88)</f>
        <v>F14|Identification (if separate from assay)</v>
      </c>
      <c r="F88" s="16" t="s">
        <v>667</v>
      </c>
      <c r="G88" s="16" t="s">
        <v>147</v>
      </c>
      <c r="H88" s="16" t="s">
        <v>685</v>
      </c>
      <c r="I88" s="16" t="n">
        <v>1</v>
      </c>
      <c r="J88" s="16"/>
      <c r="K88" s="14"/>
      <c r="L88" s="14"/>
      <c r="M88" s="14"/>
      <c r="N88" s="14"/>
      <c r="O88" s="14"/>
      <c r="P88" s="18" t="n">
        <f aca="false">IF(N88="",0,IF(OR(M88="",O88=""),N88,(M88+4*N88+O88)/6))</f>
        <v>0</v>
      </c>
      <c r="Q88" s="14"/>
      <c r="R88" s="14"/>
      <c r="S88" s="14"/>
      <c r="T88" s="14"/>
      <c r="U88" s="16"/>
      <c r="V88" s="13"/>
      <c r="W88" s="16" t="s">
        <v>667</v>
      </c>
      <c r="X88" s="16"/>
      <c r="Y88" s="16"/>
      <c r="Z88" s="16"/>
      <c r="AA88" s="22" t="n">
        <f aca="false">IF(F88&lt;&gt;"Y",0,((SUMIF(Products!$E$5:$E$300,A88,Products!$F$5:$F$300)+SUMIF(RM_Lots!$A$5:$A$400,A88,RM_Lots!$D$5:$D$400))+IF(W88="Y",SUMIF(Products!$E$5:$E$300,A88,Products!$G$5:$G$300),0))*(1+N(V88)))</f>
        <v>0</v>
      </c>
      <c r="AB88" s="22" t="n">
        <f aca="false">IF(F88&lt;&gt;"Y",0,((SUMIF(Products!$E$5:$E$300,A88,Products!$K$5:$K$300)+SUMIF(RM_Lots!$A$5:$A$400,A88,RM_Lots!$F$5:$F$400))+IF(W88="Y",SUMIF(Products!$E$5:$E$300,A88,Products!$L$5:$L$300),0))*(1+N(V88)))</f>
        <v>0</v>
      </c>
      <c r="AC88" s="17" t="n">
        <f aca="false">IF(J88="",1,MAX(1,COUNTIFS($J$5:$J$863,J88,$F$5:$F$863,"Y")))</f>
        <v>1</v>
      </c>
      <c r="AD88" s="18" t="n">
        <f aca="false">(MAX(1,N(I88))*(P88+N(S88))+MAX(1,N(I88))*N(K88)/(MAX(1,N(U88))*AC88))*Settings!$B$9</f>
        <v>0</v>
      </c>
      <c r="AE88" s="18" t="n">
        <f aca="false">(MAX(1,N(I88))*N(Q88)+MAX(1,N(I88))*N(L88)/(MAX(1,N(U88))*AC88))*Settings!$B$8</f>
        <v>0</v>
      </c>
      <c r="AF88" s="18" t="n">
        <f aca="false">MAX(1,N(I88))*N(T88)</f>
        <v>0</v>
      </c>
      <c r="AG88" s="15" t="n">
        <f aca="false">AA88*N(AD88)</f>
        <v>0</v>
      </c>
      <c r="AH88" s="15" t="n">
        <f aca="false">AA88*N(AE88)</f>
        <v>0</v>
      </c>
      <c r="AI88" s="15" t="n">
        <f aca="false">AA88*N(AF88)</f>
        <v>0</v>
      </c>
      <c r="AJ88" s="15" t="n">
        <f aca="false">AA88*N(R88)</f>
        <v>0</v>
      </c>
      <c r="AK88" s="15" t="n">
        <f aca="false">AB88*N(AD88)</f>
        <v>0</v>
      </c>
      <c r="AL88" s="15" t="n">
        <f aca="false">AB88*N(AE88)</f>
        <v>0</v>
      </c>
      <c r="AM88" s="15" t="n">
        <f aca="false">AB88*N(AF88)</f>
        <v>0</v>
      </c>
      <c r="AN88" s="15" t="n">
        <f aca="false">AB88*N(R88)</f>
        <v>0</v>
      </c>
      <c r="AO88" s="21" t="str">
        <f aca="false">IF(F88&lt;&gt;"Y","n/a",IF(AND(N88&lt;&gt;"",OR(Q88&lt;&gt;"",G88="Other / bench",G88="None"),U88&lt;&gt;""),"OK","Missing"))</f>
        <v>n/a</v>
      </c>
    </row>
    <row r="89" customFormat="false" ht="15" hidden="false" customHeight="false" outlineLevel="0" collapsed="false">
      <c r="A89" s="10" t="s">
        <v>251</v>
      </c>
      <c r="B89" s="10" t="s">
        <v>659</v>
      </c>
      <c r="C89" s="10" t="s">
        <v>684</v>
      </c>
      <c r="D89" s="10" t="s">
        <v>669</v>
      </c>
      <c r="E89" s="21" t="str">
        <f aca="false">IF(A89="","",A89&amp;"|"&amp;D89)</f>
        <v>F14|Other tests (non-HPLC: physical, LOD/KF, disintegration, pH, micro...)</v>
      </c>
      <c r="F89" s="16" t="s">
        <v>662</v>
      </c>
      <c r="G89" s="16" t="s">
        <v>670</v>
      </c>
      <c r="H89" s="16" t="s">
        <v>685</v>
      </c>
      <c r="I89" s="16" t="n">
        <v>1</v>
      </c>
      <c r="J89" s="16"/>
      <c r="K89" s="14"/>
      <c r="L89" s="14"/>
      <c r="M89" s="14"/>
      <c r="N89" s="14"/>
      <c r="O89" s="14"/>
      <c r="P89" s="18" t="n">
        <f aca="false">IF(N89="",0,IF(OR(M89="",O89=""),N89,(M89+4*N89+O89)/6))</f>
        <v>0</v>
      </c>
      <c r="Q89" s="14"/>
      <c r="R89" s="14"/>
      <c r="S89" s="14"/>
      <c r="T89" s="14"/>
      <c r="U89" s="16"/>
      <c r="V89" s="13"/>
      <c r="W89" s="16" t="s">
        <v>662</v>
      </c>
      <c r="X89" s="16"/>
      <c r="Y89" s="16"/>
      <c r="Z89" s="16"/>
      <c r="AA89" s="22" t="n">
        <f aca="false">IF(F89&lt;&gt;"Y",0,((SUMIF(Products!$E$5:$E$300,A89,Products!$F$5:$F$300)+SUMIF(RM_Lots!$A$5:$A$400,A89,RM_Lots!$D$5:$D$400))+IF(W89="Y",SUMIF(Products!$E$5:$E$300,A89,Products!$G$5:$G$300),0))*(1+N(V89)))</f>
        <v>0</v>
      </c>
      <c r="AB89" s="22" t="n">
        <f aca="false">IF(F89&lt;&gt;"Y",0,((SUMIF(Products!$E$5:$E$300,A89,Products!$K$5:$K$300)+SUMIF(RM_Lots!$A$5:$A$400,A89,RM_Lots!$F$5:$F$400))+IF(W89="Y",SUMIF(Products!$E$5:$E$300,A89,Products!$L$5:$L$300),0))*(1+N(V89)))</f>
        <v>0</v>
      </c>
      <c r="AC89" s="17" t="n">
        <f aca="false">IF(J89="",1,MAX(1,COUNTIFS($J$5:$J$863,J89,$F$5:$F$863,"Y")))</f>
        <v>1</v>
      </c>
      <c r="AD89" s="18" t="n">
        <f aca="false">(MAX(1,N(I89))*(P89+N(S89))+MAX(1,N(I89))*N(K89)/(MAX(1,N(U89))*AC89))*Settings!$B$9</f>
        <v>0</v>
      </c>
      <c r="AE89" s="18" t="n">
        <f aca="false">(MAX(1,N(I89))*N(Q89)+MAX(1,N(I89))*N(L89)/(MAX(1,N(U89))*AC89))*Settings!$B$8</f>
        <v>0</v>
      </c>
      <c r="AF89" s="18" t="n">
        <f aca="false">MAX(1,N(I89))*N(T89)</f>
        <v>0</v>
      </c>
      <c r="AG89" s="15" t="n">
        <f aca="false">AA89*N(AD89)</f>
        <v>0</v>
      </c>
      <c r="AH89" s="15" t="n">
        <f aca="false">AA89*N(AE89)</f>
        <v>0</v>
      </c>
      <c r="AI89" s="15" t="n">
        <f aca="false">AA89*N(AF89)</f>
        <v>0</v>
      </c>
      <c r="AJ89" s="15" t="n">
        <f aca="false">AA89*N(R89)</f>
        <v>0</v>
      </c>
      <c r="AK89" s="15" t="n">
        <f aca="false">AB89*N(AD89)</f>
        <v>0</v>
      </c>
      <c r="AL89" s="15" t="n">
        <f aca="false">AB89*N(AE89)</f>
        <v>0</v>
      </c>
      <c r="AM89" s="15" t="n">
        <f aca="false">AB89*N(AF89)</f>
        <v>0</v>
      </c>
      <c r="AN89" s="15" t="n">
        <f aca="false">AB89*N(R89)</f>
        <v>0</v>
      </c>
      <c r="AO89" s="21" t="str">
        <f aca="false">IF(F89&lt;&gt;"Y","n/a",IF(AND(N89&lt;&gt;"",OR(Q89&lt;&gt;"",G89="Other / bench",G89="None"),U89&lt;&gt;""),"OK","Missing"))</f>
        <v>Missing</v>
      </c>
    </row>
    <row r="90" customFormat="false" ht="15" hidden="false" customHeight="false" outlineLevel="0" collapsed="false">
      <c r="A90" s="10" t="s">
        <v>254</v>
      </c>
      <c r="B90" s="10" t="s">
        <v>659</v>
      </c>
      <c r="C90" s="10" t="s">
        <v>687</v>
      </c>
      <c r="D90" s="10" t="s">
        <v>661</v>
      </c>
      <c r="E90" s="21" t="str">
        <f aca="false">IF(A90="","",A90&amp;"|"&amp;D90)</f>
        <v>F15|Assay</v>
      </c>
      <c r="F90" s="16" t="s">
        <v>662</v>
      </c>
      <c r="G90" s="16" t="s">
        <v>147</v>
      </c>
      <c r="H90" s="16" t="s">
        <v>672</v>
      </c>
      <c r="I90" s="16" t="n">
        <v>1</v>
      </c>
      <c r="J90" s="16"/>
      <c r="K90" s="14"/>
      <c r="L90" s="14"/>
      <c r="M90" s="14"/>
      <c r="N90" s="14"/>
      <c r="O90" s="14"/>
      <c r="P90" s="18" t="n">
        <f aca="false">IF(N90="",0,IF(OR(M90="",O90=""),N90,(M90+4*N90+O90)/6))</f>
        <v>0</v>
      </c>
      <c r="Q90" s="14"/>
      <c r="R90" s="14"/>
      <c r="S90" s="14"/>
      <c r="T90" s="14"/>
      <c r="U90" s="16"/>
      <c r="V90" s="13"/>
      <c r="W90" s="16" t="s">
        <v>662</v>
      </c>
      <c r="X90" s="16"/>
      <c r="Y90" s="16"/>
      <c r="Z90" s="16"/>
      <c r="AA90" s="22" t="n">
        <f aca="false">IF(F90&lt;&gt;"Y",0,((SUMIF(Products!$E$5:$E$300,A90,Products!$F$5:$F$300)+SUMIF(RM_Lots!$A$5:$A$400,A90,RM_Lots!$D$5:$D$400))+IF(W90="Y",SUMIF(Products!$E$5:$E$300,A90,Products!$G$5:$G$300),0))*(1+N(V90)))</f>
        <v>0</v>
      </c>
      <c r="AB90" s="22" t="n">
        <f aca="false">IF(F90&lt;&gt;"Y",0,((SUMIF(Products!$E$5:$E$300,A90,Products!$K$5:$K$300)+SUMIF(RM_Lots!$A$5:$A$400,A90,RM_Lots!$F$5:$F$400))+IF(W90="Y",SUMIF(Products!$E$5:$E$300,A90,Products!$L$5:$L$300),0))*(1+N(V90)))</f>
        <v>0</v>
      </c>
      <c r="AC90" s="17" t="n">
        <f aca="false">IF(J90="",1,MAX(1,COUNTIFS($J$5:$J$863,J90,$F$5:$F$863,"Y")))</f>
        <v>1</v>
      </c>
      <c r="AD90" s="18" t="n">
        <f aca="false">(MAX(1,N(I90))*(P90+N(S90))+MAX(1,N(I90))*N(K90)/(MAX(1,N(U90))*AC90))*Settings!$B$9</f>
        <v>0</v>
      </c>
      <c r="AE90" s="18" t="n">
        <f aca="false">(MAX(1,N(I90))*N(Q90)+MAX(1,N(I90))*N(L90)/(MAX(1,N(U90))*AC90))*Settings!$B$8</f>
        <v>0</v>
      </c>
      <c r="AF90" s="18" t="n">
        <f aca="false">MAX(1,N(I90))*N(T90)</f>
        <v>0</v>
      </c>
      <c r="AG90" s="15" t="n">
        <f aca="false">AA90*N(AD90)</f>
        <v>0</v>
      </c>
      <c r="AH90" s="15" t="n">
        <f aca="false">AA90*N(AE90)</f>
        <v>0</v>
      </c>
      <c r="AI90" s="15" t="n">
        <f aca="false">AA90*N(AF90)</f>
        <v>0</v>
      </c>
      <c r="AJ90" s="15" t="n">
        <f aca="false">AA90*N(R90)</f>
        <v>0</v>
      </c>
      <c r="AK90" s="15" t="n">
        <f aca="false">AB90*N(AD90)</f>
        <v>0</v>
      </c>
      <c r="AL90" s="15" t="n">
        <f aca="false">AB90*N(AE90)</f>
        <v>0</v>
      </c>
      <c r="AM90" s="15" t="n">
        <f aca="false">AB90*N(AF90)</f>
        <v>0</v>
      </c>
      <c r="AN90" s="15" t="n">
        <f aca="false">AB90*N(R90)</f>
        <v>0</v>
      </c>
      <c r="AO90" s="21" t="str">
        <f aca="false">IF(F90&lt;&gt;"Y","n/a",IF(AND(N90&lt;&gt;"",OR(Q90&lt;&gt;"",G90="Other / bench",G90="None"),U90&lt;&gt;""),"OK","Missing"))</f>
        <v>Missing</v>
      </c>
    </row>
    <row r="91" customFormat="false" ht="15" hidden="false" customHeight="false" outlineLevel="0" collapsed="false">
      <c r="A91" s="10" t="s">
        <v>254</v>
      </c>
      <c r="B91" s="10" t="s">
        <v>659</v>
      </c>
      <c r="C91" s="10" t="s">
        <v>687</v>
      </c>
      <c r="D91" s="10" t="s">
        <v>664</v>
      </c>
      <c r="E91" s="21" t="str">
        <f aca="false">IF(A91="","",A91&amp;"|"&amp;D91)</f>
        <v>F15|Related substances / impurities</v>
      </c>
      <c r="F91" s="16" t="s">
        <v>662</v>
      </c>
      <c r="G91" s="16" t="s">
        <v>147</v>
      </c>
      <c r="H91" s="16" t="s">
        <v>672</v>
      </c>
      <c r="I91" s="16" t="n">
        <v>1</v>
      </c>
      <c r="J91" s="16"/>
      <c r="K91" s="14"/>
      <c r="L91" s="14"/>
      <c r="M91" s="14"/>
      <c r="N91" s="14"/>
      <c r="O91" s="14"/>
      <c r="P91" s="18" t="n">
        <f aca="false">IF(N91="",0,IF(OR(M91="",O91=""),N91,(M91+4*N91+O91)/6))</f>
        <v>0</v>
      </c>
      <c r="Q91" s="14"/>
      <c r="R91" s="14"/>
      <c r="S91" s="14"/>
      <c r="T91" s="14"/>
      <c r="U91" s="16"/>
      <c r="V91" s="13"/>
      <c r="W91" s="16" t="s">
        <v>662</v>
      </c>
      <c r="X91" s="16"/>
      <c r="Y91" s="16"/>
      <c r="Z91" s="16"/>
      <c r="AA91" s="22" t="n">
        <f aca="false">IF(F91&lt;&gt;"Y",0,((SUMIF(Products!$E$5:$E$300,A91,Products!$F$5:$F$300)+SUMIF(RM_Lots!$A$5:$A$400,A91,RM_Lots!$D$5:$D$400))+IF(W91="Y",SUMIF(Products!$E$5:$E$300,A91,Products!$G$5:$G$300),0))*(1+N(V91)))</f>
        <v>0</v>
      </c>
      <c r="AB91" s="22" t="n">
        <f aca="false">IF(F91&lt;&gt;"Y",0,((SUMIF(Products!$E$5:$E$300,A91,Products!$K$5:$K$300)+SUMIF(RM_Lots!$A$5:$A$400,A91,RM_Lots!$F$5:$F$400))+IF(W91="Y",SUMIF(Products!$E$5:$E$300,A91,Products!$L$5:$L$300),0))*(1+N(V91)))</f>
        <v>0</v>
      </c>
      <c r="AC91" s="17" t="n">
        <f aca="false">IF(J91="",1,MAX(1,COUNTIFS($J$5:$J$863,J91,$F$5:$F$863,"Y")))</f>
        <v>1</v>
      </c>
      <c r="AD91" s="18" t="n">
        <f aca="false">(MAX(1,N(I91))*(P91+N(S91))+MAX(1,N(I91))*N(K91)/(MAX(1,N(U91))*AC91))*Settings!$B$9</f>
        <v>0</v>
      </c>
      <c r="AE91" s="18" t="n">
        <f aca="false">(MAX(1,N(I91))*N(Q91)+MAX(1,N(I91))*N(L91)/(MAX(1,N(U91))*AC91))*Settings!$B$8</f>
        <v>0</v>
      </c>
      <c r="AF91" s="18" t="n">
        <f aca="false">MAX(1,N(I91))*N(T91)</f>
        <v>0</v>
      </c>
      <c r="AG91" s="15" t="n">
        <f aca="false">AA91*N(AD91)</f>
        <v>0</v>
      </c>
      <c r="AH91" s="15" t="n">
        <f aca="false">AA91*N(AE91)</f>
        <v>0</v>
      </c>
      <c r="AI91" s="15" t="n">
        <f aca="false">AA91*N(AF91)</f>
        <v>0</v>
      </c>
      <c r="AJ91" s="15" t="n">
        <f aca="false">AA91*N(R91)</f>
        <v>0</v>
      </c>
      <c r="AK91" s="15" t="n">
        <f aca="false">AB91*N(AD91)</f>
        <v>0</v>
      </c>
      <c r="AL91" s="15" t="n">
        <f aca="false">AB91*N(AE91)</f>
        <v>0</v>
      </c>
      <c r="AM91" s="15" t="n">
        <f aca="false">AB91*N(AF91)</f>
        <v>0</v>
      </c>
      <c r="AN91" s="15" t="n">
        <f aca="false">AB91*N(R91)</f>
        <v>0</v>
      </c>
      <c r="AO91" s="21" t="str">
        <f aca="false">IF(F91&lt;&gt;"Y","n/a",IF(AND(N91&lt;&gt;"",OR(Q91&lt;&gt;"",G91="Other / bench",G91="None"),U91&lt;&gt;""),"OK","Missing"))</f>
        <v>Missing</v>
      </c>
    </row>
    <row r="92" customFormat="false" ht="15" hidden="false" customHeight="false" outlineLevel="0" collapsed="false">
      <c r="A92" s="10" t="s">
        <v>254</v>
      </c>
      <c r="B92" s="10" t="s">
        <v>659</v>
      </c>
      <c r="C92" s="10" t="s">
        <v>687</v>
      </c>
      <c r="D92" s="10" t="s">
        <v>665</v>
      </c>
      <c r="E92" s="21" t="str">
        <f aca="false">IF(A92="","",A92&amp;"|"&amp;D92)</f>
        <v>F15|Dissolution</v>
      </c>
      <c r="F92" s="16" t="s">
        <v>662</v>
      </c>
      <c r="G92" s="16" t="s">
        <v>147</v>
      </c>
      <c r="H92" s="16" t="s">
        <v>672</v>
      </c>
      <c r="I92" s="16" t="n">
        <v>1</v>
      </c>
      <c r="J92" s="16"/>
      <c r="K92" s="14"/>
      <c r="L92" s="14"/>
      <c r="M92" s="14"/>
      <c r="N92" s="14"/>
      <c r="O92" s="14"/>
      <c r="P92" s="18" t="n">
        <f aca="false">IF(N92="",0,IF(OR(M92="",O92=""),N92,(M92+4*N92+O92)/6))</f>
        <v>0</v>
      </c>
      <c r="Q92" s="14"/>
      <c r="R92" s="14"/>
      <c r="S92" s="14"/>
      <c r="T92" s="14"/>
      <c r="U92" s="16"/>
      <c r="V92" s="13"/>
      <c r="W92" s="16" t="s">
        <v>662</v>
      </c>
      <c r="X92" s="16"/>
      <c r="Y92" s="16"/>
      <c r="Z92" s="16"/>
      <c r="AA92" s="22" t="n">
        <f aca="false">IF(F92&lt;&gt;"Y",0,((SUMIF(Products!$E$5:$E$300,A92,Products!$F$5:$F$300)+SUMIF(RM_Lots!$A$5:$A$400,A92,RM_Lots!$D$5:$D$400))+IF(W92="Y",SUMIF(Products!$E$5:$E$300,A92,Products!$G$5:$G$300),0))*(1+N(V92)))</f>
        <v>0</v>
      </c>
      <c r="AB92" s="22" t="n">
        <f aca="false">IF(F92&lt;&gt;"Y",0,((SUMIF(Products!$E$5:$E$300,A92,Products!$K$5:$K$300)+SUMIF(RM_Lots!$A$5:$A$400,A92,RM_Lots!$F$5:$F$400))+IF(W92="Y",SUMIF(Products!$E$5:$E$300,A92,Products!$L$5:$L$300),0))*(1+N(V92)))</f>
        <v>0</v>
      </c>
      <c r="AC92" s="17" t="n">
        <f aca="false">IF(J92="",1,MAX(1,COUNTIFS($J$5:$J$863,J92,$F$5:$F$863,"Y")))</f>
        <v>1</v>
      </c>
      <c r="AD92" s="18" t="n">
        <f aca="false">(MAX(1,N(I92))*(P92+N(S92))+MAX(1,N(I92))*N(K92)/(MAX(1,N(U92))*AC92))*Settings!$B$9</f>
        <v>0</v>
      </c>
      <c r="AE92" s="18" t="n">
        <f aca="false">(MAX(1,N(I92))*N(Q92)+MAX(1,N(I92))*N(L92)/(MAX(1,N(U92))*AC92))*Settings!$B$8</f>
        <v>0</v>
      </c>
      <c r="AF92" s="18" t="n">
        <f aca="false">MAX(1,N(I92))*N(T92)</f>
        <v>0</v>
      </c>
      <c r="AG92" s="15" t="n">
        <f aca="false">AA92*N(AD92)</f>
        <v>0</v>
      </c>
      <c r="AH92" s="15" t="n">
        <f aca="false">AA92*N(AE92)</f>
        <v>0</v>
      </c>
      <c r="AI92" s="15" t="n">
        <f aca="false">AA92*N(AF92)</f>
        <v>0</v>
      </c>
      <c r="AJ92" s="15" t="n">
        <f aca="false">AA92*N(R92)</f>
        <v>0</v>
      </c>
      <c r="AK92" s="15" t="n">
        <f aca="false">AB92*N(AD92)</f>
        <v>0</v>
      </c>
      <c r="AL92" s="15" t="n">
        <f aca="false">AB92*N(AE92)</f>
        <v>0</v>
      </c>
      <c r="AM92" s="15" t="n">
        <f aca="false">AB92*N(AF92)</f>
        <v>0</v>
      </c>
      <c r="AN92" s="15" t="n">
        <f aca="false">AB92*N(R92)</f>
        <v>0</v>
      </c>
      <c r="AO92" s="21" t="str">
        <f aca="false">IF(F92&lt;&gt;"Y","n/a",IF(AND(N92&lt;&gt;"",OR(Q92&lt;&gt;"",G92="Other / bench",G92="None"),U92&lt;&gt;""),"OK","Missing"))</f>
        <v>Missing</v>
      </c>
    </row>
    <row r="93" customFormat="false" ht="15" hidden="false" customHeight="false" outlineLevel="0" collapsed="false">
      <c r="A93" s="10" t="s">
        <v>254</v>
      </c>
      <c r="B93" s="10" t="s">
        <v>659</v>
      </c>
      <c r="C93" s="10" t="s">
        <v>687</v>
      </c>
      <c r="D93" s="10" t="s">
        <v>666</v>
      </c>
      <c r="E93" s="21" t="str">
        <f aca="false">IF(A93="","",A93&amp;"|"&amp;D93)</f>
        <v>F15|Content uniformity</v>
      </c>
      <c r="F93" s="16" t="s">
        <v>662</v>
      </c>
      <c r="G93" s="16" t="s">
        <v>147</v>
      </c>
      <c r="H93" s="16" t="s">
        <v>672</v>
      </c>
      <c r="I93" s="16" t="n">
        <v>1</v>
      </c>
      <c r="J93" s="16"/>
      <c r="K93" s="14"/>
      <c r="L93" s="14"/>
      <c r="M93" s="14"/>
      <c r="N93" s="14"/>
      <c r="O93" s="14"/>
      <c r="P93" s="18" t="n">
        <f aca="false">IF(N93="",0,IF(OR(M93="",O93=""),N93,(M93+4*N93+O93)/6))</f>
        <v>0</v>
      </c>
      <c r="Q93" s="14"/>
      <c r="R93" s="14"/>
      <c r="S93" s="14"/>
      <c r="T93" s="14"/>
      <c r="U93" s="16"/>
      <c r="V93" s="13"/>
      <c r="W93" s="16" t="s">
        <v>667</v>
      </c>
      <c r="X93" s="16"/>
      <c r="Y93" s="16"/>
      <c r="Z93" s="16"/>
      <c r="AA93" s="22" t="n">
        <f aca="false">IF(F93&lt;&gt;"Y",0,((SUMIF(Products!$E$5:$E$300,A93,Products!$F$5:$F$300)+SUMIF(RM_Lots!$A$5:$A$400,A93,RM_Lots!$D$5:$D$400))+IF(W93="Y",SUMIF(Products!$E$5:$E$300,A93,Products!$G$5:$G$300),0))*(1+N(V93)))</f>
        <v>0</v>
      </c>
      <c r="AB93" s="22" t="n">
        <f aca="false">IF(F93&lt;&gt;"Y",0,((SUMIF(Products!$E$5:$E$300,A93,Products!$K$5:$K$300)+SUMIF(RM_Lots!$A$5:$A$400,A93,RM_Lots!$F$5:$F$400))+IF(W93="Y",SUMIF(Products!$E$5:$E$300,A93,Products!$L$5:$L$300),0))*(1+N(V93)))</f>
        <v>0</v>
      </c>
      <c r="AC93" s="17" t="n">
        <f aca="false">IF(J93="",1,MAX(1,COUNTIFS($J$5:$J$863,J93,$F$5:$F$863,"Y")))</f>
        <v>1</v>
      </c>
      <c r="AD93" s="18" t="n">
        <f aca="false">(MAX(1,N(I93))*(P93+N(S93))+MAX(1,N(I93))*N(K93)/(MAX(1,N(U93))*AC93))*Settings!$B$9</f>
        <v>0</v>
      </c>
      <c r="AE93" s="18" t="n">
        <f aca="false">(MAX(1,N(I93))*N(Q93)+MAX(1,N(I93))*N(L93)/(MAX(1,N(U93))*AC93))*Settings!$B$8</f>
        <v>0</v>
      </c>
      <c r="AF93" s="18" t="n">
        <f aca="false">MAX(1,N(I93))*N(T93)</f>
        <v>0</v>
      </c>
      <c r="AG93" s="15" t="n">
        <f aca="false">AA93*N(AD93)</f>
        <v>0</v>
      </c>
      <c r="AH93" s="15" t="n">
        <f aca="false">AA93*N(AE93)</f>
        <v>0</v>
      </c>
      <c r="AI93" s="15" t="n">
        <f aca="false">AA93*N(AF93)</f>
        <v>0</v>
      </c>
      <c r="AJ93" s="15" t="n">
        <f aca="false">AA93*N(R93)</f>
        <v>0</v>
      </c>
      <c r="AK93" s="15" t="n">
        <f aca="false">AB93*N(AD93)</f>
        <v>0</v>
      </c>
      <c r="AL93" s="15" t="n">
        <f aca="false">AB93*N(AE93)</f>
        <v>0</v>
      </c>
      <c r="AM93" s="15" t="n">
        <f aca="false">AB93*N(AF93)</f>
        <v>0</v>
      </c>
      <c r="AN93" s="15" t="n">
        <f aca="false">AB93*N(R93)</f>
        <v>0</v>
      </c>
      <c r="AO93" s="21" t="str">
        <f aca="false">IF(F93&lt;&gt;"Y","n/a",IF(AND(N93&lt;&gt;"",OR(Q93&lt;&gt;"",G93="Other / bench",G93="None"),U93&lt;&gt;""),"OK","Missing"))</f>
        <v>Missing</v>
      </c>
    </row>
    <row r="94" customFormat="false" ht="15" hidden="false" customHeight="false" outlineLevel="0" collapsed="false">
      <c r="A94" s="10" t="s">
        <v>254</v>
      </c>
      <c r="B94" s="10" t="s">
        <v>659</v>
      </c>
      <c r="C94" s="10" t="s">
        <v>687</v>
      </c>
      <c r="D94" s="10" t="s">
        <v>668</v>
      </c>
      <c r="E94" s="21" t="str">
        <f aca="false">IF(A94="","",A94&amp;"|"&amp;D94)</f>
        <v>F15|Identification (if separate from assay)</v>
      </c>
      <c r="F94" s="16" t="s">
        <v>667</v>
      </c>
      <c r="G94" s="16" t="s">
        <v>147</v>
      </c>
      <c r="H94" s="16" t="s">
        <v>672</v>
      </c>
      <c r="I94" s="16" t="n">
        <v>1</v>
      </c>
      <c r="J94" s="16"/>
      <c r="K94" s="14"/>
      <c r="L94" s="14"/>
      <c r="M94" s="14"/>
      <c r="N94" s="14"/>
      <c r="O94" s="14"/>
      <c r="P94" s="18" t="n">
        <f aca="false">IF(N94="",0,IF(OR(M94="",O94=""),N94,(M94+4*N94+O94)/6))</f>
        <v>0</v>
      </c>
      <c r="Q94" s="14"/>
      <c r="R94" s="14"/>
      <c r="S94" s="14"/>
      <c r="T94" s="14"/>
      <c r="U94" s="16"/>
      <c r="V94" s="13"/>
      <c r="W94" s="16" t="s">
        <v>667</v>
      </c>
      <c r="X94" s="16"/>
      <c r="Y94" s="16"/>
      <c r="Z94" s="16"/>
      <c r="AA94" s="22" t="n">
        <f aca="false">IF(F94&lt;&gt;"Y",0,((SUMIF(Products!$E$5:$E$300,A94,Products!$F$5:$F$300)+SUMIF(RM_Lots!$A$5:$A$400,A94,RM_Lots!$D$5:$D$400))+IF(W94="Y",SUMIF(Products!$E$5:$E$300,A94,Products!$G$5:$G$300),0))*(1+N(V94)))</f>
        <v>0</v>
      </c>
      <c r="AB94" s="22" t="n">
        <f aca="false">IF(F94&lt;&gt;"Y",0,((SUMIF(Products!$E$5:$E$300,A94,Products!$K$5:$K$300)+SUMIF(RM_Lots!$A$5:$A$400,A94,RM_Lots!$F$5:$F$400))+IF(W94="Y",SUMIF(Products!$E$5:$E$300,A94,Products!$L$5:$L$300),0))*(1+N(V94)))</f>
        <v>0</v>
      </c>
      <c r="AC94" s="17" t="n">
        <f aca="false">IF(J94="",1,MAX(1,COUNTIFS($J$5:$J$863,J94,$F$5:$F$863,"Y")))</f>
        <v>1</v>
      </c>
      <c r="AD94" s="18" t="n">
        <f aca="false">(MAX(1,N(I94))*(P94+N(S94))+MAX(1,N(I94))*N(K94)/(MAX(1,N(U94))*AC94))*Settings!$B$9</f>
        <v>0</v>
      </c>
      <c r="AE94" s="18" t="n">
        <f aca="false">(MAX(1,N(I94))*N(Q94)+MAX(1,N(I94))*N(L94)/(MAX(1,N(U94))*AC94))*Settings!$B$8</f>
        <v>0</v>
      </c>
      <c r="AF94" s="18" t="n">
        <f aca="false">MAX(1,N(I94))*N(T94)</f>
        <v>0</v>
      </c>
      <c r="AG94" s="15" t="n">
        <f aca="false">AA94*N(AD94)</f>
        <v>0</v>
      </c>
      <c r="AH94" s="15" t="n">
        <f aca="false">AA94*N(AE94)</f>
        <v>0</v>
      </c>
      <c r="AI94" s="15" t="n">
        <f aca="false">AA94*N(AF94)</f>
        <v>0</v>
      </c>
      <c r="AJ94" s="15" t="n">
        <f aca="false">AA94*N(R94)</f>
        <v>0</v>
      </c>
      <c r="AK94" s="15" t="n">
        <f aca="false">AB94*N(AD94)</f>
        <v>0</v>
      </c>
      <c r="AL94" s="15" t="n">
        <f aca="false">AB94*N(AE94)</f>
        <v>0</v>
      </c>
      <c r="AM94" s="15" t="n">
        <f aca="false">AB94*N(AF94)</f>
        <v>0</v>
      </c>
      <c r="AN94" s="15" t="n">
        <f aca="false">AB94*N(R94)</f>
        <v>0</v>
      </c>
      <c r="AO94" s="21" t="str">
        <f aca="false">IF(F94&lt;&gt;"Y","n/a",IF(AND(N94&lt;&gt;"",OR(Q94&lt;&gt;"",G94="Other / bench",G94="None"),U94&lt;&gt;""),"OK","Missing"))</f>
        <v>n/a</v>
      </c>
    </row>
    <row r="95" customFormat="false" ht="15" hidden="false" customHeight="false" outlineLevel="0" collapsed="false">
      <c r="A95" s="10" t="s">
        <v>254</v>
      </c>
      <c r="B95" s="10" t="s">
        <v>659</v>
      </c>
      <c r="C95" s="10" t="s">
        <v>687</v>
      </c>
      <c r="D95" s="10" t="s">
        <v>669</v>
      </c>
      <c r="E95" s="21" t="str">
        <f aca="false">IF(A95="","",A95&amp;"|"&amp;D95)</f>
        <v>F15|Other tests (non-HPLC: physical, LOD/KF, disintegration, pH, micro...)</v>
      </c>
      <c r="F95" s="16" t="s">
        <v>662</v>
      </c>
      <c r="G95" s="16" t="s">
        <v>670</v>
      </c>
      <c r="H95" s="16" t="s">
        <v>672</v>
      </c>
      <c r="I95" s="16" t="n">
        <v>1</v>
      </c>
      <c r="J95" s="16"/>
      <c r="K95" s="14"/>
      <c r="L95" s="14"/>
      <c r="M95" s="14"/>
      <c r="N95" s="14"/>
      <c r="O95" s="14"/>
      <c r="P95" s="18" t="n">
        <f aca="false">IF(N95="",0,IF(OR(M95="",O95=""),N95,(M95+4*N95+O95)/6))</f>
        <v>0</v>
      </c>
      <c r="Q95" s="14"/>
      <c r="R95" s="14"/>
      <c r="S95" s="14"/>
      <c r="T95" s="14"/>
      <c r="U95" s="16"/>
      <c r="V95" s="13"/>
      <c r="W95" s="16" t="s">
        <v>662</v>
      </c>
      <c r="X95" s="16"/>
      <c r="Y95" s="16"/>
      <c r="Z95" s="16"/>
      <c r="AA95" s="22" t="n">
        <f aca="false">IF(F95&lt;&gt;"Y",0,((SUMIF(Products!$E$5:$E$300,A95,Products!$F$5:$F$300)+SUMIF(RM_Lots!$A$5:$A$400,A95,RM_Lots!$D$5:$D$400))+IF(W95="Y",SUMIF(Products!$E$5:$E$300,A95,Products!$G$5:$G$300),0))*(1+N(V95)))</f>
        <v>0</v>
      </c>
      <c r="AB95" s="22" t="n">
        <f aca="false">IF(F95&lt;&gt;"Y",0,((SUMIF(Products!$E$5:$E$300,A95,Products!$K$5:$K$300)+SUMIF(RM_Lots!$A$5:$A$400,A95,RM_Lots!$F$5:$F$400))+IF(W95="Y",SUMIF(Products!$E$5:$E$300,A95,Products!$L$5:$L$300),0))*(1+N(V95)))</f>
        <v>0</v>
      </c>
      <c r="AC95" s="17" t="n">
        <f aca="false">IF(J95="",1,MAX(1,COUNTIFS($J$5:$J$863,J95,$F$5:$F$863,"Y")))</f>
        <v>1</v>
      </c>
      <c r="AD95" s="18" t="n">
        <f aca="false">(MAX(1,N(I95))*(P95+N(S95))+MAX(1,N(I95))*N(K95)/(MAX(1,N(U95))*AC95))*Settings!$B$9</f>
        <v>0</v>
      </c>
      <c r="AE95" s="18" t="n">
        <f aca="false">(MAX(1,N(I95))*N(Q95)+MAX(1,N(I95))*N(L95)/(MAX(1,N(U95))*AC95))*Settings!$B$8</f>
        <v>0</v>
      </c>
      <c r="AF95" s="18" t="n">
        <f aca="false">MAX(1,N(I95))*N(T95)</f>
        <v>0</v>
      </c>
      <c r="AG95" s="15" t="n">
        <f aca="false">AA95*N(AD95)</f>
        <v>0</v>
      </c>
      <c r="AH95" s="15" t="n">
        <f aca="false">AA95*N(AE95)</f>
        <v>0</v>
      </c>
      <c r="AI95" s="15" t="n">
        <f aca="false">AA95*N(AF95)</f>
        <v>0</v>
      </c>
      <c r="AJ95" s="15" t="n">
        <f aca="false">AA95*N(R95)</f>
        <v>0</v>
      </c>
      <c r="AK95" s="15" t="n">
        <f aca="false">AB95*N(AD95)</f>
        <v>0</v>
      </c>
      <c r="AL95" s="15" t="n">
        <f aca="false">AB95*N(AE95)</f>
        <v>0</v>
      </c>
      <c r="AM95" s="15" t="n">
        <f aca="false">AB95*N(AF95)</f>
        <v>0</v>
      </c>
      <c r="AN95" s="15" t="n">
        <f aca="false">AB95*N(R95)</f>
        <v>0</v>
      </c>
      <c r="AO95" s="21" t="str">
        <f aca="false">IF(F95&lt;&gt;"Y","n/a",IF(AND(N95&lt;&gt;"",OR(Q95&lt;&gt;"",G95="Other / bench",G95="None"),U95&lt;&gt;""),"OK","Missing"))</f>
        <v>Missing</v>
      </c>
    </row>
    <row r="96" customFormat="false" ht="15" hidden="false" customHeight="false" outlineLevel="0" collapsed="false">
      <c r="A96" s="10" t="s">
        <v>259</v>
      </c>
      <c r="B96" s="10" t="s">
        <v>659</v>
      </c>
      <c r="C96" s="10" t="s">
        <v>688</v>
      </c>
      <c r="D96" s="10" t="s">
        <v>661</v>
      </c>
      <c r="E96" s="21" t="str">
        <f aca="false">IF(A96="","",A96&amp;"|"&amp;D96)</f>
        <v>F16|Assay</v>
      </c>
      <c r="F96" s="16" t="s">
        <v>662</v>
      </c>
      <c r="G96" s="16" t="s">
        <v>147</v>
      </c>
      <c r="H96" s="16" t="s">
        <v>672</v>
      </c>
      <c r="I96" s="16" t="n">
        <v>1</v>
      </c>
      <c r="J96" s="16"/>
      <c r="K96" s="14"/>
      <c r="L96" s="14"/>
      <c r="M96" s="14"/>
      <c r="N96" s="14"/>
      <c r="O96" s="14"/>
      <c r="P96" s="18" t="n">
        <f aca="false">IF(N96="",0,IF(OR(M96="",O96=""),N96,(M96+4*N96+O96)/6))</f>
        <v>0</v>
      </c>
      <c r="Q96" s="14"/>
      <c r="R96" s="14"/>
      <c r="S96" s="14"/>
      <c r="T96" s="14"/>
      <c r="U96" s="16"/>
      <c r="V96" s="13"/>
      <c r="W96" s="16" t="s">
        <v>662</v>
      </c>
      <c r="X96" s="16"/>
      <c r="Y96" s="16"/>
      <c r="Z96" s="16"/>
      <c r="AA96" s="22" t="n">
        <f aca="false">IF(F96&lt;&gt;"Y",0,((SUMIF(Products!$E$5:$E$300,A96,Products!$F$5:$F$300)+SUMIF(RM_Lots!$A$5:$A$400,A96,RM_Lots!$D$5:$D$400))+IF(W96="Y",SUMIF(Products!$E$5:$E$300,A96,Products!$G$5:$G$300),0))*(1+N(V96)))</f>
        <v>0</v>
      </c>
      <c r="AB96" s="22" t="n">
        <f aca="false">IF(F96&lt;&gt;"Y",0,((SUMIF(Products!$E$5:$E$300,A96,Products!$K$5:$K$300)+SUMIF(RM_Lots!$A$5:$A$400,A96,RM_Lots!$F$5:$F$400))+IF(W96="Y",SUMIF(Products!$E$5:$E$300,A96,Products!$L$5:$L$300),0))*(1+N(V96)))</f>
        <v>0</v>
      </c>
      <c r="AC96" s="17" t="n">
        <f aca="false">IF(J96="",1,MAX(1,COUNTIFS($J$5:$J$863,J96,$F$5:$F$863,"Y")))</f>
        <v>1</v>
      </c>
      <c r="AD96" s="18" t="n">
        <f aca="false">(MAX(1,N(I96))*(P96+N(S96))+MAX(1,N(I96))*N(K96)/(MAX(1,N(U96))*AC96))*Settings!$B$9</f>
        <v>0</v>
      </c>
      <c r="AE96" s="18" t="n">
        <f aca="false">(MAX(1,N(I96))*N(Q96)+MAX(1,N(I96))*N(L96)/(MAX(1,N(U96))*AC96))*Settings!$B$8</f>
        <v>0</v>
      </c>
      <c r="AF96" s="18" t="n">
        <f aca="false">MAX(1,N(I96))*N(T96)</f>
        <v>0</v>
      </c>
      <c r="AG96" s="15" t="n">
        <f aca="false">AA96*N(AD96)</f>
        <v>0</v>
      </c>
      <c r="AH96" s="15" t="n">
        <f aca="false">AA96*N(AE96)</f>
        <v>0</v>
      </c>
      <c r="AI96" s="15" t="n">
        <f aca="false">AA96*N(AF96)</f>
        <v>0</v>
      </c>
      <c r="AJ96" s="15" t="n">
        <f aca="false">AA96*N(R96)</f>
        <v>0</v>
      </c>
      <c r="AK96" s="15" t="n">
        <f aca="false">AB96*N(AD96)</f>
        <v>0</v>
      </c>
      <c r="AL96" s="15" t="n">
        <f aca="false">AB96*N(AE96)</f>
        <v>0</v>
      </c>
      <c r="AM96" s="15" t="n">
        <f aca="false">AB96*N(AF96)</f>
        <v>0</v>
      </c>
      <c r="AN96" s="15" t="n">
        <f aca="false">AB96*N(R96)</f>
        <v>0</v>
      </c>
      <c r="AO96" s="21" t="str">
        <f aca="false">IF(F96&lt;&gt;"Y","n/a",IF(AND(N96&lt;&gt;"",OR(Q96&lt;&gt;"",G96="Other / bench",G96="None"),U96&lt;&gt;""),"OK","Missing"))</f>
        <v>Missing</v>
      </c>
    </row>
    <row r="97" customFormat="false" ht="15" hidden="false" customHeight="false" outlineLevel="0" collapsed="false">
      <c r="A97" s="10" t="s">
        <v>259</v>
      </c>
      <c r="B97" s="10" t="s">
        <v>659</v>
      </c>
      <c r="C97" s="10" t="s">
        <v>688</v>
      </c>
      <c r="D97" s="10" t="s">
        <v>664</v>
      </c>
      <c r="E97" s="21" t="str">
        <f aca="false">IF(A97="","",A97&amp;"|"&amp;D97)</f>
        <v>F16|Related substances / impurities</v>
      </c>
      <c r="F97" s="16" t="s">
        <v>662</v>
      </c>
      <c r="G97" s="16" t="s">
        <v>147</v>
      </c>
      <c r="H97" s="16" t="s">
        <v>672</v>
      </c>
      <c r="I97" s="16" t="n">
        <v>1</v>
      </c>
      <c r="J97" s="16"/>
      <c r="K97" s="14"/>
      <c r="L97" s="14"/>
      <c r="M97" s="14"/>
      <c r="N97" s="14"/>
      <c r="O97" s="14"/>
      <c r="P97" s="18" t="n">
        <f aca="false">IF(N97="",0,IF(OR(M97="",O97=""),N97,(M97+4*N97+O97)/6))</f>
        <v>0</v>
      </c>
      <c r="Q97" s="14"/>
      <c r="R97" s="14"/>
      <c r="S97" s="14"/>
      <c r="T97" s="14"/>
      <c r="U97" s="16"/>
      <c r="V97" s="13"/>
      <c r="W97" s="16" t="s">
        <v>662</v>
      </c>
      <c r="X97" s="16"/>
      <c r="Y97" s="16"/>
      <c r="Z97" s="16"/>
      <c r="AA97" s="22" t="n">
        <f aca="false">IF(F97&lt;&gt;"Y",0,((SUMIF(Products!$E$5:$E$300,A97,Products!$F$5:$F$300)+SUMIF(RM_Lots!$A$5:$A$400,A97,RM_Lots!$D$5:$D$400))+IF(W97="Y",SUMIF(Products!$E$5:$E$300,A97,Products!$G$5:$G$300),0))*(1+N(V97)))</f>
        <v>0</v>
      </c>
      <c r="AB97" s="22" t="n">
        <f aca="false">IF(F97&lt;&gt;"Y",0,((SUMIF(Products!$E$5:$E$300,A97,Products!$K$5:$K$300)+SUMIF(RM_Lots!$A$5:$A$400,A97,RM_Lots!$F$5:$F$400))+IF(W97="Y",SUMIF(Products!$E$5:$E$300,A97,Products!$L$5:$L$300),0))*(1+N(V97)))</f>
        <v>0</v>
      </c>
      <c r="AC97" s="17" t="n">
        <f aca="false">IF(J97="",1,MAX(1,COUNTIFS($J$5:$J$863,J97,$F$5:$F$863,"Y")))</f>
        <v>1</v>
      </c>
      <c r="AD97" s="18" t="n">
        <f aca="false">(MAX(1,N(I97))*(P97+N(S97))+MAX(1,N(I97))*N(K97)/(MAX(1,N(U97))*AC97))*Settings!$B$9</f>
        <v>0</v>
      </c>
      <c r="AE97" s="18" t="n">
        <f aca="false">(MAX(1,N(I97))*N(Q97)+MAX(1,N(I97))*N(L97)/(MAX(1,N(U97))*AC97))*Settings!$B$8</f>
        <v>0</v>
      </c>
      <c r="AF97" s="18" t="n">
        <f aca="false">MAX(1,N(I97))*N(T97)</f>
        <v>0</v>
      </c>
      <c r="AG97" s="15" t="n">
        <f aca="false">AA97*N(AD97)</f>
        <v>0</v>
      </c>
      <c r="AH97" s="15" t="n">
        <f aca="false">AA97*N(AE97)</f>
        <v>0</v>
      </c>
      <c r="AI97" s="15" t="n">
        <f aca="false">AA97*N(AF97)</f>
        <v>0</v>
      </c>
      <c r="AJ97" s="15" t="n">
        <f aca="false">AA97*N(R97)</f>
        <v>0</v>
      </c>
      <c r="AK97" s="15" t="n">
        <f aca="false">AB97*N(AD97)</f>
        <v>0</v>
      </c>
      <c r="AL97" s="15" t="n">
        <f aca="false">AB97*N(AE97)</f>
        <v>0</v>
      </c>
      <c r="AM97" s="15" t="n">
        <f aca="false">AB97*N(AF97)</f>
        <v>0</v>
      </c>
      <c r="AN97" s="15" t="n">
        <f aca="false">AB97*N(R97)</f>
        <v>0</v>
      </c>
      <c r="AO97" s="21" t="str">
        <f aca="false">IF(F97&lt;&gt;"Y","n/a",IF(AND(N97&lt;&gt;"",OR(Q97&lt;&gt;"",G97="Other / bench",G97="None"),U97&lt;&gt;""),"OK","Missing"))</f>
        <v>Missing</v>
      </c>
    </row>
    <row r="98" customFormat="false" ht="15" hidden="false" customHeight="false" outlineLevel="0" collapsed="false">
      <c r="A98" s="10" t="s">
        <v>259</v>
      </c>
      <c r="B98" s="10" t="s">
        <v>659</v>
      </c>
      <c r="C98" s="10" t="s">
        <v>688</v>
      </c>
      <c r="D98" s="10" t="s">
        <v>665</v>
      </c>
      <c r="E98" s="21" t="str">
        <f aca="false">IF(A98="","",A98&amp;"|"&amp;D98)</f>
        <v>F16|Dissolution</v>
      </c>
      <c r="F98" s="16" t="s">
        <v>662</v>
      </c>
      <c r="G98" s="16" t="s">
        <v>147</v>
      </c>
      <c r="H98" s="16" t="s">
        <v>672</v>
      </c>
      <c r="I98" s="16" t="n">
        <v>1</v>
      </c>
      <c r="J98" s="16"/>
      <c r="K98" s="14"/>
      <c r="L98" s="14"/>
      <c r="M98" s="14"/>
      <c r="N98" s="14"/>
      <c r="O98" s="14"/>
      <c r="P98" s="18" t="n">
        <f aca="false">IF(N98="",0,IF(OR(M98="",O98=""),N98,(M98+4*N98+O98)/6))</f>
        <v>0</v>
      </c>
      <c r="Q98" s="14"/>
      <c r="R98" s="14"/>
      <c r="S98" s="14"/>
      <c r="T98" s="14"/>
      <c r="U98" s="16"/>
      <c r="V98" s="13"/>
      <c r="W98" s="16" t="s">
        <v>662</v>
      </c>
      <c r="X98" s="16"/>
      <c r="Y98" s="16"/>
      <c r="Z98" s="16"/>
      <c r="AA98" s="22" t="n">
        <f aca="false">IF(F98&lt;&gt;"Y",0,((SUMIF(Products!$E$5:$E$300,A98,Products!$F$5:$F$300)+SUMIF(RM_Lots!$A$5:$A$400,A98,RM_Lots!$D$5:$D$400))+IF(W98="Y",SUMIF(Products!$E$5:$E$300,A98,Products!$G$5:$G$300),0))*(1+N(V98)))</f>
        <v>0</v>
      </c>
      <c r="AB98" s="22" t="n">
        <f aca="false">IF(F98&lt;&gt;"Y",0,((SUMIF(Products!$E$5:$E$300,A98,Products!$K$5:$K$300)+SUMIF(RM_Lots!$A$5:$A$400,A98,RM_Lots!$F$5:$F$400))+IF(W98="Y",SUMIF(Products!$E$5:$E$300,A98,Products!$L$5:$L$300),0))*(1+N(V98)))</f>
        <v>0</v>
      </c>
      <c r="AC98" s="17" t="n">
        <f aca="false">IF(J98="",1,MAX(1,COUNTIFS($J$5:$J$863,J98,$F$5:$F$863,"Y")))</f>
        <v>1</v>
      </c>
      <c r="AD98" s="18" t="n">
        <f aca="false">(MAX(1,N(I98))*(P98+N(S98))+MAX(1,N(I98))*N(K98)/(MAX(1,N(U98))*AC98))*Settings!$B$9</f>
        <v>0</v>
      </c>
      <c r="AE98" s="18" t="n">
        <f aca="false">(MAX(1,N(I98))*N(Q98)+MAX(1,N(I98))*N(L98)/(MAX(1,N(U98))*AC98))*Settings!$B$8</f>
        <v>0</v>
      </c>
      <c r="AF98" s="18" t="n">
        <f aca="false">MAX(1,N(I98))*N(T98)</f>
        <v>0</v>
      </c>
      <c r="AG98" s="15" t="n">
        <f aca="false">AA98*N(AD98)</f>
        <v>0</v>
      </c>
      <c r="AH98" s="15" t="n">
        <f aca="false">AA98*N(AE98)</f>
        <v>0</v>
      </c>
      <c r="AI98" s="15" t="n">
        <f aca="false">AA98*N(AF98)</f>
        <v>0</v>
      </c>
      <c r="AJ98" s="15" t="n">
        <f aca="false">AA98*N(R98)</f>
        <v>0</v>
      </c>
      <c r="AK98" s="15" t="n">
        <f aca="false">AB98*N(AD98)</f>
        <v>0</v>
      </c>
      <c r="AL98" s="15" t="n">
        <f aca="false">AB98*N(AE98)</f>
        <v>0</v>
      </c>
      <c r="AM98" s="15" t="n">
        <f aca="false">AB98*N(AF98)</f>
        <v>0</v>
      </c>
      <c r="AN98" s="15" t="n">
        <f aca="false">AB98*N(R98)</f>
        <v>0</v>
      </c>
      <c r="AO98" s="21" t="str">
        <f aca="false">IF(F98&lt;&gt;"Y","n/a",IF(AND(N98&lt;&gt;"",OR(Q98&lt;&gt;"",G98="Other / bench",G98="None"),U98&lt;&gt;""),"OK","Missing"))</f>
        <v>Missing</v>
      </c>
    </row>
    <row r="99" customFormat="false" ht="15" hidden="false" customHeight="false" outlineLevel="0" collapsed="false">
      <c r="A99" s="10" t="s">
        <v>259</v>
      </c>
      <c r="B99" s="10" t="s">
        <v>659</v>
      </c>
      <c r="C99" s="10" t="s">
        <v>688</v>
      </c>
      <c r="D99" s="10" t="s">
        <v>666</v>
      </c>
      <c r="E99" s="21" t="str">
        <f aca="false">IF(A99="","",A99&amp;"|"&amp;D99)</f>
        <v>F16|Content uniformity</v>
      </c>
      <c r="F99" s="16" t="s">
        <v>662</v>
      </c>
      <c r="G99" s="16" t="s">
        <v>147</v>
      </c>
      <c r="H99" s="16" t="s">
        <v>672</v>
      </c>
      <c r="I99" s="16" t="n">
        <v>1</v>
      </c>
      <c r="J99" s="16"/>
      <c r="K99" s="14"/>
      <c r="L99" s="14"/>
      <c r="M99" s="14"/>
      <c r="N99" s="14"/>
      <c r="O99" s="14"/>
      <c r="P99" s="18" t="n">
        <f aca="false">IF(N99="",0,IF(OR(M99="",O99=""),N99,(M99+4*N99+O99)/6))</f>
        <v>0</v>
      </c>
      <c r="Q99" s="14"/>
      <c r="R99" s="14"/>
      <c r="S99" s="14"/>
      <c r="T99" s="14"/>
      <c r="U99" s="16"/>
      <c r="V99" s="13"/>
      <c r="W99" s="16" t="s">
        <v>667</v>
      </c>
      <c r="X99" s="16"/>
      <c r="Y99" s="16"/>
      <c r="Z99" s="16"/>
      <c r="AA99" s="22" t="n">
        <f aca="false">IF(F99&lt;&gt;"Y",0,((SUMIF(Products!$E$5:$E$300,A99,Products!$F$5:$F$300)+SUMIF(RM_Lots!$A$5:$A$400,A99,RM_Lots!$D$5:$D$400))+IF(W99="Y",SUMIF(Products!$E$5:$E$300,A99,Products!$G$5:$G$300),0))*(1+N(V99)))</f>
        <v>0</v>
      </c>
      <c r="AB99" s="22" t="n">
        <f aca="false">IF(F99&lt;&gt;"Y",0,((SUMIF(Products!$E$5:$E$300,A99,Products!$K$5:$K$300)+SUMIF(RM_Lots!$A$5:$A$400,A99,RM_Lots!$F$5:$F$400))+IF(W99="Y",SUMIF(Products!$E$5:$E$300,A99,Products!$L$5:$L$300),0))*(1+N(V99)))</f>
        <v>0</v>
      </c>
      <c r="AC99" s="17" t="n">
        <f aca="false">IF(J99="",1,MAX(1,COUNTIFS($J$5:$J$863,J99,$F$5:$F$863,"Y")))</f>
        <v>1</v>
      </c>
      <c r="AD99" s="18" t="n">
        <f aca="false">(MAX(1,N(I99))*(P99+N(S99))+MAX(1,N(I99))*N(K99)/(MAX(1,N(U99))*AC99))*Settings!$B$9</f>
        <v>0</v>
      </c>
      <c r="AE99" s="18" t="n">
        <f aca="false">(MAX(1,N(I99))*N(Q99)+MAX(1,N(I99))*N(L99)/(MAX(1,N(U99))*AC99))*Settings!$B$8</f>
        <v>0</v>
      </c>
      <c r="AF99" s="18" t="n">
        <f aca="false">MAX(1,N(I99))*N(T99)</f>
        <v>0</v>
      </c>
      <c r="AG99" s="15" t="n">
        <f aca="false">AA99*N(AD99)</f>
        <v>0</v>
      </c>
      <c r="AH99" s="15" t="n">
        <f aca="false">AA99*N(AE99)</f>
        <v>0</v>
      </c>
      <c r="AI99" s="15" t="n">
        <f aca="false">AA99*N(AF99)</f>
        <v>0</v>
      </c>
      <c r="AJ99" s="15" t="n">
        <f aca="false">AA99*N(R99)</f>
        <v>0</v>
      </c>
      <c r="AK99" s="15" t="n">
        <f aca="false">AB99*N(AD99)</f>
        <v>0</v>
      </c>
      <c r="AL99" s="15" t="n">
        <f aca="false">AB99*N(AE99)</f>
        <v>0</v>
      </c>
      <c r="AM99" s="15" t="n">
        <f aca="false">AB99*N(AF99)</f>
        <v>0</v>
      </c>
      <c r="AN99" s="15" t="n">
        <f aca="false">AB99*N(R99)</f>
        <v>0</v>
      </c>
      <c r="AO99" s="21" t="str">
        <f aca="false">IF(F99&lt;&gt;"Y","n/a",IF(AND(N99&lt;&gt;"",OR(Q99&lt;&gt;"",G99="Other / bench",G99="None"),U99&lt;&gt;""),"OK","Missing"))</f>
        <v>Missing</v>
      </c>
    </row>
    <row r="100" customFormat="false" ht="15" hidden="false" customHeight="false" outlineLevel="0" collapsed="false">
      <c r="A100" s="10" t="s">
        <v>259</v>
      </c>
      <c r="B100" s="10" t="s">
        <v>659</v>
      </c>
      <c r="C100" s="10" t="s">
        <v>688</v>
      </c>
      <c r="D100" s="10" t="s">
        <v>668</v>
      </c>
      <c r="E100" s="21" t="str">
        <f aca="false">IF(A100="","",A100&amp;"|"&amp;D100)</f>
        <v>F16|Identification (if separate from assay)</v>
      </c>
      <c r="F100" s="16" t="s">
        <v>667</v>
      </c>
      <c r="G100" s="16" t="s">
        <v>147</v>
      </c>
      <c r="H100" s="16" t="s">
        <v>672</v>
      </c>
      <c r="I100" s="16" t="n">
        <v>1</v>
      </c>
      <c r="J100" s="16"/>
      <c r="K100" s="14"/>
      <c r="L100" s="14"/>
      <c r="M100" s="14"/>
      <c r="N100" s="14"/>
      <c r="O100" s="14"/>
      <c r="P100" s="18" t="n">
        <f aca="false">IF(N100="",0,IF(OR(M100="",O100=""),N100,(M100+4*N100+O100)/6))</f>
        <v>0</v>
      </c>
      <c r="Q100" s="14"/>
      <c r="R100" s="14"/>
      <c r="S100" s="14"/>
      <c r="T100" s="14"/>
      <c r="U100" s="16"/>
      <c r="V100" s="13"/>
      <c r="W100" s="16" t="s">
        <v>667</v>
      </c>
      <c r="X100" s="16"/>
      <c r="Y100" s="16"/>
      <c r="Z100" s="16"/>
      <c r="AA100" s="22" t="n">
        <f aca="false">IF(F100&lt;&gt;"Y",0,((SUMIF(Products!$E$5:$E$300,A100,Products!$F$5:$F$300)+SUMIF(RM_Lots!$A$5:$A$400,A100,RM_Lots!$D$5:$D$400))+IF(W100="Y",SUMIF(Products!$E$5:$E$300,A100,Products!$G$5:$G$300),0))*(1+N(V100)))</f>
        <v>0</v>
      </c>
      <c r="AB100" s="22" t="n">
        <f aca="false">IF(F100&lt;&gt;"Y",0,((SUMIF(Products!$E$5:$E$300,A100,Products!$K$5:$K$300)+SUMIF(RM_Lots!$A$5:$A$400,A100,RM_Lots!$F$5:$F$400))+IF(W100="Y",SUMIF(Products!$E$5:$E$300,A100,Products!$L$5:$L$300),0))*(1+N(V100)))</f>
        <v>0</v>
      </c>
      <c r="AC100" s="17" t="n">
        <f aca="false">IF(J100="",1,MAX(1,COUNTIFS($J$5:$J$863,J100,$F$5:$F$863,"Y")))</f>
        <v>1</v>
      </c>
      <c r="AD100" s="18" t="n">
        <f aca="false">(MAX(1,N(I100))*(P100+N(S100))+MAX(1,N(I100))*N(K100)/(MAX(1,N(U100))*AC100))*Settings!$B$9</f>
        <v>0</v>
      </c>
      <c r="AE100" s="18" t="n">
        <f aca="false">(MAX(1,N(I100))*N(Q100)+MAX(1,N(I100))*N(L100)/(MAX(1,N(U100))*AC100))*Settings!$B$8</f>
        <v>0</v>
      </c>
      <c r="AF100" s="18" t="n">
        <f aca="false">MAX(1,N(I100))*N(T100)</f>
        <v>0</v>
      </c>
      <c r="AG100" s="15" t="n">
        <f aca="false">AA100*N(AD100)</f>
        <v>0</v>
      </c>
      <c r="AH100" s="15" t="n">
        <f aca="false">AA100*N(AE100)</f>
        <v>0</v>
      </c>
      <c r="AI100" s="15" t="n">
        <f aca="false">AA100*N(AF100)</f>
        <v>0</v>
      </c>
      <c r="AJ100" s="15" t="n">
        <f aca="false">AA100*N(R100)</f>
        <v>0</v>
      </c>
      <c r="AK100" s="15" t="n">
        <f aca="false">AB100*N(AD100)</f>
        <v>0</v>
      </c>
      <c r="AL100" s="15" t="n">
        <f aca="false">AB100*N(AE100)</f>
        <v>0</v>
      </c>
      <c r="AM100" s="15" t="n">
        <f aca="false">AB100*N(AF100)</f>
        <v>0</v>
      </c>
      <c r="AN100" s="15" t="n">
        <f aca="false">AB100*N(R100)</f>
        <v>0</v>
      </c>
      <c r="AO100" s="21" t="str">
        <f aca="false">IF(F100&lt;&gt;"Y","n/a",IF(AND(N100&lt;&gt;"",OR(Q100&lt;&gt;"",G100="Other / bench",G100="None"),U100&lt;&gt;""),"OK","Missing"))</f>
        <v>n/a</v>
      </c>
    </row>
    <row r="101" customFormat="false" ht="15" hidden="false" customHeight="false" outlineLevel="0" collapsed="false">
      <c r="A101" s="10" t="s">
        <v>259</v>
      </c>
      <c r="B101" s="10" t="s">
        <v>659</v>
      </c>
      <c r="C101" s="10" t="s">
        <v>688</v>
      </c>
      <c r="D101" s="10" t="s">
        <v>669</v>
      </c>
      <c r="E101" s="21" t="str">
        <f aca="false">IF(A101="","",A101&amp;"|"&amp;D101)</f>
        <v>F16|Other tests (non-HPLC: physical, LOD/KF, disintegration, pH, micro...)</v>
      </c>
      <c r="F101" s="16" t="s">
        <v>662</v>
      </c>
      <c r="G101" s="16" t="s">
        <v>670</v>
      </c>
      <c r="H101" s="16" t="s">
        <v>672</v>
      </c>
      <c r="I101" s="16" t="n">
        <v>1</v>
      </c>
      <c r="J101" s="16"/>
      <c r="K101" s="14"/>
      <c r="L101" s="14"/>
      <c r="M101" s="14"/>
      <c r="N101" s="14"/>
      <c r="O101" s="14"/>
      <c r="P101" s="18" t="n">
        <f aca="false">IF(N101="",0,IF(OR(M101="",O101=""),N101,(M101+4*N101+O101)/6))</f>
        <v>0</v>
      </c>
      <c r="Q101" s="14"/>
      <c r="R101" s="14"/>
      <c r="S101" s="14"/>
      <c r="T101" s="14"/>
      <c r="U101" s="16"/>
      <c r="V101" s="13"/>
      <c r="W101" s="16" t="s">
        <v>662</v>
      </c>
      <c r="X101" s="16"/>
      <c r="Y101" s="16"/>
      <c r="Z101" s="16"/>
      <c r="AA101" s="22" t="n">
        <f aca="false">IF(F101&lt;&gt;"Y",0,((SUMIF(Products!$E$5:$E$300,A101,Products!$F$5:$F$300)+SUMIF(RM_Lots!$A$5:$A$400,A101,RM_Lots!$D$5:$D$400))+IF(W101="Y",SUMIF(Products!$E$5:$E$300,A101,Products!$G$5:$G$300),0))*(1+N(V101)))</f>
        <v>0</v>
      </c>
      <c r="AB101" s="22" t="n">
        <f aca="false">IF(F101&lt;&gt;"Y",0,((SUMIF(Products!$E$5:$E$300,A101,Products!$K$5:$K$300)+SUMIF(RM_Lots!$A$5:$A$400,A101,RM_Lots!$F$5:$F$400))+IF(W101="Y",SUMIF(Products!$E$5:$E$300,A101,Products!$L$5:$L$300),0))*(1+N(V101)))</f>
        <v>0</v>
      </c>
      <c r="AC101" s="17" t="n">
        <f aca="false">IF(J101="",1,MAX(1,COUNTIFS($J$5:$J$863,J101,$F$5:$F$863,"Y")))</f>
        <v>1</v>
      </c>
      <c r="AD101" s="18" t="n">
        <f aca="false">(MAX(1,N(I101))*(P101+N(S101))+MAX(1,N(I101))*N(K101)/(MAX(1,N(U101))*AC101))*Settings!$B$9</f>
        <v>0</v>
      </c>
      <c r="AE101" s="18" t="n">
        <f aca="false">(MAX(1,N(I101))*N(Q101)+MAX(1,N(I101))*N(L101)/(MAX(1,N(U101))*AC101))*Settings!$B$8</f>
        <v>0</v>
      </c>
      <c r="AF101" s="18" t="n">
        <f aca="false">MAX(1,N(I101))*N(T101)</f>
        <v>0</v>
      </c>
      <c r="AG101" s="15" t="n">
        <f aca="false">AA101*N(AD101)</f>
        <v>0</v>
      </c>
      <c r="AH101" s="15" t="n">
        <f aca="false">AA101*N(AE101)</f>
        <v>0</v>
      </c>
      <c r="AI101" s="15" t="n">
        <f aca="false">AA101*N(AF101)</f>
        <v>0</v>
      </c>
      <c r="AJ101" s="15" t="n">
        <f aca="false">AA101*N(R101)</f>
        <v>0</v>
      </c>
      <c r="AK101" s="15" t="n">
        <f aca="false">AB101*N(AD101)</f>
        <v>0</v>
      </c>
      <c r="AL101" s="15" t="n">
        <f aca="false">AB101*N(AE101)</f>
        <v>0</v>
      </c>
      <c r="AM101" s="15" t="n">
        <f aca="false">AB101*N(AF101)</f>
        <v>0</v>
      </c>
      <c r="AN101" s="15" t="n">
        <f aca="false">AB101*N(R101)</f>
        <v>0</v>
      </c>
      <c r="AO101" s="21" t="str">
        <f aca="false">IF(F101&lt;&gt;"Y","n/a",IF(AND(N101&lt;&gt;"",OR(Q101&lt;&gt;"",G101="Other / bench",G101="None"),U101&lt;&gt;""),"OK","Missing"))</f>
        <v>Missing</v>
      </c>
    </row>
    <row r="102" customFormat="false" ht="15" hidden="false" customHeight="false" outlineLevel="0" collapsed="false">
      <c r="A102" s="10" t="s">
        <v>262</v>
      </c>
      <c r="B102" s="10" t="s">
        <v>659</v>
      </c>
      <c r="C102" s="10" t="s">
        <v>689</v>
      </c>
      <c r="D102" s="10" t="s">
        <v>661</v>
      </c>
      <c r="E102" s="21" t="str">
        <f aca="false">IF(A102="","",A102&amp;"|"&amp;D102)</f>
        <v>F17|Assay</v>
      </c>
      <c r="F102" s="16" t="s">
        <v>662</v>
      </c>
      <c r="G102" s="16" t="s">
        <v>147</v>
      </c>
      <c r="H102" s="16" t="s">
        <v>672</v>
      </c>
      <c r="I102" s="16" t="n">
        <v>1</v>
      </c>
      <c r="J102" s="16"/>
      <c r="K102" s="14"/>
      <c r="L102" s="14"/>
      <c r="M102" s="14"/>
      <c r="N102" s="14"/>
      <c r="O102" s="14"/>
      <c r="P102" s="18" t="n">
        <f aca="false">IF(N102="",0,IF(OR(M102="",O102=""),N102,(M102+4*N102+O102)/6))</f>
        <v>0</v>
      </c>
      <c r="Q102" s="14"/>
      <c r="R102" s="14"/>
      <c r="S102" s="14"/>
      <c r="T102" s="14"/>
      <c r="U102" s="16"/>
      <c r="V102" s="13"/>
      <c r="W102" s="16" t="s">
        <v>662</v>
      </c>
      <c r="X102" s="16"/>
      <c r="Y102" s="16"/>
      <c r="Z102" s="16"/>
      <c r="AA102" s="22" t="n">
        <f aca="false">IF(F102&lt;&gt;"Y",0,((SUMIF(Products!$E$5:$E$300,A102,Products!$F$5:$F$300)+SUMIF(RM_Lots!$A$5:$A$400,A102,RM_Lots!$D$5:$D$400))+IF(W102="Y",SUMIF(Products!$E$5:$E$300,A102,Products!$G$5:$G$300),0))*(1+N(V102)))</f>
        <v>0</v>
      </c>
      <c r="AB102" s="22" t="n">
        <f aca="false">IF(F102&lt;&gt;"Y",0,((SUMIF(Products!$E$5:$E$300,A102,Products!$K$5:$K$300)+SUMIF(RM_Lots!$A$5:$A$400,A102,RM_Lots!$F$5:$F$400))+IF(W102="Y",SUMIF(Products!$E$5:$E$300,A102,Products!$L$5:$L$300),0))*(1+N(V102)))</f>
        <v>0</v>
      </c>
      <c r="AC102" s="17" t="n">
        <f aca="false">IF(J102="",1,MAX(1,COUNTIFS($J$5:$J$863,J102,$F$5:$F$863,"Y")))</f>
        <v>1</v>
      </c>
      <c r="AD102" s="18" t="n">
        <f aca="false">(MAX(1,N(I102))*(P102+N(S102))+MAX(1,N(I102))*N(K102)/(MAX(1,N(U102))*AC102))*Settings!$B$9</f>
        <v>0</v>
      </c>
      <c r="AE102" s="18" t="n">
        <f aca="false">(MAX(1,N(I102))*N(Q102)+MAX(1,N(I102))*N(L102)/(MAX(1,N(U102))*AC102))*Settings!$B$8</f>
        <v>0</v>
      </c>
      <c r="AF102" s="18" t="n">
        <f aca="false">MAX(1,N(I102))*N(T102)</f>
        <v>0</v>
      </c>
      <c r="AG102" s="15" t="n">
        <f aca="false">AA102*N(AD102)</f>
        <v>0</v>
      </c>
      <c r="AH102" s="15" t="n">
        <f aca="false">AA102*N(AE102)</f>
        <v>0</v>
      </c>
      <c r="AI102" s="15" t="n">
        <f aca="false">AA102*N(AF102)</f>
        <v>0</v>
      </c>
      <c r="AJ102" s="15" t="n">
        <f aca="false">AA102*N(R102)</f>
        <v>0</v>
      </c>
      <c r="AK102" s="15" t="n">
        <f aca="false">AB102*N(AD102)</f>
        <v>0</v>
      </c>
      <c r="AL102" s="15" t="n">
        <f aca="false">AB102*N(AE102)</f>
        <v>0</v>
      </c>
      <c r="AM102" s="15" t="n">
        <f aca="false">AB102*N(AF102)</f>
        <v>0</v>
      </c>
      <c r="AN102" s="15" t="n">
        <f aca="false">AB102*N(R102)</f>
        <v>0</v>
      </c>
      <c r="AO102" s="21" t="str">
        <f aca="false">IF(F102&lt;&gt;"Y","n/a",IF(AND(N102&lt;&gt;"",OR(Q102&lt;&gt;"",G102="Other / bench",G102="None"),U102&lt;&gt;""),"OK","Missing"))</f>
        <v>Missing</v>
      </c>
    </row>
    <row r="103" customFormat="false" ht="15" hidden="false" customHeight="false" outlineLevel="0" collapsed="false">
      <c r="A103" s="10" t="s">
        <v>262</v>
      </c>
      <c r="B103" s="10" t="s">
        <v>659</v>
      </c>
      <c r="C103" s="10" t="s">
        <v>689</v>
      </c>
      <c r="D103" s="10" t="s">
        <v>664</v>
      </c>
      <c r="E103" s="21" t="str">
        <f aca="false">IF(A103="","",A103&amp;"|"&amp;D103)</f>
        <v>F17|Related substances / impurities</v>
      </c>
      <c r="F103" s="16" t="s">
        <v>662</v>
      </c>
      <c r="G103" s="16" t="s">
        <v>147</v>
      </c>
      <c r="H103" s="16" t="s">
        <v>672</v>
      </c>
      <c r="I103" s="16" t="n">
        <v>1</v>
      </c>
      <c r="J103" s="16"/>
      <c r="K103" s="14"/>
      <c r="L103" s="14"/>
      <c r="M103" s="14"/>
      <c r="N103" s="14"/>
      <c r="O103" s="14"/>
      <c r="P103" s="18" t="n">
        <f aca="false">IF(N103="",0,IF(OR(M103="",O103=""),N103,(M103+4*N103+O103)/6))</f>
        <v>0</v>
      </c>
      <c r="Q103" s="14"/>
      <c r="R103" s="14"/>
      <c r="S103" s="14"/>
      <c r="T103" s="14"/>
      <c r="U103" s="16"/>
      <c r="V103" s="13"/>
      <c r="W103" s="16" t="s">
        <v>662</v>
      </c>
      <c r="X103" s="16"/>
      <c r="Y103" s="16"/>
      <c r="Z103" s="16"/>
      <c r="AA103" s="22" t="n">
        <f aca="false">IF(F103&lt;&gt;"Y",0,((SUMIF(Products!$E$5:$E$300,A103,Products!$F$5:$F$300)+SUMIF(RM_Lots!$A$5:$A$400,A103,RM_Lots!$D$5:$D$400))+IF(W103="Y",SUMIF(Products!$E$5:$E$300,A103,Products!$G$5:$G$300),0))*(1+N(V103)))</f>
        <v>0</v>
      </c>
      <c r="AB103" s="22" t="n">
        <f aca="false">IF(F103&lt;&gt;"Y",0,((SUMIF(Products!$E$5:$E$300,A103,Products!$K$5:$K$300)+SUMIF(RM_Lots!$A$5:$A$400,A103,RM_Lots!$F$5:$F$400))+IF(W103="Y",SUMIF(Products!$E$5:$E$300,A103,Products!$L$5:$L$300),0))*(1+N(V103)))</f>
        <v>0</v>
      </c>
      <c r="AC103" s="17" t="n">
        <f aca="false">IF(J103="",1,MAX(1,COUNTIFS($J$5:$J$863,J103,$F$5:$F$863,"Y")))</f>
        <v>1</v>
      </c>
      <c r="AD103" s="18" t="n">
        <f aca="false">(MAX(1,N(I103))*(P103+N(S103))+MAX(1,N(I103))*N(K103)/(MAX(1,N(U103))*AC103))*Settings!$B$9</f>
        <v>0</v>
      </c>
      <c r="AE103" s="18" t="n">
        <f aca="false">(MAX(1,N(I103))*N(Q103)+MAX(1,N(I103))*N(L103)/(MAX(1,N(U103))*AC103))*Settings!$B$8</f>
        <v>0</v>
      </c>
      <c r="AF103" s="18" t="n">
        <f aca="false">MAX(1,N(I103))*N(T103)</f>
        <v>0</v>
      </c>
      <c r="AG103" s="15" t="n">
        <f aca="false">AA103*N(AD103)</f>
        <v>0</v>
      </c>
      <c r="AH103" s="15" t="n">
        <f aca="false">AA103*N(AE103)</f>
        <v>0</v>
      </c>
      <c r="AI103" s="15" t="n">
        <f aca="false">AA103*N(AF103)</f>
        <v>0</v>
      </c>
      <c r="AJ103" s="15" t="n">
        <f aca="false">AA103*N(R103)</f>
        <v>0</v>
      </c>
      <c r="AK103" s="15" t="n">
        <f aca="false">AB103*N(AD103)</f>
        <v>0</v>
      </c>
      <c r="AL103" s="15" t="n">
        <f aca="false">AB103*N(AE103)</f>
        <v>0</v>
      </c>
      <c r="AM103" s="15" t="n">
        <f aca="false">AB103*N(AF103)</f>
        <v>0</v>
      </c>
      <c r="AN103" s="15" t="n">
        <f aca="false">AB103*N(R103)</f>
        <v>0</v>
      </c>
      <c r="AO103" s="21" t="str">
        <f aca="false">IF(F103&lt;&gt;"Y","n/a",IF(AND(N103&lt;&gt;"",OR(Q103&lt;&gt;"",G103="Other / bench",G103="None"),U103&lt;&gt;""),"OK","Missing"))</f>
        <v>Missing</v>
      </c>
    </row>
    <row r="104" customFormat="false" ht="15" hidden="false" customHeight="false" outlineLevel="0" collapsed="false">
      <c r="A104" s="10" t="s">
        <v>262</v>
      </c>
      <c r="B104" s="10" t="s">
        <v>659</v>
      </c>
      <c r="C104" s="10" t="s">
        <v>689</v>
      </c>
      <c r="D104" s="10" t="s">
        <v>665</v>
      </c>
      <c r="E104" s="21" t="str">
        <f aca="false">IF(A104="","",A104&amp;"|"&amp;D104)</f>
        <v>F17|Dissolution</v>
      </c>
      <c r="F104" s="16" t="s">
        <v>662</v>
      </c>
      <c r="G104" s="16" t="s">
        <v>147</v>
      </c>
      <c r="H104" s="16" t="s">
        <v>672</v>
      </c>
      <c r="I104" s="16" t="n">
        <v>1</v>
      </c>
      <c r="J104" s="16"/>
      <c r="K104" s="14"/>
      <c r="L104" s="14"/>
      <c r="M104" s="14"/>
      <c r="N104" s="14"/>
      <c r="O104" s="14"/>
      <c r="P104" s="18" t="n">
        <f aca="false">IF(N104="",0,IF(OR(M104="",O104=""),N104,(M104+4*N104+O104)/6))</f>
        <v>0</v>
      </c>
      <c r="Q104" s="14"/>
      <c r="R104" s="14"/>
      <c r="S104" s="14"/>
      <c r="T104" s="14"/>
      <c r="U104" s="16"/>
      <c r="V104" s="13"/>
      <c r="W104" s="16" t="s">
        <v>662</v>
      </c>
      <c r="X104" s="16"/>
      <c r="Y104" s="16"/>
      <c r="Z104" s="16"/>
      <c r="AA104" s="22" t="n">
        <f aca="false">IF(F104&lt;&gt;"Y",0,((SUMIF(Products!$E$5:$E$300,A104,Products!$F$5:$F$300)+SUMIF(RM_Lots!$A$5:$A$400,A104,RM_Lots!$D$5:$D$400))+IF(W104="Y",SUMIF(Products!$E$5:$E$300,A104,Products!$G$5:$G$300),0))*(1+N(V104)))</f>
        <v>0</v>
      </c>
      <c r="AB104" s="22" t="n">
        <f aca="false">IF(F104&lt;&gt;"Y",0,((SUMIF(Products!$E$5:$E$300,A104,Products!$K$5:$K$300)+SUMIF(RM_Lots!$A$5:$A$400,A104,RM_Lots!$F$5:$F$400))+IF(W104="Y",SUMIF(Products!$E$5:$E$300,A104,Products!$L$5:$L$300),0))*(1+N(V104)))</f>
        <v>0</v>
      </c>
      <c r="AC104" s="17" t="n">
        <f aca="false">IF(J104="",1,MAX(1,COUNTIFS($J$5:$J$863,J104,$F$5:$F$863,"Y")))</f>
        <v>1</v>
      </c>
      <c r="AD104" s="18" t="n">
        <f aca="false">(MAX(1,N(I104))*(P104+N(S104))+MAX(1,N(I104))*N(K104)/(MAX(1,N(U104))*AC104))*Settings!$B$9</f>
        <v>0</v>
      </c>
      <c r="AE104" s="18" t="n">
        <f aca="false">(MAX(1,N(I104))*N(Q104)+MAX(1,N(I104))*N(L104)/(MAX(1,N(U104))*AC104))*Settings!$B$8</f>
        <v>0</v>
      </c>
      <c r="AF104" s="18" t="n">
        <f aca="false">MAX(1,N(I104))*N(T104)</f>
        <v>0</v>
      </c>
      <c r="AG104" s="15" t="n">
        <f aca="false">AA104*N(AD104)</f>
        <v>0</v>
      </c>
      <c r="AH104" s="15" t="n">
        <f aca="false">AA104*N(AE104)</f>
        <v>0</v>
      </c>
      <c r="AI104" s="15" t="n">
        <f aca="false">AA104*N(AF104)</f>
        <v>0</v>
      </c>
      <c r="AJ104" s="15" t="n">
        <f aca="false">AA104*N(R104)</f>
        <v>0</v>
      </c>
      <c r="AK104" s="15" t="n">
        <f aca="false">AB104*N(AD104)</f>
        <v>0</v>
      </c>
      <c r="AL104" s="15" t="n">
        <f aca="false">AB104*N(AE104)</f>
        <v>0</v>
      </c>
      <c r="AM104" s="15" t="n">
        <f aca="false">AB104*N(AF104)</f>
        <v>0</v>
      </c>
      <c r="AN104" s="15" t="n">
        <f aca="false">AB104*N(R104)</f>
        <v>0</v>
      </c>
      <c r="AO104" s="21" t="str">
        <f aca="false">IF(F104&lt;&gt;"Y","n/a",IF(AND(N104&lt;&gt;"",OR(Q104&lt;&gt;"",G104="Other / bench",G104="None"),U104&lt;&gt;""),"OK","Missing"))</f>
        <v>Missing</v>
      </c>
    </row>
    <row r="105" customFormat="false" ht="15" hidden="false" customHeight="false" outlineLevel="0" collapsed="false">
      <c r="A105" s="10" t="s">
        <v>262</v>
      </c>
      <c r="B105" s="10" t="s">
        <v>659</v>
      </c>
      <c r="C105" s="10" t="s">
        <v>689</v>
      </c>
      <c r="D105" s="10" t="s">
        <v>666</v>
      </c>
      <c r="E105" s="21" t="str">
        <f aca="false">IF(A105="","",A105&amp;"|"&amp;D105)</f>
        <v>F17|Content uniformity</v>
      </c>
      <c r="F105" s="16" t="s">
        <v>662</v>
      </c>
      <c r="G105" s="16" t="s">
        <v>147</v>
      </c>
      <c r="H105" s="16" t="s">
        <v>672</v>
      </c>
      <c r="I105" s="16" t="n">
        <v>1</v>
      </c>
      <c r="J105" s="16"/>
      <c r="K105" s="14"/>
      <c r="L105" s="14"/>
      <c r="M105" s="14"/>
      <c r="N105" s="14"/>
      <c r="O105" s="14"/>
      <c r="P105" s="18" t="n">
        <f aca="false">IF(N105="",0,IF(OR(M105="",O105=""),N105,(M105+4*N105+O105)/6))</f>
        <v>0</v>
      </c>
      <c r="Q105" s="14"/>
      <c r="R105" s="14"/>
      <c r="S105" s="14"/>
      <c r="T105" s="14"/>
      <c r="U105" s="16"/>
      <c r="V105" s="13"/>
      <c r="W105" s="16" t="s">
        <v>667</v>
      </c>
      <c r="X105" s="16"/>
      <c r="Y105" s="16"/>
      <c r="Z105" s="16"/>
      <c r="AA105" s="22" t="n">
        <f aca="false">IF(F105&lt;&gt;"Y",0,((SUMIF(Products!$E$5:$E$300,A105,Products!$F$5:$F$300)+SUMIF(RM_Lots!$A$5:$A$400,A105,RM_Lots!$D$5:$D$400))+IF(W105="Y",SUMIF(Products!$E$5:$E$300,A105,Products!$G$5:$G$300),0))*(1+N(V105)))</f>
        <v>0</v>
      </c>
      <c r="AB105" s="22" t="n">
        <f aca="false">IF(F105&lt;&gt;"Y",0,((SUMIF(Products!$E$5:$E$300,A105,Products!$K$5:$K$300)+SUMIF(RM_Lots!$A$5:$A$400,A105,RM_Lots!$F$5:$F$400))+IF(W105="Y",SUMIF(Products!$E$5:$E$300,A105,Products!$L$5:$L$300),0))*(1+N(V105)))</f>
        <v>0</v>
      </c>
      <c r="AC105" s="17" t="n">
        <f aca="false">IF(J105="",1,MAX(1,COUNTIFS($J$5:$J$863,J105,$F$5:$F$863,"Y")))</f>
        <v>1</v>
      </c>
      <c r="AD105" s="18" t="n">
        <f aca="false">(MAX(1,N(I105))*(P105+N(S105))+MAX(1,N(I105))*N(K105)/(MAX(1,N(U105))*AC105))*Settings!$B$9</f>
        <v>0</v>
      </c>
      <c r="AE105" s="18" t="n">
        <f aca="false">(MAX(1,N(I105))*N(Q105)+MAX(1,N(I105))*N(L105)/(MAX(1,N(U105))*AC105))*Settings!$B$8</f>
        <v>0</v>
      </c>
      <c r="AF105" s="18" t="n">
        <f aca="false">MAX(1,N(I105))*N(T105)</f>
        <v>0</v>
      </c>
      <c r="AG105" s="15" t="n">
        <f aca="false">AA105*N(AD105)</f>
        <v>0</v>
      </c>
      <c r="AH105" s="15" t="n">
        <f aca="false">AA105*N(AE105)</f>
        <v>0</v>
      </c>
      <c r="AI105" s="15" t="n">
        <f aca="false">AA105*N(AF105)</f>
        <v>0</v>
      </c>
      <c r="AJ105" s="15" t="n">
        <f aca="false">AA105*N(R105)</f>
        <v>0</v>
      </c>
      <c r="AK105" s="15" t="n">
        <f aca="false">AB105*N(AD105)</f>
        <v>0</v>
      </c>
      <c r="AL105" s="15" t="n">
        <f aca="false">AB105*N(AE105)</f>
        <v>0</v>
      </c>
      <c r="AM105" s="15" t="n">
        <f aca="false">AB105*N(AF105)</f>
        <v>0</v>
      </c>
      <c r="AN105" s="15" t="n">
        <f aca="false">AB105*N(R105)</f>
        <v>0</v>
      </c>
      <c r="AO105" s="21" t="str">
        <f aca="false">IF(F105&lt;&gt;"Y","n/a",IF(AND(N105&lt;&gt;"",OR(Q105&lt;&gt;"",G105="Other / bench",G105="None"),U105&lt;&gt;""),"OK","Missing"))</f>
        <v>Missing</v>
      </c>
    </row>
    <row r="106" customFormat="false" ht="15" hidden="false" customHeight="false" outlineLevel="0" collapsed="false">
      <c r="A106" s="10" t="s">
        <v>262</v>
      </c>
      <c r="B106" s="10" t="s">
        <v>659</v>
      </c>
      <c r="C106" s="10" t="s">
        <v>689</v>
      </c>
      <c r="D106" s="10" t="s">
        <v>668</v>
      </c>
      <c r="E106" s="21" t="str">
        <f aca="false">IF(A106="","",A106&amp;"|"&amp;D106)</f>
        <v>F17|Identification (if separate from assay)</v>
      </c>
      <c r="F106" s="16" t="s">
        <v>667</v>
      </c>
      <c r="G106" s="16" t="s">
        <v>147</v>
      </c>
      <c r="H106" s="16" t="s">
        <v>672</v>
      </c>
      <c r="I106" s="16" t="n">
        <v>1</v>
      </c>
      <c r="J106" s="16"/>
      <c r="K106" s="14"/>
      <c r="L106" s="14"/>
      <c r="M106" s="14"/>
      <c r="N106" s="14"/>
      <c r="O106" s="14"/>
      <c r="P106" s="18" t="n">
        <f aca="false">IF(N106="",0,IF(OR(M106="",O106=""),N106,(M106+4*N106+O106)/6))</f>
        <v>0</v>
      </c>
      <c r="Q106" s="14"/>
      <c r="R106" s="14"/>
      <c r="S106" s="14"/>
      <c r="T106" s="14"/>
      <c r="U106" s="16"/>
      <c r="V106" s="13"/>
      <c r="W106" s="16" t="s">
        <v>667</v>
      </c>
      <c r="X106" s="16"/>
      <c r="Y106" s="16"/>
      <c r="Z106" s="16"/>
      <c r="AA106" s="22" t="n">
        <f aca="false">IF(F106&lt;&gt;"Y",0,((SUMIF(Products!$E$5:$E$300,A106,Products!$F$5:$F$300)+SUMIF(RM_Lots!$A$5:$A$400,A106,RM_Lots!$D$5:$D$400))+IF(W106="Y",SUMIF(Products!$E$5:$E$300,A106,Products!$G$5:$G$300),0))*(1+N(V106)))</f>
        <v>0</v>
      </c>
      <c r="AB106" s="22" t="n">
        <f aca="false">IF(F106&lt;&gt;"Y",0,((SUMIF(Products!$E$5:$E$300,A106,Products!$K$5:$K$300)+SUMIF(RM_Lots!$A$5:$A$400,A106,RM_Lots!$F$5:$F$400))+IF(W106="Y",SUMIF(Products!$E$5:$E$300,A106,Products!$L$5:$L$300),0))*(1+N(V106)))</f>
        <v>0</v>
      </c>
      <c r="AC106" s="17" t="n">
        <f aca="false">IF(J106="",1,MAX(1,COUNTIFS($J$5:$J$863,J106,$F$5:$F$863,"Y")))</f>
        <v>1</v>
      </c>
      <c r="AD106" s="18" t="n">
        <f aca="false">(MAX(1,N(I106))*(P106+N(S106))+MAX(1,N(I106))*N(K106)/(MAX(1,N(U106))*AC106))*Settings!$B$9</f>
        <v>0</v>
      </c>
      <c r="AE106" s="18" t="n">
        <f aca="false">(MAX(1,N(I106))*N(Q106)+MAX(1,N(I106))*N(L106)/(MAX(1,N(U106))*AC106))*Settings!$B$8</f>
        <v>0</v>
      </c>
      <c r="AF106" s="18" t="n">
        <f aca="false">MAX(1,N(I106))*N(T106)</f>
        <v>0</v>
      </c>
      <c r="AG106" s="15" t="n">
        <f aca="false">AA106*N(AD106)</f>
        <v>0</v>
      </c>
      <c r="AH106" s="15" t="n">
        <f aca="false">AA106*N(AE106)</f>
        <v>0</v>
      </c>
      <c r="AI106" s="15" t="n">
        <f aca="false">AA106*N(AF106)</f>
        <v>0</v>
      </c>
      <c r="AJ106" s="15" t="n">
        <f aca="false">AA106*N(R106)</f>
        <v>0</v>
      </c>
      <c r="AK106" s="15" t="n">
        <f aca="false">AB106*N(AD106)</f>
        <v>0</v>
      </c>
      <c r="AL106" s="15" t="n">
        <f aca="false">AB106*N(AE106)</f>
        <v>0</v>
      </c>
      <c r="AM106" s="15" t="n">
        <f aca="false">AB106*N(AF106)</f>
        <v>0</v>
      </c>
      <c r="AN106" s="15" t="n">
        <f aca="false">AB106*N(R106)</f>
        <v>0</v>
      </c>
      <c r="AO106" s="21" t="str">
        <f aca="false">IF(F106&lt;&gt;"Y","n/a",IF(AND(N106&lt;&gt;"",OR(Q106&lt;&gt;"",G106="Other / bench",G106="None"),U106&lt;&gt;""),"OK","Missing"))</f>
        <v>n/a</v>
      </c>
    </row>
    <row r="107" customFormat="false" ht="15" hidden="false" customHeight="false" outlineLevel="0" collapsed="false">
      <c r="A107" s="10" t="s">
        <v>262</v>
      </c>
      <c r="B107" s="10" t="s">
        <v>659</v>
      </c>
      <c r="C107" s="10" t="s">
        <v>689</v>
      </c>
      <c r="D107" s="10" t="s">
        <v>669</v>
      </c>
      <c r="E107" s="21" t="str">
        <f aca="false">IF(A107="","",A107&amp;"|"&amp;D107)</f>
        <v>F17|Other tests (non-HPLC: physical, LOD/KF, disintegration, pH, micro...)</v>
      </c>
      <c r="F107" s="16" t="s">
        <v>662</v>
      </c>
      <c r="G107" s="16" t="s">
        <v>670</v>
      </c>
      <c r="H107" s="16" t="s">
        <v>672</v>
      </c>
      <c r="I107" s="16" t="n">
        <v>1</v>
      </c>
      <c r="J107" s="16"/>
      <c r="K107" s="14"/>
      <c r="L107" s="14"/>
      <c r="M107" s="14"/>
      <c r="N107" s="14"/>
      <c r="O107" s="14"/>
      <c r="P107" s="18" t="n">
        <f aca="false">IF(N107="",0,IF(OR(M107="",O107=""),N107,(M107+4*N107+O107)/6))</f>
        <v>0</v>
      </c>
      <c r="Q107" s="14"/>
      <c r="R107" s="14"/>
      <c r="S107" s="14"/>
      <c r="T107" s="14"/>
      <c r="U107" s="16"/>
      <c r="V107" s="13"/>
      <c r="W107" s="16" t="s">
        <v>662</v>
      </c>
      <c r="X107" s="16"/>
      <c r="Y107" s="16"/>
      <c r="Z107" s="16"/>
      <c r="AA107" s="22" t="n">
        <f aca="false">IF(F107&lt;&gt;"Y",0,((SUMIF(Products!$E$5:$E$300,A107,Products!$F$5:$F$300)+SUMIF(RM_Lots!$A$5:$A$400,A107,RM_Lots!$D$5:$D$400))+IF(W107="Y",SUMIF(Products!$E$5:$E$300,A107,Products!$G$5:$G$300),0))*(1+N(V107)))</f>
        <v>0</v>
      </c>
      <c r="AB107" s="22" t="n">
        <f aca="false">IF(F107&lt;&gt;"Y",0,((SUMIF(Products!$E$5:$E$300,A107,Products!$K$5:$K$300)+SUMIF(RM_Lots!$A$5:$A$400,A107,RM_Lots!$F$5:$F$400))+IF(W107="Y",SUMIF(Products!$E$5:$E$300,A107,Products!$L$5:$L$300),0))*(1+N(V107)))</f>
        <v>0</v>
      </c>
      <c r="AC107" s="17" t="n">
        <f aca="false">IF(J107="",1,MAX(1,COUNTIFS($J$5:$J$863,J107,$F$5:$F$863,"Y")))</f>
        <v>1</v>
      </c>
      <c r="AD107" s="18" t="n">
        <f aca="false">(MAX(1,N(I107))*(P107+N(S107))+MAX(1,N(I107))*N(K107)/(MAX(1,N(U107))*AC107))*Settings!$B$9</f>
        <v>0</v>
      </c>
      <c r="AE107" s="18" t="n">
        <f aca="false">(MAX(1,N(I107))*N(Q107)+MAX(1,N(I107))*N(L107)/(MAX(1,N(U107))*AC107))*Settings!$B$8</f>
        <v>0</v>
      </c>
      <c r="AF107" s="18" t="n">
        <f aca="false">MAX(1,N(I107))*N(T107)</f>
        <v>0</v>
      </c>
      <c r="AG107" s="15" t="n">
        <f aca="false">AA107*N(AD107)</f>
        <v>0</v>
      </c>
      <c r="AH107" s="15" t="n">
        <f aca="false">AA107*N(AE107)</f>
        <v>0</v>
      </c>
      <c r="AI107" s="15" t="n">
        <f aca="false">AA107*N(AF107)</f>
        <v>0</v>
      </c>
      <c r="AJ107" s="15" t="n">
        <f aca="false">AA107*N(R107)</f>
        <v>0</v>
      </c>
      <c r="AK107" s="15" t="n">
        <f aca="false">AB107*N(AD107)</f>
        <v>0</v>
      </c>
      <c r="AL107" s="15" t="n">
        <f aca="false">AB107*N(AE107)</f>
        <v>0</v>
      </c>
      <c r="AM107" s="15" t="n">
        <f aca="false">AB107*N(AF107)</f>
        <v>0</v>
      </c>
      <c r="AN107" s="15" t="n">
        <f aca="false">AB107*N(R107)</f>
        <v>0</v>
      </c>
      <c r="AO107" s="21" t="str">
        <f aca="false">IF(F107&lt;&gt;"Y","n/a",IF(AND(N107&lt;&gt;"",OR(Q107&lt;&gt;"",G107="Other / bench",G107="None"),U107&lt;&gt;""),"OK","Missing"))</f>
        <v>Missing</v>
      </c>
    </row>
    <row r="108" customFormat="false" ht="15" hidden="false" customHeight="false" outlineLevel="0" collapsed="false">
      <c r="A108" s="10" t="s">
        <v>266</v>
      </c>
      <c r="B108" s="10" t="s">
        <v>659</v>
      </c>
      <c r="C108" s="10" t="s">
        <v>690</v>
      </c>
      <c r="D108" s="10" t="s">
        <v>661</v>
      </c>
      <c r="E108" s="21" t="str">
        <f aca="false">IF(A108="","",A108&amp;"|"&amp;D108)</f>
        <v>F18|Assay</v>
      </c>
      <c r="F108" s="16" t="s">
        <v>662</v>
      </c>
      <c r="G108" s="16" t="s">
        <v>147</v>
      </c>
      <c r="H108" s="16" t="s">
        <v>663</v>
      </c>
      <c r="I108" s="16" t="n">
        <v>1</v>
      </c>
      <c r="J108" s="16"/>
      <c r="K108" s="14"/>
      <c r="L108" s="14"/>
      <c r="M108" s="14"/>
      <c r="N108" s="14"/>
      <c r="O108" s="14"/>
      <c r="P108" s="18" t="n">
        <f aca="false">IF(N108="",0,IF(OR(M108="",O108=""),N108,(M108+4*N108+O108)/6))</f>
        <v>0</v>
      </c>
      <c r="Q108" s="14"/>
      <c r="R108" s="14"/>
      <c r="S108" s="14"/>
      <c r="T108" s="14"/>
      <c r="U108" s="16"/>
      <c r="V108" s="13"/>
      <c r="W108" s="16" t="s">
        <v>662</v>
      </c>
      <c r="X108" s="16"/>
      <c r="Y108" s="16"/>
      <c r="Z108" s="16"/>
      <c r="AA108" s="22" t="n">
        <f aca="false">IF(F108&lt;&gt;"Y",0,((SUMIF(Products!$E$5:$E$300,A108,Products!$F$5:$F$300)+SUMIF(RM_Lots!$A$5:$A$400,A108,RM_Lots!$D$5:$D$400))+IF(W108="Y",SUMIF(Products!$E$5:$E$300,A108,Products!$G$5:$G$300),0))*(1+N(V108)))</f>
        <v>0</v>
      </c>
      <c r="AB108" s="22" t="n">
        <f aca="false">IF(F108&lt;&gt;"Y",0,((SUMIF(Products!$E$5:$E$300,A108,Products!$K$5:$K$300)+SUMIF(RM_Lots!$A$5:$A$400,A108,RM_Lots!$F$5:$F$400))+IF(W108="Y",SUMIF(Products!$E$5:$E$300,A108,Products!$L$5:$L$300),0))*(1+N(V108)))</f>
        <v>0</v>
      </c>
      <c r="AC108" s="17" t="n">
        <f aca="false">IF(J108="",1,MAX(1,COUNTIFS($J$5:$J$863,J108,$F$5:$F$863,"Y")))</f>
        <v>1</v>
      </c>
      <c r="AD108" s="18" t="n">
        <f aca="false">(MAX(1,N(I108))*(P108+N(S108))+MAX(1,N(I108))*N(K108)/(MAX(1,N(U108))*AC108))*Settings!$B$9</f>
        <v>0</v>
      </c>
      <c r="AE108" s="18" t="n">
        <f aca="false">(MAX(1,N(I108))*N(Q108)+MAX(1,N(I108))*N(L108)/(MAX(1,N(U108))*AC108))*Settings!$B$8</f>
        <v>0</v>
      </c>
      <c r="AF108" s="18" t="n">
        <f aca="false">MAX(1,N(I108))*N(T108)</f>
        <v>0</v>
      </c>
      <c r="AG108" s="15" t="n">
        <f aca="false">AA108*N(AD108)</f>
        <v>0</v>
      </c>
      <c r="AH108" s="15" t="n">
        <f aca="false">AA108*N(AE108)</f>
        <v>0</v>
      </c>
      <c r="AI108" s="15" t="n">
        <f aca="false">AA108*N(AF108)</f>
        <v>0</v>
      </c>
      <c r="AJ108" s="15" t="n">
        <f aca="false">AA108*N(R108)</f>
        <v>0</v>
      </c>
      <c r="AK108" s="15" t="n">
        <f aca="false">AB108*N(AD108)</f>
        <v>0</v>
      </c>
      <c r="AL108" s="15" t="n">
        <f aca="false">AB108*N(AE108)</f>
        <v>0</v>
      </c>
      <c r="AM108" s="15" t="n">
        <f aca="false">AB108*N(AF108)</f>
        <v>0</v>
      </c>
      <c r="AN108" s="15" t="n">
        <f aca="false">AB108*N(R108)</f>
        <v>0</v>
      </c>
      <c r="AO108" s="21" t="str">
        <f aca="false">IF(F108&lt;&gt;"Y","n/a",IF(AND(N108&lt;&gt;"",OR(Q108&lt;&gt;"",G108="Other / bench",G108="None"),U108&lt;&gt;""),"OK","Missing"))</f>
        <v>Missing</v>
      </c>
    </row>
    <row r="109" customFormat="false" ht="15" hidden="false" customHeight="false" outlineLevel="0" collapsed="false">
      <c r="A109" s="10" t="s">
        <v>266</v>
      </c>
      <c r="B109" s="10" t="s">
        <v>659</v>
      </c>
      <c r="C109" s="10" t="s">
        <v>690</v>
      </c>
      <c r="D109" s="10" t="s">
        <v>664</v>
      </c>
      <c r="E109" s="21" t="str">
        <f aca="false">IF(A109="","",A109&amp;"|"&amp;D109)</f>
        <v>F18|Related substances / impurities</v>
      </c>
      <c r="F109" s="16" t="s">
        <v>662</v>
      </c>
      <c r="G109" s="16" t="s">
        <v>147</v>
      </c>
      <c r="H109" s="16" t="s">
        <v>663</v>
      </c>
      <c r="I109" s="16" t="n">
        <v>1</v>
      </c>
      <c r="J109" s="16"/>
      <c r="K109" s="14"/>
      <c r="L109" s="14"/>
      <c r="M109" s="14"/>
      <c r="N109" s="14"/>
      <c r="O109" s="14"/>
      <c r="P109" s="18" t="n">
        <f aca="false">IF(N109="",0,IF(OR(M109="",O109=""),N109,(M109+4*N109+O109)/6))</f>
        <v>0</v>
      </c>
      <c r="Q109" s="14"/>
      <c r="R109" s="14"/>
      <c r="S109" s="14"/>
      <c r="T109" s="14"/>
      <c r="U109" s="16"/>
      <c r="V109" s="13"/>
      <c r="W109" s="16" t="s">
        <v>662</v>
      </c>
      <c r="X109" s="16"/>
      <c r="Y109" s="16"/>
      <c r="Z109" s="16"/>
      <c r="AA109" s="22" t="n">
        <f aca="false">IF(F109&lt;&gt;"Y",0,((SUMIF(Products!$E$5:$E$300,A109,Products!$F$5:$F$300)+SUMIF(RM_Lots!$A$5:$A$400,A109,RM_Lots!$D$5:$D$400))+IF(W109="Y",SUMIF(Products!$E$5:$E$300,A109,Products!$G$5:$G$300),0))*(1+N(V109)))</f>
        <v>0</v>
      </c>
      <c r="AB109" s="22" t="n">
        <f aca="false">IF(F109&lt;&gt;"Y",0,((SUMIF(Products!$E$5:$E$300,A109,Products!$K$5:$K$300)+SUMIF(RM_Lots!$A$5:$A$400,A109,RM_Lots!$F$5:$F$400))+IF(W109="Y",SUMIF(Products!$E$5:$E$300,A109,Products!$L$5:$L$300),0))*(1+N(V109)))</f>
        <v>0</v>
      </c>
      <c r="AC109" s="17" t="n">
        <f aca="false">IF(J109="",1,MAX(1,COUNTIFS($J$5:$J$863,J109,$F$5:$F$863,"Y")))</f>
        <v>1</v>
      </c>
      <c r="AD109" s="18" t="n">
        <f aca="false">(MAX(1,N(I109))*(P109+N(S109))+MAX(1,N(I109))*N(K109)/(MAX(1,N(U109))*AC109))*Settings!$B$9</f>
        <v>0</v>
      </c>
      <c r="AE109" s="18" t="n">
        <f aca="false">(MAX(1,N(I109))*N(Q109)+MAX(1,N(I109))*N(L109)/(MAX(1,N(U109))*AC109))*Settings!$B$8</f>
        <v>0</v>
      </c>
      <c r="AF109" s="18" t="n">
        <f aca="false">MAX(1,N(I109))*N(T109)</f>
        <v>0</v>
      </c>
      <c r="AG109" s="15" t="n">
        <f aca="false">AA109*N(AD109)</f>
        <v>0</v>
      </c>
      <c r="AH109" s="15" t="n">
        <f aca="false">AA109*N(AE109)</f>
        <v>0</v>
      </c>
      <c r="AI109" s="15" t="n">
        <f aca="false">AA109*N(AF109)</f>
        <v>0</v>
      </c>
      <c r="AJ109" s="15" t="n">
        <f aca="false">AA109*N(R109)</f>
        <v>0</v>
      </c>
      <c r="AK109" s="15" t="n">
        <f aca="false">AB109*N(AD109)</f>
        <v>0</v>
      </c>
      <c r="AL109" s="15" t="n">
        <f aca="false">AB109*N(AE109)</f>
        <v>0</v>
      </c>
      <c r="AM109" s="15" t="n">
        <f aca="false">AB109*N(AF109)</f>
        <v>0</v>
      </c>
      <c r="AN109" s="15" t="n">
        <f aca="false">AB109*N(R109)</f>
        <v>0</v>
      </c>
      <c r="AO109" s="21" t="str">
        <f aca="false">IF(F109&lt;&gt;"Y","n/a",IF(AND(N109&lt;&gt;"",OR(Q109&lt;&gt;"",G109="Other / bench",G109="None"),U109&lt;&gt;""),"OK","Missing"))</f>
        <v>Missing</v>
      </c>
    </row>
    <row r="110" customFormat="false" ht="15" hidden="false" customHeight="false" outlineLevel="0" collapsed="false">
      <c r="A110" s="10" t="s">
        <v>266</v>
      </c>
      <c r="B110" s="10" t="s">
        <v>659</v>
      </c>
      <c r="C110" s="10" t="s">
        <v>690</v>
      </c>
      <c r="D110" s="10" t="s">
        <v>665</v>
      </c>
      <c r="E110" s="21" t="str">
        <f aca="false">IF(A110="","",A110&amp;"|"&amp;D110)</f>
        <v>F18|Dissolution</v>
      </c>
      <c r="F110" s="16" t="s">
        <v>662</v>
      </c>
      <c r="G110" s="16" t="s">
        <v>147</v>
      </c>
      <c r="H110" s="16" t="s">
        <v>663</v>
      </c>
      <c r="I110" s="16" t="n">
        <v>1</v>
      </c>
      <c r="J110" s="16"/>
      <c r="K110" s="14"/>
      <c r="L110" s="14"/>
      <c r="M110" s="14"/>
      <c r="N110" s="14"/>
      <c r="O110" s="14"/>
      <c r="P110" s="18" t="n">
        <f aca="false">IF(N110="",0,IF(OR(M110="",O110=""),N110,(M110+4*N110+O110)/6))</f>
        <v>0</v>
      </c>
      <c r="Q110" s="14"/>
      <c r="R110" s="14"/>
      <c r="S110" s="14"/>
      <c r="T110" s="14"/>
      <c r="U110" s="16"/>
      <c r="V110" s="13"/>
      <c r="W110" s="16" t="s">
        <v>662</v>
      </c>
      <c r="X110" s="16"/>
      <c r="Y110" s="16"/>
      <c r="Z110" s="16"/>
      <c r="AA110" s="22" t="n">
        <f aca="false">IF(F110&lt;&gt;"Y",0,((SUMIF(Products!$E$5:$E$300,A110,Products!$F$5:$F$300)+SUMIF(RM_Lots!$A$5:$A$400,A110,RM_Lots!$D$5:$D$400))+IF(W110="Y",SUMIF(Products!$E$5:$E$300,A110,Products!$G$5:$G$300),0))*(1+N(V110)))</f>
        <v>0</v>
      </c>
      <c r="AB110" s="22" t="n">
        <f aca="false">IF(F110&lt;&gt;"Y",0,((SUMIF(Products!$E$5:$E$300,A110,Products!$K$5:$K$300)+SUMIF(RM_Lots!$A$5:$A$400,A110,RM_Lots!$F$5:$F$400))+IF(W110="Y",SUMIF(Products!$E$5:$E$300,A110,Products!$L$5:$L$300),0))*(1+N(V110)))</f>
        <v>0</v>
      </c>
      <c r="AC110" s="17" t="n">
        <f aca="false">IF(J110="",1,MAX(1,COUNTIFS($J$5:$J$863,J110,$F$5:$F$863,"Y")))</f>
        <v>1</v>
      </c>
      <c r="AD110" s="18" t="n">
        <f aca="false">(MAX(1,N(I110))*(P110+N(S110))+MAX(1,N(I110))*N(K110)/(MAX(1,N(U110))*AC110))*Settings!$B$9</f>
        <v>0</v>
      </c>
      <c r="AE110" s="18" t="n">
        <f aca="false">(MAX(1,N(I110))*N(Q110)+MAX(1,N(I110))*N(L110)/(MAX(1,N(U110))*AC110))*Settings!$B$8</f>
        <v>0</v>
      </c>
      <c r="AF110" s="18" t="n">
        <f aca="false">MAX(1,N(I110))*N(T110)</f>
        <v>0</v>
      </c>
      <c r="AG110" s="15" t="n">
        <f aca="false">AA110*N(AD110)</f>
        <v>0</v>
      </c>
      <c r="AH110" s="15" t="n">
        <f aca="false">AA110*N(AE110)</f>
        <v>0</v>
      </c>
      <c r="AI110" s="15" t="n">
        <f aca="false">AA110*N(AF110)</f>
        <v>0</v>
      </c>
      <c r="AJ110" s="15" t="n">
        <f aca="false">AA110*N(R110)</f>
        <v>0</v>
      </c>
      <c r="AK110" s="15" t="n">
        <f aca="false">AB110*N(AD110)</f>
        <v>0</v>
      </c>
      <c r="AL110" s="15" t="n">
        <f aca="false">AB110*N(AE110)</f>
        <v>0</v>
      </c>
      <c r="AM110" s="15" t="n">
        <f aca="false">AB110*N(AF110)</f>
        <v>0</v>
      </c>
      <c r="AN110" s="15" t="n">
        <f aca="false">AB110*N(R110)</f>
        <v>0</v>
      </c>
      <c r="AO110" s="21" t="str">
        <f aca="false">IF(F110&lt;&gt;"Y","n/a",IF(AND(N110&lt;&gt;"",OR(Q110&lt;&gt;"",G110="Other / bench",G110="None"),U110&lt;&gt;""),"OK","Missing"))</f>
        <v>Missing</v>
      </c>
    </row>
    <row r="111" customFormat="false" ht="15" hidden="false" customHeight="false" outlineLevel="0" collapsed="false">
      <c r="A111" s="10" t="s">
        <v>266</v>
      </c>
      <c r="B111" s="10" t="s">
        <v>659</v>
      </c>
      <c r="C111" s="10" t="s">
        <v>690</v>
      </c>
      <c r="D111" s="10" t="s">
        <v>666</v>
      </c>
      <c r="E111" s="21" t="str">
        <f aca="false">IF(A111="","",A111&amp;"|"&amp;D111)</f>
        <v>F18|Content uniformity</v>
      </c>
      <c r="F111" s="16" t="s">
        <v>662</v>
      </c>
      <c r="G111" s="16" t="s">
        <v>147</v>
      </c>
      <c r="H111" s="16" t="s">
        <v>663</v>
      </c>
      <c r="I111" s="16" t="n">
        <v>1</v>
      </c>
      <c r="J111" s="16"/>
      <c r="K111" s="14"/>
      <c r="L111" s="14"/>
      <c r="M111" s="14"/>
      <c r="N111" s="14"/>
      <c r="O111" s="14"/>
      <c r="P111" s="18" t="n">
        <f aca="false">IF(N111="",0,IF(OR(M111="",O111=""),N111,(M111+4*N111+O111)/6))</f>
        <v>0</v>
      </c>
      <c r="Q111" s="14"/>
      <c r="R111" s="14"/>
      <c r="S111" s="14"/>
      <c r="T111" s="14"/>
      <c r="U111" s="16"/>
      <c r="V111" s="13"/>
      <c r="W111" s="16" t="s">
        <v>667</v>
      </c>
      <c r="X111" s="16"/>
      <c r="Y111" s="16"/>
      <c r="Z111" s="16"/>
      <c r="AA111" s="22" t="n">
        <f aca="false">IF(F111&lt;&gt;"Y",0,((SUMIF(Products!$E$5:$E$300,A111,Products!$F$5:$F$300)+SUMIF(RM_Lots!$A$5:$A$400,A111,RM_Lots!$D$5:$D$400))+IF(W111="Y",SUMIF(Products!$E$5:$E$300,A111,Products!$G$5:$G$300),0))*(1+N(V111)))</f>
        <v>0</v>
      </c>
      <c r="AB111" s="22" t="n">
        <f aca="false">IF(F111&lt;&gt;"Y",0,((SUMIF(Products!$E$5:$E$300,A111,Products!$K$5:$K$300)+SUMIF(RM_Lots!$A$5:$A$400,A111,RM_Lots!$F$5:$F$400))+IF(W111="Y",SUMIF(Products!$E$5:$E$300,A111,Products!$L$5:$L$300),0))*(1+N(V111)))</f>
        <v>0</v>
      </c>
      <c r="AC111" s="17" t="n">
        <f aca="false">IF(J111="",1,MAX(1,COUNTIFS($J$5:$J$863,J111,$F$5:$F$863,"Y")))</f>
        <v>1</v>
      </c>
      <c r="AD111" s="18" t="n">
        <f aca="false">(MAX(1,N(I111))*(P111+N(S111))+MAX(1,N(I111))*N(K111)/(MAX(1,N(U111))*AC111))*Settings!$B$9</f>
        <v>0</v>
      </c>
      <c r="AE111" s="18" t="n">
        <f aca="false">(MAX(1,N(I111))*N(Q111)+MAX(1,N(I111))*N(L111)/(MAX(1,N(U111))*AC111))*Settings!$B$8</f>
        <v>0</v>
      </c>
      <c r="AF111" s="18" t="n">
        <f aca="false">MAX(1,N(I111))*N(T111)</f>
        <v>0</v>
      </c>
      <c r="AG111" s="15" t="n">
        <f aca="false">AA111*N(AD111)</f>
        <v>0</v>
      </c>
      <c r="AH111" s="15" t="n">
        <f aca="false">AA111*N(AE111)</f>
        <v>0</v>
      </c>
      <c r="AI111" s="15" t="n">
        <f aca="false">AA111*N(AF111)</f>
        <v>0</v>
      </c>
      <c r="AJ111" s="15" t="n">
        <f aca="false">AA111*N(R111)</f>
        <v>0</v>
      </c>
      <c r="AK111" s="15" t="n">
        <f aca="false">AB111*N(AD111)</f>
        <v>0</v>
      </c>
      <c r="AL111" s="15" t="n">
        <f aca="false">AB111*N(AE111)</f>
        <v>0</v>
      </c>
      <c r="AM111" s="15" t="n">
        <f aca="false">AB111*N(AF111)</f>
        <v>0</v>
      </c>
      <c r="AN111" s="15" t="n">
        <f aca="false">AB111*N(R111)</f>
        <v>0</v>
      </c>
      <c r="AO111" s="21" t="str">
        <f aca="false">IF(F111&lt;&gt;"Y","n/a",IF(AND(N111&lt;&gt;"",OR(Q111&lt;&gt;"",G111="Other / bench",G111="None"),U111&lt;&gt;""),"OK","Missing"))</f>
        <v>Missing</v>
      </c>
    </row>
    <row r="112" customFormat="false" ht="15" hidden="false" customHeight="false" outlineLevel="0" collapsed="false">
      <c r="A112" s="10" t="s">
        <v>266</v>
      </c>
      <c r="B112" s="10" t="s">
        <v>659</v>
      </c>
      <c r="C112" s="10" t="s">
        <v>690</v>
      </c>
      <c r="D112" s="10" t="s">
        <v>668</v>
      </c>
      <c r="E112" s="21" t="str">
        <f aca="false">IF(A112="","",A112&amp;"|"&amp;D112)</f>
        <v>F18|Identification (if separate from assay)</v>
      </c>
      <c r="F112" s="16" t="s">
        <v>667</v>
      </c>
      <c r="G112" s="16" t="s">
        <v>147</v>
      </c>
      <c r="H112" s="16" t="s">
        <v>663</v>
      </c>
      <c r="I112" s="16" t="n">
        <v>1</v>
      </c>
      <c r="J112" s="16"/>
      <c r="K112" s="14"/>
      <c r="L112" s="14"/>
      <c r="M112" s="14"/>
      <c r="N112" s="14"/>
      <c r="O112" s="14"/>
      <c r="P112" s="18" t="n">
        <f aca="false">IF(N112="",0,IF(OR(M112="",O112=""),N112,(M112+4*N112+O112)/6))</f>
        <v>0</v>
      </c>
      <c r="Q112" s="14"/>
      <c r="R112" s="14"/>
      <c r="S112" s="14"/>
      <c r="T112" s="14"/>
      <c r="U112" s="16"/>
      <c r="V112" s="13"/>
      <c r="W112" s="16" t="s">
        <v>667</v>
      </c>
      <c r="X112" s="16"/>
      <c r="Y112" s="16"/>
      <c r="Z112" s="16"/>
      <c r="AA112" s="22" t="n">
        <f aca="false">IF(F112&lt;&gt;"Y",0,((SUMIF(Products!$E$5:$E$300,A112,Products!$F$5:$F$300)+SUMIF(RM_Lots!$A$5:$A$400,A112,RM_Lots!$D$5:$D$400))+IF(W112="Y",SUMIF(Products!$E$5:$E$300,A112,Products!$G$5:$G$300),0))*(1+N(V112)))</f>
        <v>0</v>
      </c>
      <c r="AB112" s="22" t="n">
        <f aca="false">IF(F112&lt;&gt;"Y",0,((SUMIF(Products!$E$5:$E$300,A112,Products!$K$5:$K$300)+SUMIF(RM_Lots!$A$5:$A$400,A112,RM_Lots!$F$5:$F$400))+IF(W112="Y",SUMIF(Products!$E$5:$E$300,A112,Products!$L$5:$L$300),0))*(1+N(V112)))</f>
        <v>0</v>
      </c>
      <c r="AC112" s="17" t="n">
        <f aca="false">IF(J112="",1,MAX(1,COUNTIFS($J$5:$J$863,J112,$F$5:$F$863,"Y")))</f>
        <v>1</v>
      </c>
      <c r="AD112" s="18" t="n">
        <f aca="false">(MAX(1,N(I112))*(P112+N(S112))+MAX(1,N(I112))*N(K112)/(MAX(1,N(U112))*AC112))*Settings!$B$9</f>
        <v>0</v>
      </c>
      <c r="AE112" s="18" t="n">
        <f aca="false">(MAX(1,N(I112))*N(Q112)+MAX(1,N(I112))*N(L112)/(MAX(1,N(U112))*AC112))*Settings!$B$8</f>
        <v>0</v>
      </c>
      <c r="AF112" s="18" t="n">
        <f aca="false">MAX(1,N(I112))*N(T112)</f>
        <v>0</v>
      </c>
      <c r="AG112" s="15" t="n">
        <f aca="false">AA112*N(AD112)</f>
        <v>0</v>
      </c>
      <c r="AH112" s="15" t="n">
        <f aca="false">AA112*N(AE112)</f>
        <v>0</v>
      </c>
      <c r="AI112" s="15" t="n">
        <f aca="false">AA112*N(AF112)</f>
        <v>0</v>
      </c>
      <c r="AJ112" s="15" t="n">
        <f aca="false">AA112*N(R112)</f>
        <v>0</v>
      </c>
      <c r="AK112" s="15" t="n">
        <f aca="false">AB112*N(AD112)</f>
        <v>0</v>
      </c>
      <c r="AL112" s="15" t="n">
        <f aca="false">AB112*N(AE112)</f>
        <v>0</v>
      </c>
      <c r="AM112" s="15" t="n">
        <f aca="false">AB112*N(AF112)</f>
        <v>0</v>
      </c>
      <c r="AN112" s="15" t="n">
        <f aca="false">AB112*N(R112)</f>
        <v>0</v>
      </c>
      <c r="AO112" s="21" t="str">
        <f aca="false">IF(F112&lt;&gt;"Y","n/a",IF(AND(N112&lt;&gt;"",OR(Q112&lt;&gt;"",G112="Other / bench",G112="None"),U112&lt;&gt;""),"OK","Missing"))</f>
        <v>n/a</v>
      </c>
    </row>
    <row r="113" customFormat="false" ht="15" hidden="false" customHeight="false" outlineLevel="0" collapsed="false">
      <c r="A113" s="10" t="s">
        <v>266</v>
      </c>
      <c r="B113" s="10" t="s">
        <v>659</v>
      </c>
      <c r="C113" s="10" t="s">
        <v>690</v>
      </c>
      <c r="D113" s="10" t="s">
        <v>669</v>
      </c>
      <c r="E113" s="21" t="str">
        <f aca="false">IF(A113="","",A113&amp;"|"&amp;D113)</f>
        <v>F18|Other tests (non-HPLC: physical, LOD/KF, disintegration, pH, micro...)</v>
      </c>
      <c r="F113" s="16" t="s">
        <v>662</v>
      </c>
      <c r="G113" s="16" t="s">
        <v>670</v>
      </c>
      <c r="H113" s="16" t="s">
        <v>663</v>
      </c>
      <c r="I113" s="16" t="n">
        <v>1</v>
      </c>
      <c r="J113" s="16"/>
      <c r="K113" s="14"/>
      <c r="L113" s="14"/>
      <c r="M113" s="14"/>
      <c r="N113" s="14"/>
      <c r="O113" s="14"/>
      <c r="P113" s="18" t="n">
        <f aca="false">IF(N113="",0,IF(OR(M113="",O113=""),N113,(M113+4*N113+O113)/6))</f>
        <v>0</v>
      </c>
      <c r="Q113" s="14"/>
      <c r="R113" s="14"/>
      <c r="S113" s="14"/>
      <c r="T113" s="14"/>
      <c r="U113" s="16"/>
      <c r="V113" s="13"/>
      <c r="W113" s="16" t="s">
        <v>662</v>
      </c>
      <c r="X113" s="16"/>
      <c r="Y113" s="16"/>
      <c r="Z113" s="16"/>
      <c r="AA113" s="22" t="n">
        <f aca="false">IF(F113&lt;&gt;"Y",0,((SUMIF(Products!$E$5:$E$300,A113,Products!$F$5:$F$300)+SUMIF(RM_Lots!$A$5:$A$400,A113,RM_Lots!$D$5:$D$400))+IF(W113="Y",SUMIF(Products!$E$5:$E$300,A113,Products!$G$5:$G$300),0))*(1+N(V113)))</f>
        <v>0</v>
      </c>
      <c r="AB113" s="22" t="n">
        <f aca="false">IF(F113&lt;&gt;"Y",0,((SUMIF(Products!$E$5:$E$300,A113,Products!$K$5:$K$300)+SUMIF(RM_Lots!$A$5:$A$400,A113,RM_Lots!$F$5:$F$400))+IF(W113="Y",SUMIF(Products!$E$5:$E$300,A113,Products!$L$5:$L$300),0))*(1+N(V113)))</f>
        <v>0</v>
      </c>
      <c r="AC113" s="17" t="n">
        <f aca="false">IF(J113="",1,MAX(1,COUNTIFS($J$5:$J$863,J113,$F$5:$F$863,"Y")))</f>
        <v>1</v>
      </c>
      <c r="AD113" s="18" t="n">
        <f aca="false">(MAX(1,N(I113))*(P113+N(S113))+MAX(1,N(I113))*N(K113)/(MAX(1,N(U113))*AC113))*Settings!$B$9</f>
        <v>0</v>
      </c>
      <c r="AE113" s="18" t="n">
        <f aca="false">(MAX(1,N(I113))*N(Q113)+MAX(1,N(I113))*N(L113)/(MAX(1,N(U113))*AC113))*Settings!$B$8</f>
        <v>0</v>
      </c>
      <c r="AF113" s="18" t="n">
        <f aca="false">MAX(1,N(I113))*N(T113)</f>
        <v>0</v>
      </c>
      <c r="AG113" s="15" t="n">
        <f aca="false">AA113*N(AD113)</f>
        <v>0</v>
      </c>
      <c r="AH113" s="15" t="n">
        <f aca="false">AA113*N(AE113)</f>
        <v>0</v>
      </c>
      <c r="AI113" s="15" t="n">
        <f aca="false">AA113*N(AF113)</f>
        <v>0</v>
      </c>
      <c r="AJ113" s="15" t="n">
        <f aca="false">AA113*N(R113)</f>
        <v>0</v>
      </c>
      <c r="AK113" s="15" t="n">
        <f aca="false">AB113*N(AD113)</f>
        <v>0</v>
      </c>
      <c r="AL113" s="15" t="n">
        <f aca="false">AB113*N(AE113)</f>
        <v>0</v>
      </c>
      <c r="AM113" s="15" t="n">
        <f aca="false">AB113*N(AF113)</f>
        <v>0</v>
      </c>
      <c r="AN113" s="15" t="n">
        <f aca="false">AB113*N(R113)</f>
        <v>0</v>
      </c>
      <c r="AO113" s="21" t="str">
        <f aca="false">IF(F113&lt;&gt;"Y","n/a",IF(AND(N113&lt;&gt;"",OR(Q113&lt;&gt;"",G113="Other / bench",G113="None"),U113&lt;&gt;""),"OK","Missing"))</f>
        <v>Missing</v>
      </c>
    </row>
    <row r="114" customFormat="false" ht="15" hidden="false" customHeight="false" outlineLevel="0" collapsed="false">
      <c r="A114" s="10" t="s">
        <v>270</v>
      </c>
      <c r="B114" s="10" t="s">
        <v>659</v>
      </c>
      <c r="C114" s="10" t="s">
        <v>691</v>
      </c>
      <c r="D114" s="10" t="s">
        <v>661</v>
      </c>
      <c r="E114" s="21" t="str">
        <f aca="false">IF(A114="","",A114&amp;"|"&amp;D114)</f>
        <v>F19|Assay</v>
      </c>
      <c r="F114" s="16" t="s">
        <v>662</v>
      </c>
      <c r="G114" s="16" t="s">
        <v>147</v>
      </c>
      <c r="H114" s="16" t="s">
        <v>672</v>
      </c>
      <c r="I114" s="16" t="n">
        <v>1</v>
      </c>
      <c r="J114" s="16"/>
      <c r="K114" s="14"/>
      <c r="L114" s="14"/>
      <c r="M114" s="14"/>
      <c r="N114" s="14"/>
      <c r="O114" s="14"/>
      <c r="P114" s="18" t="n">
        <f aca="false">IF(N114="",0,IF(OR(M114="",O114=""),N114,(M114+4*N114+O114)/6))</f>
        <v>0</v>
      </c>
      <c r="Q114" s="14"/>
      <c r="R114" s="14"/>
      <c r="S114" s="14"/>
      <c r="T114" s="14"/>
      <c r="U114" s="16"/>
      <c r="V114" s="13"/>
      <c r="W114" s="16" t="s">
        <v>662</v>
      </c>
      <c r="X114" s="16"/>
      <c r="Y114" s="16"/>
      <c r="Z114" s="16"/>
      <c r="AA114" s="22" t="n">
        <f aca="false">IF(F114&lt;&gt;"Y",0,((SUMIF(Products!$E$5:$E$300,A114,Products!$F$5:$F$300)+SUMIF(RM_Lots!$A$5:$A$400,A114,RM_Lots!$D$5:$D$400))+IF(W114="Y",SUMIF(Products!$E$5:$E$300,A114,Products!$G$5:$G$300),0))*(1+N(V114)))</f>
        <v>0</v>
      </c>
      <c r="AB114" s="22" t="n">
        <f aca="false">IF(F114&lt;&gt;"Y",0,((SUMIF(Products!$E$5:$E$300,A114,Products!$K$5:$K$300)+SUMIF(RM_Lots!$A$5:$A$400,A114,RM_Lots!$F$5:$F$400))+IF(W114="Y",SUMIF(Products!$E$5:$E$300,A114,Products!$L$5:$L$300),0))*(1+N(V114)))</f>
        <v>0</v>
      </c>
      <c r="AC114" s="17" t="n">
        <f aca="false">IF(J114="",1,MAX(1,COUNTIFS($J$5:$J$863,J114,$F$5:$F$863,"Y")))</f>
        <v>1</v>
      </c>
      <c r="AD114" s="18" t="n">
        <f aca="false">(MAX(1,N(I114))*(P114+N(S114))+MAX(1,N(I114))*N(K114)/(MAX(1,N(U114))*AC114))*Settings!$B$9</f>
        <v>0</v>
      </c>
      <c r="AE114" s="18" t="n">
        <f aca="false">(MAX(1,N(I114))*N(Q114)+MAX(1,N(I114))*N(L114)/(MAX(1,N(U114))*AC114))*Settings!$B$8</f>
        <v>0</v>
      </c>
      <c r="AF114" s="18" t="n">
        <f aca="false">MAX(1,N(I114))*N(T114)</f>
        <v>0</v>
      </c>
      <c r="AG114" s="15" t="n">
        <f aca="false">AA114*N(AD114)</f>
        <v>0</v>
      </c>
      <c r="AH114" s="15" t="n">
        <f aca="false">AA114*N(AE114)</f>
        <v>0</v>
      </c>
      <c r="AI114" s="15" t="n">
        <f aca="false">AA114*N(AF114)</f>
        <v>0</v>
      </c>
      <c r="AJ114" s="15" t="n">
        <f aca="false">AA114*N(R114)</f>
        <v>0</v>
      </c>
      <c r="AK114" s="15" t="n">
        <f aca="false">AB114*N(AD114)</f>
        <v>0</v>
      </c>
      <c r="AL114" s="15" t="n">
        <f aca="false">AB114*N(AE114)</f>
        <v>0</v>
      </c>
      <c r="AM114" s="15" t="n">
        <f aca="false">AB114*N(AF114)</f>
        <v>0</v>
      </c>
      <c r="AN114" s="15" t="n">
        <f aca="false">AB114*N(R114)</f>
        <v>0</v>
      </c>
      <c r="AO114" s="21" t="str">
        <f aca="false">IF(F114&lt;&gt;"Y","n/a",IF(AND(N114&lt;&gt;"",OR(Q114&lt;&gt;"",G114="Other / bench",G114="None"),U114&lt;&gt;""),"OK","Missing"))</f>
        <v>Missing</v>
      </c>
    </row>
    <row r="115" customFormat="false" ht="15" hidden="false" customHeight="false" outlineLevel="0" collapsed="false">
      <c r="A115" s="10" t="s">
        <v>270</v>
      </c>
      <c r="B115" s="10" t="s">
        <v>659</v>
      </c>
      <c r="C115" s="10" t="s">
        <v>691</v>
      </c>
      <c r="D115" s="10" t="s">
        <v>664</v>
      </c>
      <c r="E115" s="21" t="str">
        <f aca="false">IF(A115="","",A115&amp;"|"&amp;D115)</f>
        <v>F19|Related substances / impurities</v>
      </c>
      <c r="F115" s="16" t="s">
        <v>662</v>
      </c>
      <c r="G115" s="16" t="s">
        <v>147</v>
      </c>
      <c r="H115" s="16" t="s">
        <v>672</v>
      </c>
      <c r="I115" s="16" t="n">
        <v>1</v>
      </c>
      <c r="J115" s="16"/>
      <c r="K115" s="14"/>
      <c r="L115" s="14"/>
      <c r="M115" s="14"/>
      <c r="N115" s="14"/>
      <c r="O115" s="14"/>
      <c r="P115" s="18" t="n">
        <f aca="false">IF(N115="",0,IF(OR(M115="",O115=""),N115,(M115+4*N115+O115)/6))</f>
        <v>0</v>
      </c>
      <c r="Q115" s="14"/>
      <c r="R115" s="14"/>
      <c r="S115" s="14"/>
      <c r="T115" s="14"/>
      <c r="U115" s="16"/>
      <c r="V115" s="13"/>
      <c r="W115" s="16" t="s">
        <v>662</v>
      </c>
      <c r="X115" s="16"/>
      <c r="Y115" s="16"/>
      <c r="Z115" s="16"/>
      <c r="AA115" s="22" t="n">
        <f aca="false">IF(F115&lt;&gt;"Y",0,((SUMIF(Products!$E$5:$E$300,A115,Products!$F$5:$F$300)+SUMIF(RM_Lots!$A$5:$A$400,A115,RM_Lots!$D$5:$D$400))+IF(W115="Y",SUMIF(Products!$E$5:$E$300,A115,Products!$G$5:$G$300),0))*(1+N(V115)))</f>
        <v>0</v>
      </c>
      <c r="AB115" s="22" t="n">
        <f aca="false">IF(F115&lt;&gt;"Y",0,((SUMIF(Products!$E$5:$E$300,A115,Products!$K$5:$K$300)+SUMIF(RM_Lots!$A$5:$A$400,A115,RM_Lots!$F$5:$F$400))+IF(W115="Y",SUMIF(Products!$E$5:$E$300,A115,Products!$L$5:$L$300),0))*(1+N(V115)))</f>
        <v>0</v>
      </c>
      <c r="AC115" s="17" t="n">
        <f aca="false">IF(J115="",1,MAX(1,COUNTIFS($J$5:$J$863,J115,$F$5:$F$863,"Y")))</f>
        <v>1</v>
      </c>
      <c r="AD115" s="18" t="n">
        <f aca="false">(MAX(1,N(I115))*(P115+N(S115))+MAX(1,N(I115))*N(K115)/(MAX(1,N(U115))*AC115))*Settings!$B$9</f>
        <v>0</v>
      </c>
      <c r="AE115" s="18" t="n">
        <f aca="false">(MAX(1,N(I115))*N(Q115)+MAX(1,N(I115))*N(L115)/(MAX(1,N(U115))*AC115))*Settings!$B$8</f>
        <v>0</v>
      </c>
      <c r="AF115" s="18" t="n">
        <f aca="false">MAX(1,N(I115))*N(T115)</f>
        <v>0</v>
      </c>
      <c r="AG115" s="15" t="n">
        <f aca="false">AA115*N(AD115)</f>
        <v>0</v>
      </c>
      <c r="AH115" s="15" t="n">
        <f aca="false">AA115*N(AE115)</f>
        <v>0</v>
      </c>
      <c r="AI115" s="15" t="n">
        <f aca="false">AA115*N(AF115)</f>
        <v>0</v>
      </c>
      <c r="AJ115" s="15" t="n">
        <f aca="false">AA115*N(R115)</f>
        <v>0</v>
      </c>
      <c r="AK115" s="15" t="n">
        <f aca="false">AB115*N(AD115)</f>
        <v>0</v>
      </c>
      <c r="AL115" s="15" t="n">
        <f aca="false">AB115*N(AE115)</f>
        <v>0</v>
      </c>
      <c r="AM115" s="15" t="n">
        <f aca="false">AB115*N(AF115)</f>
        <v>0</v>
      </c>
      <c r="AN115" s="15" t="n">
        <f aca="false">AB115*N(R115)</f>
        <v>0</v>
      </c>
      <c r="AO115" s="21" t="str">
        <f aca="false">IF(F115&lt;&gt;"Y","n/a",IF(AND(N115&lt;&gt;"",OR(Q115&lt;&gt;"",G115="Other / bench",G115="None"),U115&lt;&gt;""),"OK","Missing"))</f>
        <v>Missing</v>
      </c>
    </row>
    <row r="116" customFormat="false" ht="15" hidden="false" customHeight="false" outlineLevel="0" collapsed="false">
      <c r="A116" s="10" t="s">
        <v>270</v>
      </c>
      <c r="B116" s="10" t="s">
        <v>659</v>
      </c>
      <c r="C116" s="10" t="s">
        <v>691</v>
      </c>
      <c r="D116" s="10" t="s">
        <v>665</v>
      </c>
      <c r="E116" s="21" t="str">
        <f aca="false">IF(A116="","",A116&amp;"|"&amp;D116)</f>
        <v>F19|Dissolution</v>
      </c>
      <c r="F116" s="16" t="s">
        <v>662</v>
      </c>
      <c r="G116" s="16" t="s">
        <v>147</v>
      </c>
      <c r="H116" s="16" t="s">
        <v>672</v>
      </c>
      <c r="I116" s="16" t="n">
        <v>1</v>
      </c>
      <c r="J116" s="16"/>
      <c r="K116" s="14"/>
      <c r="L116" s="14"/>
      <c r="M116" s="14"/>
      <c r="N116" s="14"/>
      <c r="O116" s="14"/>
      <c r="P116" s="18" t="n">
        <f aca="false">IF(N116="",0,IF(OR(M116="",O116=""),N116,(M116+4*N116+O116)/6))</f>
        <v>0</v>
      </c>
      <c r="Q116" s="14"/>
      <c r="R116" s="14"/>
      <c r="S116" s="14"/>
      <c r="T116" s="14"/>
      <c r="U116" s="16"/>
      <c r="V116" s="13"/>
      <c r="W116" s="16" t="s">
        <v>662</v>
      </c>
      <c r="X116" s="16"/>
      <c r="Y116" s="16"/>
      <c r="Z116" s="16"/>
      <c r="AA116" s="22" t="n">
        <f aca="false">IF(F116&lt;&gt;"Y",0,((SUMIF(Products!$E$5:$E$300,A116,Products!$F$5:$F$300)+SUMIF(RM_Lots!$A$5:$A$400,A116,RM_Lots!$D$5:$D$400))+IF(W116="Y",SUMIF(Products!$E$5:$E$300,A116,Products!$G$5:$G$300),0))*(1+N(V116)))</f>
        <v>0</v>
      </c>
      <c r="AB116" s="22" t="n">
        <f aca="false">IF(F116&lt;&gt;"Y",0,((SUMIF(Products!$E$5:$E$300,A116,Products!$K$5:$K$300)+SUMIF(RM_Lots!$A$5:$A$400,A116,RM_Lots!$F$5:$F$400))+IF(W116="Y",SUMIF(Products!$E$5:$E$300,A116,Products!$L$5:$L$300),0))*(1+N(V116)))</f>
        <v>0</v>
      </c>
      <c r="AC116" s="17" t="n">
        <f aca="false">IF(J116="",1,MAX(1,COUNTIFS($J$5:$J$863,J116,$F$5:$F$863,"Y")))</f>
        <v>1</v>
      </c>
      <c r="AD116" s="18" t="n">
        <f aca="false">(MAX(1,N(I116))*(P116+N(S116))+MAX(1,N(I116))*N(K116)/(MAX(1,N(U116))*AC116))*Settings!$B$9</f>
        <v>0</v>
      </c>
      <c r="AE116" s="18" t="n">
        <f aca="false">(MAX(1,N(I116))*N(Q116)+MAX(1,N(I116))*N(L116)/(MAX(1,N(U116))*AC116))*Settings!$B$8</f>
        <v>0</v>
      </c>
      <c r="AF116" s="18" t="n">
        <f aca="false">MAX(1,N(I116))*N(T116)</f>
        <v>0</v>
      </c>
      <c r="AG116" s="15" t="n">
        <f aca="false">AA116*N(AD116)</f>
        <v>0</v>
      </c>
      <c r="AH116" s="15" t="n">
        <f aca="false">AA116*N(AE116)</f>
        <v>0</v>
      </c>
      <c r="AI116" s="15" t="n">
        <f aca="false">AA116*N(AF116)</f>
        <v>0</v>
      </c>
      <c r="AJ116" s="15" t="n">
        <f aca="false">AA116*N(R116)</f>
        <v>0</v>
      </c>
      <c r="AK116" s="15" t="n">
        <f aca="false">AB116*N(AD116)</f>
        <v>0</v>
      </c>
      <c r="AL116" s="15" t="n">
        <f aca="false">AB116*N(AE116)</f>
        <v>0</v>
      </c>
      <c r="AM116" s="15" t="n">
        <f aca="false">AB116*N(AF116)</f>
        <v>0</v>
      </c>
      <c r="AN116" s="15" t="n">
        <f aca="false">AB116*N(R116)</f>
        <v>0</v>
      </c>
      <c r="AO116" s="21" t="str">
        <f aca="false">IF(F116&lt;&gt;"Y","n/a",IF(AND(N116&lt;&gt;"",OR(Q116&lt;&gt;"",G116="Other / bench",G116="None"),U116&lt;&gt;""),"OK","Missing"))</f>
        <v>Missing</v>
      </c>
    </row>
    <row r="117" customFormat="false" ht="15" hidden="false" customHeight="false" outlineLevel="0" collapsed="false">
      <c r="A117" s="10" t="s">
        <v>270</v>
      </c>
      <c r="B117" s="10" t="s">
        <v>659</v>
      </c>
      <c r="C117" s="10" t="s">
        <v>691</v>
      </c>
      <c r="D117" s="10" t="s">
        <v>666</v>
      </c>
      <c r="E117" s="21" t="str">
        <f aca="false">IF(A117="","",A117&amp;"|"&amp;D117)</f>
        <v>F19|Content uniformity</v>
      </c>
      <c r="F117" s="16" t="s">
        <v>662</v>
      </c>
      <c r="G117" s="16" t="s">
        <v>147</v>
      </c>
      <c r="H117" s="16" t="s">
        <v>672</v>
      </c>
      <c r="I117" s="16" t="n">
        <v>1</v>
      </c>
      <c r="J117" s="16"/>
      <c r="K117" s="14"/>
      <c r="L117" s="14"/>
      <c r="M117" s="14"/>
      <c r="N117" s="14"/>
      <c r="O117" s="14"/>
      <c r="P117" s="18" t="n">
        <f aca="false">IF(N117="",0,IF(OR(M117="",O117=""),N117,(M117+4*N117+O117)/6))</f>
        <v>0</v>
      </c>
      <c r="Q117" s="14"/>
      <c r="R117" s="14"/>
      <c r="S117" s="14"/>
      <c r="T117" s="14"/>
      <c r="U117" s="16"/>
      <c r="V117" s="13"/>
      <c r="W117" s="16" t="s">
        <v>667</v>
      </c>
      <c r="X117" s="16"/>
      <c r="Y117" s="16"/>
      <c r="Z117" s="16"/>
      <c r="AA117" s="22" t="n">
        <f aca="false">IF(F117&lt;&gt;"Y",0,((SUMIF(Products!$E$5:$E$300,A117,Products!$F$5:$F$300)+SUMIF(RM_Lots!$A$5:$A$400,A117,RM_Lots!$D$5:$D$400))+IF(W117="Y",SUMIF(Products!$E$5:$E$300,A117,Products!$G$5:$G$300),0))*(1+N(V117)))</f>
        <v>0</v>
      </c>
      <c r="AB117" s="22" t="n">
        <f aca="false">IF(F117&lt;&gt;"Y",0,((SUMIF(Products!$E$5:$E$300,A117,Products!$K$5:$K$300)+SUMIF(RM_Lots!$A$5:$A$400,A117,RM_Lots!$F$5:$F$400))+IF(W117="Y",SUMIF(Products!$E$5:$E$300,A117,Products!$L$5:$L$300),0))*(1+N(V117)))</f>
        <v>0</v>
      </c>
      <c r="AC117" s="17" t="n">
        <f aca="false">IF(J117="",1,MAX(1,COUNTIFS($J$5:$J$863,J117,$F$5:$F$863,"Y")))</f>
        <v>1</v>
      </c>
      <c r="AD117" s="18" t="n">
        <f aca="false">(MAX(1,N(I117))*(P117+N(S117))+MAX(1,N(I117))*N(K117)/(MAX(1,N(U117))*AC117))*Settings!$B$9</f>
        <v>0</v>
      </c>
      <c r="AE117" s="18" t="n">
        <f aca="false">(MAX(1,N(I117))*N(Q117)+MAX(1,N(I117))*N(L117)/(MAX(1,N(U117))*AC117))*Settings!$B$8</f>
        <v>0</v>
      </c>
      <c r="AF117" s="18" t="n">
        <f aca="false">MAX(1,N(I117))*N(T117)</f>
        <v>0</v>
      </c>
      <c r="AG117" s="15" t="n">
        <f aca="false">AA117*N(AD117)</f>
        <v>0</v>
      </c>
      <c r="AH117" s="15" t="n">
        <f aca="false">AA117*N(AE117)</f>
        <v>0</v>
      </c>
      <c r="AI117" s="15" t="n">
        <f aca="false">AA117*N(AF117)</f>
        <v>0</v>
      </c>
      <c r="AJ117" s="15" t="n">
        <f aca="false">AA117*N(R117)</f>
        <v>0</v>
      </c>
      <c r="AK117" s="15" t="n">
        <f aca="false">AB117*N(AD117)</f>
        <v>0</v>
      </c>
      <c r="AL117" s="15" t="n">
        <f aca="false">AB117*N(AE117)</f>
        <v>0</v>
      </c>
      <c r="AM117" s="15" t="n">
        <f aca="false">AB117*N(AF117)</f>
        <v>0</v>
      </c>
      <c r="AN117" s="15" t="n">
        <f aca="false">AB117*N(R117)</f>
        <v>0</v>
      </c>
      <c r="AO117" s="21" t="str">
        <f aca="false">IF(F117&lt;&gt;"Y","n/a",IF(AND(N117&lt;&gt;"",OR(Q117&lt;&gt;"",G117="Other / bench",G117="None"),U117&lt;&gt;""),"OK","Missing"))</f>
        <v>Missing</v>
      </c>
    </row>
    <row r="118" customFormat="false" ht="15" hidden="false" customHeight="false" outlineLevel="0" collapsed="false">
      <c r="A118" s="10" t="s">
        <v>270</v>
      </c>
      <c r="B118" s="10" t="s">
        <v>659</v>
      </c>
      <c r="C118" s="10" t="s">
        <v>691</v>
      </c>
      <c r="D118" s="10" t="s">
        <v>668</v>
      </c>
      <c r="E118" s="21" t="str">
        <f aca="false">IF(A118="","",A118&amp;"|"&amp;D118)</f>
        <v>F19|Identification (if separate from assay)</v>
      </c>
      <c r="F118" s="16" t="s">
        <v>667</v>
      </c>
      <c r="G118" s="16" t="s">
        <v>147</v>
      </c>
      <c r="H118" s="16" t="s">
        <v>672</v>
      </c>
      <c r="I118" s="16" t="n">
        <v>1</v>
      </c>
      <c r="J118" s="16"/>
      <c r="K118" s="14"/>
      <c r="L118" s="14"/>
      <c r="M118" s="14"/>
      <c r="N118" s="14"/>
      <c r="O118" s="14"/>
      <c r="P118" s="18" t="n">
        <f aca="false">IF(N118="",0,IF(OR(M118="",O118=""),N118,(M118+4*N118+O118)/6))</f>
        <v>0</v>
      </c>
      <c r="Q118" s="14"/>
      <c r="R118" s="14"/>
      <c r="S118" s="14"/>
      <c r="T118" s="14"/>
      <c r="U118" s="16"/>
      <c r="V118" s="13"/>
      <c r="W118" s="16" t="s">
        <v>667</v>
      </c>
      <c r="X118" s="16"/>
      <c r="Y118" s="16"/>
      <c r="Z118" s="16"/>
      <c r="AA118" s="22" t="n">
        <f aca="false">IF(F118&lt;&gt;"Y",0,((SUMIF(Products!$E$5:$E$300,A118,Products!$F$5:$F$300)+SUMIF(RM_Lots!$A$5:$A$400,A118,RM_Lots!$D$5:$D$400))+IF(W118="Y",SUMIF(Products!$E$5:$E$300,A118,Products!$G$5:$G$300),0))*(1+N(V118)))</f>
        <v>0</v>
      </c>
      <c r="AB118" s="22" t="n">
        <f aca="false">IF(F118&lt;&gt;"Y",0,((SUMIF(Products!$E$5:$E$300,A118,Products!$K$5:$K$300)+SUMIF(RM_Lots!$A$5:$A$400,A118,RM_Lots!$F$5:$F$400))+IF(W118="Y",SUMIF(Products!$E$5:$E$300,A118,Products!$L$5:$L$300),0))*(1+N(V118)))</f>
        <v>0</v>
      </c>
      <c r="AC118" s="17" t="n">
        <f aca="false">IF(J118="",1,MAX(1,COUNTIFS($J$5:$J$863,J118,$F$5:$F$863,"Y")))</f>
        <v>1</v>
      </c>
      <c r="AD118" s="18" t="n">
        <f aca="false">(MAX(1,N(I118))*(P118+N(S118))+MAX(1,N(I118))*N(K118)/(MAX(1,N(U118))*AC118))*Settings!$B$9</f>
        <v>0</v>
      </c>
      <c r="AE118" s="18" t="n">
        <f aca="false">(MAX(1,N(I118))*N(Q118)+MAX(1,N(I118))*N(L118)/(MAX(1,N(U118))*AC118))*Settings!$B$8</f>
        <v>0</v>
      </c>
      <c r="AF118" s="18" t="n">
        <f aca="false">MAX(1,N(I118))*N(T118)</f>
        <v>0</v>
      </c>
      <c r="AG118" s="15" t="n">
        <f aca="false">AA118*N(AD118)</f>
        <v>0</v>
      </c>
      <c r="AH118" s="15" t="n">
        <f aca="false">AA118*N(AE118)</f>
        <v>0</v>
      </c>
      <c r="AI118" s="15" t="n">
        <f aca="false">AA118*N(AF118)</f>
        <v>0</v>
      </c>
      <c r="AJ118" s="15" t="n">
        <f aca="false">AA118*N(R118)</f>
        <v>0</v>
      </c>
      <c r="AK118" s="15" t="n">
        <f aca="false">AB118*N(AD118)</f>
        <v>0</v>
      </c>
      <c r="AL118" s="15" t="n">
        <f aca="false">AB118*N(AE118)</f>
        <v>0</v>
      </c>
      <c r="AM118" s="15" t="n">
        <f aca="false">AB118*N(AF118)</f>
        <v>0</v>
      </c>
      <c r="AN118" s="15" t="n">
        <f aca="false">AB118*N(R118)</f>
        <v>0</v>
      </c>
      <c r="AO118" s="21" t="str">
        <f aca="false">IF(F118&lt;&gt;"Y","n/a",IF(AND(N118&lt;&gt;"",OR(Q118&lt;&gt;"",G118="Other / bench",G118="None"),U118&lt;&gt;""),"OK","Missing"))</f>
        <v>n/a</v>
      </c>
    </row>
    <row r="119" customFormat="false" ht="15" hidden="false" customHeight="false" outlineLevel="0" collapsed="false">
      <c r="A119" s="10" t="s">
        <v>270</v>
      </c>
      <c r="B119" s="10" t="s">
        <v>659</v>
      </c>
      <c r="C119" s="10" t="s">
        <v>691</v>
      </c>
      <c r="D119" s="10" t="s">
        <v>669</v>
      </c>
      <c r="E119" s="21" t="str">
        <f aca="false">IF(A119="","",A119&amp;"|"&amp;D119)</f>
        <v>F19|Other tests (non-HPLC: physical, LOD/KF, disintegration, pH, micro...)</v>
      </c>
      <c r="F119" s="16" t="s">
        <v>662</v>
      </c>
      <c r="G119" s="16" t="s">
        <v>670</v>
      </c>
      <c r="H119" s="16" t="s">
        <v>672</v>
      </c>
      <c r="I119" s="16" t="n">
        <v>1</v>
      </c>
      <c r="J119" s="16"/>
      <c r="K119" s="14"/>
      <c r="L119" s="14"/>
      <c r="M119" s="14"/>
      <c r="N119" s="14"/>
      <c r="O119" s="14"/>
      <c r="P119" s="18" t="n">
        <f aca="false">IF(N119="",0,IF(OR(M119="",O119=""),N119,(M119+4*N119+O119)/6))</f>
        <v>0</v>
      </c>
      <c r="Q119" s="14"/>
      <c r="R119" s="14"/>
      <c r="S119" s="14"/>
      <c r="T119" s="14"/>
      <c r="U119" s="16"/>
      <c r="V119" s="13"/>
      <c r="W119" s="16" t="s">
        <v>662</v>
      </c>
      <c r="X119" s="16"/>
      <c r="Y119" s="16"/>
      <c r="Z119" s="16"/>
      <c r="AA119" s="22" t="n">
        <f aca="false">IF(F119&lt;&gt;"Y",0,((SUMIF(Products!$E$5:$E$300,A119,Products!$F$5:$F$300)+SUMIF(RM_Lots!$A$5:$A$400,A119,RM_Lots!$D$5:$D$400))+IF(W119="Y",SUMIF(Products!$E$5:$E$300,A119,Products!$G$5:$G$300),0))*(1+N(V119)))</f>
        <v>0</v>
      </c>
      <c r="AB119" s="22" t="n">
        <f aca="false">IF(F119&lt;&gt;"Y",0,((SUMIF(Products!$E$5:$E$300,A119,Products!$K$5:$K$300)+SUMIF(RM_Lots!$A$5:$A$400,A119,RM_Lots!$F$5:$F$400))+IF(W119="Y",SUMIF(Products!$E$5:$E$300,A119,Products!$L$5:$L$300),0))*(1+N(V119)))</f>
        <v>0</v>
      </c>
      <c r="AC119" s="17" t="n">
        <f aca="false">IF(J119="",1,MAX(1,COUNTIFS($J$5:$J$863,J119,$F$5:$F$863,"Y")))</f>
        <v>1</v>
      </c>
      <c r="AD119" s="18" t="n">
        <f aca="false">(MAX(1,N(I119))*(P119+N(S119))+MAX(1,N(I119))*N(K119)/(MAX(1,N(U119))*AC119))*Settings!$B$9</f>
        <v>0</v>
      </c>
      <c r="AE119" s="18" t="n">
        <f aca="false">(MAX(1,N(I119))*N(Q119)+MAX(1,N(I119))*N(L119)/(MAX(1,N(U119))*AC119))*Settings!$B$8</f>
        <v>0</v>
      </c>
      <c r="AF119" s="18" t="n">
        <f aca="false">MAX(1,N(I119))*N(T119)</f>
        <v>0</v>
      </c>
      <c r="AG119" s="15" t="n">
        <f aca="false">AA119*N(AD119)</f>
        <v>0</v>
      </c>
      <c r="AH119" s="15" t="n">
        <f aca="false">AA119*N(AE119)</f>
        <v>0</v>
      </c>
      <c r="AI119" s="15" t="n">
        <f aca="false">AA119*N(AF119)</f>
        <v>0</v>
      </c>
      <c r="AJ119" s="15" t="n">
        <f aca="false">AA119*N(R119)</f>
        <v>0</v>
      </c>
      <c r="AK119" s="15" t="n">
        <f aca="false">AB119*N(AD119)</f>
        <v>0</v>
      </c>
      <c r="AL119" s="15" t="n">
        <f aca="false">AB119*N(AE119)</f>
        <v>0</v>
      </c>
      <c r="AM119" s="15" t="n">
        <f aca="false">AB119*N(AF119)</f>
        <v>0</v>
      </c>
      <c r="AN119" s="15" t="n">
        <f aca="false">AB119*N(R119)</f>
        <v>0</v>
      </c>
      <c r="AO119" s="21" t="str">
        <f aca="false">IF(F119&lt;&gt;"Y","n/a",IF(AND(N119&lt;&gt;"",OR(Q119&lt;&gt;"",G119="Other / bench",G119="None"),U119&lt;&gt;""),"OK","Missing"))</f>
        <v>Missing</v>
      </c>
    </row>
    <row r="120" customFormat="false" ht="15" hidden="false" customHeight="false" outlineLevel="0" collapsed="false">
      <c r="A120" s="10" t="s">
        <v>274</v>
      </c>
      <c r="B120" s="10" t="s">
        <v>659</v>
      </c>
      <c r="C120" s="10" t="s">
        <v>692</v>
      </c>
      <c r="D120" s="10" t="s">
        <v>661</v>
      </c>
      <c r="E120" s="21" t="str">
        <f aca="false">IF(A120="","",A120&amp;"|"&amp;D120)</f>
        <v>F20|Assay</v>
      </c>
      <c r="F120" s="16" t="s">
        <v>662</v>
      </c>
      <c r="G120" s="16" t="s">
        <v>147</v>
      </c>
      <c r="H120" s="16" t="s">
        <v>685</v>
      </c>
      <c r="I120" s="16" t="n">
        <v>1</v>
      </c>
      <c r="J120" s="16"/>
      <c r="K120" s="14"/>
      <c r="L120" s="14"/>
      <c r="M120" s="14"/>
      <c r="N120" s="14"/>
      <c r="O120" s="14"/>
      <c r="P120" s="18" t="n">
        <f aca="false">IF(N120="",0,IF(OR(M120="",O120=""),N120,(M120+4*N120+O120)/6))</f>
        <v>0</v>
      </c>
      <c r="Q120" s="14"/>
      <c r="R120" s="14"/>
      <c r="S120" s="14"/>
      <c r="T120" s="14"/>
      <c r="U120" s="16"/>
      <c r="V120" s="13"/>
      <c r="W120" s="16" t="s">
        <v>662</v>
      </c>
      <c r="X120" s="16"/>
      <c r="Y120" s="16"/>
      <c r="Z120" s="16" t="s">
        <v>693</v>
      </c>
      <c r="AA120" s="22" t="n">
        <f aca="false">IF(F120&lt;&gt;"Y",0,((SUMIF(Products!$E$5:$E$300,A120,Products!$F$5:$F$300)+SUMIF(RM_Lots!$A$5:$A$400,A120,RM_Lots!$D$5:$D$400))+IF(W120="Y",SUMIF(Products!$E$5:$E$300,A120,Products!$G$5:$G$300),0))*(1+N(V120)))</f>
        <v>0</v>
      </c>
      <c r="AB120" s="22" t="n">
        <f aca="false">IF(F120&lt;&gt;"Y",0,((SUMIF(Products!$E$5:$E$300,A120,Products!$K$5:$K$300)+SUMIF(RM_Lots!$A$5:$A$400,A120,RM_Lots!$F$5:$F$400))+IF(W120="Y",SUMIF(Products!$E$5:$E$300,A120,Products!$L$5:$L$300),0))*(1+N(V120)))</f>
        <v>0</v>
      </c>
      <c r="AC120" s="17" t="n">
        <f aca="false">IF(J120="",1,MAX(1,COUNTIFS($J$5:$J$863,J120,$F$5:$F$863,"Y")))</f>
        <v>1</v>
      </c>
      <c r="AD120" s="18" t="n">
        <f aca="false">(MAX(1,N(I120))*(P120+N(S120))+MAX(1,N(I120))*N(K120)/(MAX(1,N(U120))*AC120))*Settings!$B$9</f>
        <v>0</v>
      </c>
      <c r="AE120" s="18" t="n">
        <f aca="false">(MAX(1,N(I120))*N(Q120)+MAX(1,N(I120))*N(L120)/(MAX(1,N(U120))*AC120))*Settings!$B$8</f>
        <v>0</v>
      </c>
      <c r="AF120" s="18" t="n">
        <f aca="false">MAX(1,N(I120))*N(T120)</f>
        <v>0</v>
      </c>
      <c r="AG120" s="15" t="n">
        <f aca="false">AA120*N(AD120)</f>
        <v>0</v>
      </c>
      <c r="AH120" s="15" t="n">
        <f aca="false">AA120*N(AE120)</f>
        <v>0</v>
      </c>
      <c r="AI120" s="15" t="n">
        <f aca="false">AA120*N(AF120)</f>
        <v>0</v>
      </c>
      <c r="AJ120" s="15" t="n">
        <f aca="false">AA120*N(R120)</f>
        <v>0</v>
      </c>
      <c r="AK120" s="15" t="n">
        <f aca="false">AB120*N(AD120)</f>
        <v>0</v>
      </c>
      <c r="AL120" s="15" t="n">
        <f aca="false">AB120*N(AE120)</f>
        <v>0</v>
      </c>
      <c r="AM120" s="15" t="n">
        <f aca="false">AB120*N(AF120)</f>
        <v>0</v>
      </c>
      <c r="AN120" s="15" t="n">
        <f aca="false">AB120*N(R120)</f>
        <v>0</v>
      </c>
      <c r="AO120" s="21" t="str">
        <f aca="false">IF(F120&lt;&gt;"Y","n/a",IF(AND(N120&lt;&gt;"",OR(Q120&lt;&gt;"",G120="Other / bench",G120="None"),U120&lt;&gt;""),"OK","Missing"))</f>
        <v>Missing</v>
      </c>
    </row>
    <row r="121" customFormat="false" ht="15" hidden="false" customHeight="false" outlineLevel="0" collapsed="false">
      <c r="A121" s="10" t="s">
        <v>274</v>
      </c>
      <c r="B121" s="10" t="s">
        <v>659</v>
      </c>
      <c r="C121" s="10" t="s">
        <v>692</v>
      </c>
      <c r="D121" s="10" t="s">
        <v>664</v>
      </c>
      <c r="E121" s="21" t="str">
        <f aca="false">IF(A121="","",A121&amp;"|"&amp;D121)</f>
        <v>F20|Related substances / impurities</v>
      </c>
      <c r="F121" s="16" t="s">
        <v>667</v>
      </c>
      <c r="G121" s="16" t="s">
        <v>147</v>
      </c>
      <c r="H121" s="16" t="s">
        <v>685</v>
      </c>
      <c r="I121" s="16" t="n">
        <v>1</v>
      </c>
      <c r="J121" s="16"/>
      <c r="K121" s="14"/>
      <c r="L121" s="14"/>
      <c r="M121" s="14"/>
      <c r="N121" s="14"/>
      <c r="O121" s="14"/>
      <c r="P121" s="18" t="n">
        <f aca="false">IF(N121="",0,IF(OR(M121="",O121=""),N121,(M121+4*N121+O121)/6))</f>
        <v>0</v>
      </c>
      <c r="Q121" s="14"/>
      <c r="R121" s="14"/>
      <c r="S121" s="14"/>
      <c r="T121" s="14"/>
      <c r="U121" s="16"/>
      <c r="V121" s="13"/>
      <c r="W121" s="16" t="s">
        <v>662</v>
      </c>
      <c r="X121" s="16"/>
      <c r="Y121" s="16"/>
      <c r="Z121" s="16"/>
      <c r="AA121" s="22" t="n">
        <f aca="false">IF(F121&lt;&gt;"Y",0,((SUMIF(Products!$E$5:$E$300,A121,Products!$F$5:$F$300)+SUMIF(RM_Lots!$A$5:$A$400,A121,RM_Lots!$D$5:$D$400))+IF(W121="Y",SUMIF(Products!$E$5:$E$300,A121,Products!$G$5:$G$300),0))*(1+N(V121)))</f>
        <v>0</v>
      </c>
      <c r="AB121" s="22" t="n">
        <f aca="false">IF(F121&lt;&gt;"Y",0,((SUMIF(Products!$E$5:$E$300,A121,Products!$K$5:$K$300)+SUMIF(RM_Lots!$A$5:$A$400,A121,RM_Lots!$F$5:$F$400))+IF(W121="Y",SUMIF(Products!$E$5:$E$300,A121,Products!$L$5:$L$300),0))*(1+N(V121)))</f>
        <v>0</v>
      </c>
      <c r="AC121" s="17" t="n">
        <f aca="false">IF(J121="",1,MAX(1,COUNTIFS($J$5:$J$863,J121,$F$5:$F$863,"Y")))</f>
        <v>1</v>
      </c>
      <c r="AD121" s="18" t="n">
        <f aca="false">(MAX(1,N(I121))*(P121+N(S121))+MAX(1,N(I121))*N(K121)/(MAX(1,N(U121))*AC121))*Settings!$B$9</f>
        <v>0</v>
      </c>
      <c r="AE121" s="18" t="n">
        <f aca="false">(MAX(1,N(I121))*N(Q121)+MAX(1,N(I121))*N(L121)/(MAX(1,N(U121))*AC121))*Settings!$B$8</f>
        <v>0</v>
      </c>
      <c r="AF121" s="18" t="n">
        <f aca="false">MAX(1,N(I121))*N(T121)</f>
        <v>0</v>
      </c>
      <c r="AG121" s="15" t="n">
        <f aca="false">AA121*N(AD121)</f>
        <v>0</v>
      </c>
      <c r="AH121" s="15" t="n">
        <f aca="false">AA121*N(AE121)</f>
        <v>0</v>
      </c>
      <c r="AI121" s="15" t="n">
        <f aca="false">AA121*N(AF121)</f>
        <v>0</v>
      </c>
      <c r="AJ121" s="15" t="n">
        <f aca="false">AA121*N(R121)</f>
        <v>0</v>
      </c>
      <c r="AK121" s="15" t="n">
        <f aca="false">AB121*N(AD121)</f>
        <v>0</v>
      </c>
      <c r="AL121" s="15" t="n">
        <f aca="false">AB121*N(AE121)</f>
        <v>0</v>
      </c>
      <c r="AM121" s="15" t="n">
        <f aca="false">AB121*N(AF121)</f>
        <v>0</v>
      </c>
      <c r="AN121" s="15" t="n">
        <f aca="false">AB121*N(R121)</f>
        <v>0</v>
      </c>
      <c r="AO121" s="21" t="str">
        <f aca="false">IF(F121&lt;&gt;"Y","n/a",IF(AND(N121&lt;&gt;"",OR(Q121&lt;&gt;"",G121="Other / bench",G121="None"),U121&lt;&gt;""),"OK","Missing"))</f>
        <v>n/a</v>
      </c>
    </row>
    <row r="122" customFormat="false" ht="15" hidden="false" customHeight="false" outlineLevel="0" collapsed="false">
      <c r="A122" s="10" t="s">
        <v>274</v>
      </c>
      <c r="B122" s="10" t="s">
        <v>659</v>
      </c>
      <c r="C122" s="10" t="s">
        <v>692</v>
      </c>
      <c r="D122" s="10" t="s">
        <v>665</v>
      </c>
      <c r="E122" s="21" t="str">
        <f aca="false">IF(A122="","",A122&amp;"|"&amp;D122)</f>
        <v>F20|Dissolution</v>
      </c>
      <c r="F122" s="16" t="s">
        <v>662</v>
      </c>
      <c r="G122" s="16" t="s">
        <v>147</v>
      </c>
      <c r="H122" s="16" t="s">
        <v>685</v>
      </c>
      <c r="I122" s="16" t="n">
        <v>1</v>
      </c>
      <c r="J122" s="16"/>
      <c r="K122" s="14"/>
      <c r="L122" s="14"/>
      <c r="M122" s="14"/>
      <c r="N122" s="14"/>
      <c r="O122" s="14"/>
      <c r="P122" s="18" t="n">
        <f aca="false">IF(N122="",0,IF(OR(M122="",O122=""),N122,(M122+4*N122+O122)/6))</f>
        <v>0</v>
      </c>
      <c r="Q122" s="14"/>
      <c r="R122" s="14"/>
      <c r="S122" s="14"/>
      <c r="T122" s="14"/>
      <c r="U122" s="16"/>
      <c r="V122" s="13"/>
      <c r="W122" s="16" t="s">
        <v>662</v>
      </c>
      <c r="X122" s="16"/>
      <c r="Y122" s="16"/>
      <c r="Z122" s="16"/>
      <c r="AA122" s="22" t="n">
        <f aca="false">IF(F122&lt;&gt;"Y",0,((SUMIF(Products!$E$5:$E$300,A122,Products!$F$5:$F$300)+SUMIF(RM_Lots!$A$5:$A$400,A122,RM_Lots!$D$5:$D$400))+IF(W122="Y",SUMIF(Products!$E$5:$E$300,A122,Products!$G$5:$G$300),0))*(1+N(V122)))</f>
        <v>0</v>
      </c>
      <c r="AB122" s="22" t="n">
        <f aca="false">IF(F122&lt;&gt;"Y",0,((SUMIF(Products!$E$5:$E$300,A122,Products!$K$5:$K$300)+SUMIF(RM_Lots!$A$5:$A$400,A122,RM_Lots!$F$5:$F$400))+IF(W122="Y",SUMIF(Products!$E$5:$E$300,A122,Products!$L$5:$L$300),0))*(1+N(V122)))</f>
        <v>0</v>
      </c>
      <c r="AC122" s="17" t="n">
        <f aca="false">IF(J122="",1,MAX(1,COUNTIFS($J$5:$J$863,J122,$F$5:$F$863,"Y")))</f>
        <v>1</v>
      </c>
      <c r="AD122" s="18" t="n">
        <f aca="false">(MAX(1,N(I122))*(P122+N(S122))+MAX(1,N(I122))*N(K122)/(MAX(1,N(U122))*AC122))*Settings!$B$9</f>
        <v>0</v>
      </c>
      <c r="AE122" s="18" t="n">
        <f aca="false">(MAX(1,N(I122))*N(Q122)+MAX(1,N(I122))*N(L122)/(MAX(1,N(U122))*AC122))*Settings!$B$8</f>
        <v>0</v>
      </c>
      <c r="AF122" s="18" t="n">
        <f aca="false">MAX(1,N(I122))*N(T122)</f>
        <v>0</v>
      </c>
      <c r="AG122" s="15" t="n">
        <f aca="false">AA122*N(AD122)</f>
        <v>0</v>
      </c>
      <c r="AH122" s="15" t="n">
        <f aca="false">AA122*N(AE122)</f>
        <v>0</v>
      </c>
      <c r="AI122" s="15" t="n">
        <f aca="false">AA122*N(AF122)</f>
        <v>0</v>
      </c>
      <c r="AJ122" s="15" t="n">
        <f aca="false">AA122*N(R122)</f>
        <v>0</v>
      </c>
      <c r="AK122" s="15" t="n">
        <f aca="false">AB122*N(AD122)</f>
        <v>0</v>
      </c>
      <c r="AL122" s="15" t="n">
        <f aca="false">AB122*N(AE122)</f>
        <v>0</v>
      </c>
      <c r="AM122" s="15" t="n">
        <f aca="false">AB122*N(AF122)</f>
        <v>0</v>
      </c>
      <c r="AN122" s="15" t="n">
        <f aca="false">AB122*N(R122)</f>
        <v>0</v>
      </c>
      <c r="AO122" s="21" t="str">
        <f aca="false">IF(F122&lt;&gt;"Y","n/a",IF(AND(N122&lt;&gt;"",OR(Q122&lt;&gt;"",G122="Other / bench",G122="None"),U122&lt;&gt;""),"OK","Missing"))</f>
        <v>Missing</v>
      </c>
    </row>
    <row r="123" customFormat="false" ht="15" hidden="false" customHeight="false" outlineLevel="0" collapsed="false">
      <c r="A123" s="10" t="s">
        <v>274</v>
      </c>
      <c r="B123" s="10" t="s">
        <v>659</v>
      </c>
      <c r="C123" s="10" t="s">
        <v>692</v>
      </c>
      <c r="D123" s="10" t="s">
        <v>666</v>
      </c>
      <c r="E123" s="21" t="str">
        <f aca="false">IF(A123="","",A123&amp;"|"&amp;D123)</f>
        <v>F20|Content uniformity</v>
      </c>
      <c r="F123" s="16" t="s">
        <v>667</v>
      </c>
      <c r="G123" s="16" t="s">
        <v>147</v>
      </c>
      <c r="H123" s="16" t="s">
        <v>685</v>
      </c>
      <c r="I123" s="16" t="n">
        <v>1</v>
      </c>
      <c r="J123" s="16"/>
      <c r="K123" s="14"/>
      <c r="L123" s="14"/>
      <c r="M123" s="14"/>
      <c r="N123" s="14"/>
      <c r="O123" s="14"/>
      <c r="P123" s="18" t="n">
        <f aca="false">IF(N123="",0,IF(OR(M123="",O123=""),N123,(M123+4*N123+O123)/6))</f>
        <v>0</v>
      </c>
      <c r="Q123" s="14"/>
      <c r="R123" s="14"/>
      <c r="S123" s="14"/>
      <c r="T123" s="14"/>
      <c r="U123" s="16"/>
      <c r="V123" s="13"/>
      <c r="W123" s="16" t="s">
        <v>667</v>
      </c>
      <c r="X123" s="16"/>
      <c r="Y123" s="16"/>
      <c r="Z123" s="16"/>
      <c r="AA123" s="22" t="n">
        <f aca="false">IF(F123&lt;&gt;"Y",0,((SUMIF(Products!$E$5:$E$300,A123,Products!$F$5:$F$300)+SUMIF(RM_Lots!$A$5:$A$400,A123,RM_Lots!$D$5:$D$400))+IF(W123="Y",SUMIF(Products!$E$5:$E$300,A123,Products!$G$5:$G$300),0))*(1+N(V123)))</f>
        <v>0</v>
      </c>
      <c r="AB123" s="22" t="n">
        <f aca="false">IF(F123&lt;&gt;"Y",0,((SUMIF(Products!$E$5:$E$300,A123,Products!$K$5:$K$300)+SUMIF(RM_Lots!$A$5:$A$400,A123,RM_Lots!$F$5:$F$400))+IF(W123="Y",SUMIF(Products!$E$5:$E$300,A123,Products!$L$5:$L$300),0))*(1+N(V123)))</f>
        <v>0</v>
      </c>
      <c r="AC123" s="17" t="n">
        <f aca="false">IF(J123="",1,MAX(1,COUNTIFS($J$5:$J$863,J123,$F$5:$F$863,"Y")))</f>
        <v>1</v>
      </c>
      <c r="AD123" s="18" t="n">
        <f aca="false">(MAX(1,N(I123))*(P123+N(S123))+MAX(1,N(I123))*N(K123)/(MAX(1,N(U123))*AC123))*Settings!$B$9</f>
        <v>0</v>
      </c>
      <c r="AE123" s="18" t="n">
        <f aca="false">(MAX(1,N(I123))*N(Q123)+MAX(1,N(I123))*N(L123)/(MAX(1,N(U123))*AC123))*Settings!$B$8</f>
        <v>0</v>
      </c>
      <c r="AF123" s="18" t="n">
        <f aca="false">MAX(1,N(I123))*N(T123)</f>
        <v>0</v>
      </c>
      <c r="AG123" s="15" t="n">
        <f aca="false">AA123*N(AD123)</f>
        <v>0</v>
      </c>
      <c r="AH123" s="15" t="n">
        <f aca="false">AA123*N(AE123)</f>
        <v>0</v>
      </c>
      <c r="AI123" s="15" t="n">
        <f aca="false">AA123*N(AF123)</f>
        <v>0</v>
      </c>
      <c r="AJ123" s="15" t="n">
        <f aca="false">AA123*N(R123)</f>
        <v>0</v>
      </c>
      <c r="AK123" s="15" t="n">
        <f aca="false">AB123*N(AD123)</f>
        <v>0</v>
      </c>
      <c r="AL123" s="15" t="n">
        <f aca="false">AB123*N(AE123)</f>
        <v>0</v>
      </c>
      <c r="AM123" s="15" t="n">
        <f aca="false">AB123*N(AF123)</f>
        <v>0</v>
      </c>
      <c r="AN123" s="15" t="n">
        <f aca="false">AB123*N(R123)</f>
        <v>0</v>
      </c>
      <c r="AO123" s="21" t="str">
        <f aca="false">IF(F123&lt;&gt;"Y","n/a",IF(AND(N123&lt;&gt;"",OR(Q123&lt;&gt;"",G123="Other / bench",G123="None"),U123&lt;&gt;""),"OK","Missing"))</f>
        <v>n/a</v>
      </c>
    </row>
    <row r="124" customFormat="false" ht="15" hidden="false" customHeight="false" outlineLevel="0" collapsed="false">
      <c r="A124" s="10" t="s">
        <v>274</v>
      </c>
      <c r="B124" s="10" t="s">
        <v>659</v>
      </c>
      <c r="C124" s="10" t="s">
        <v>692</v>
      </c>
      <c r="D124" s="10" t="s">
        <v>668</v>
      </c>
      <c r="E124" s="21" t="str">
        <f aca="false">IF(A124="","",A124&amp;"|"&amp;D124)</f>
        <v>F20|Identification (if separate from assay)</v>
      </c>
      <c r="F124" s="16" t="s">
        <v>667</v>
      </c>
      <c r="G124" s="16" t="s">
        <v>147</v>
      </c>
      <c r="H124" s="16" t="s">
        <v>685</v>
      </c>
      <c r="I124" s="16" t="n">
        <v>1</v>
      </c>
      <c r="J124" s="16"/>
      <c r="K124" s="14"/>
      <c r="L124" s="14"/>
      <c r="M124" s="14"/>
      <c r="N124" s="14"/>
      <c r="O124" s="14"/>
      <c r="P124" s="18" t="n">
        <f aca="false">IF(N124="",0,IF(OR(M124="",O124=""),N124,(M124+4*N124+O124)/6))</f>
        <v>0</v>
      </c>
      <c r="Q124" s="14"/>
      <c r="R124" s="14"/>
      <c r="S124" s="14"/>
      <c r="T124" s="14"/>
      <c r="U124" s="16"/>
      <c r="V124" s="13"/>
      <c r="W124" s="16" t="s">
        <v>667</v>
      </c>
      <c r="X124" s="16"/>
      <c r="Y124" s="16"/>
      <c r="Z124" s="16"/>
      <c r="AA124" s="22" t="n">
        <f aca="false">IF(F124&lt;&gt;"Y",0,((SUMIF(Products!$E$5:$E$300,A124,Products!$F$5:$F$300)+SUMIF(RM_Lots!$A$5:$A$400,A124,RM_Lots!$D$5:$D$400))+IF(W124="Y",SUMIF(Products!$E$5:$E$300,A124,Products!$G$5:$G$300),0))*(1+N(V124)))</f>
        <v>0</v>
      </c>
      <c r="AB124" s="22" t="n">
        <f aca="false">IF(F124&lt;&gt;"Y",0,((SUMIF(Products!$E$5:$E$300,A124,Products!$K$5:$K$300)+SUMIF(RM_Lots!$A$5:$A$400,A124,RM_Lots!$F$5:$F$400))+IF(W124="Y",SUMIF(Products!$E$5:$E$300,A124,Products!$L$5:$L$300),0))*(1+N(V124)))</f>
        <v>0</v>
      </c>
      <c r="AC124" s="17" t="n">
        <f aca="false">IF(J124="",1,MAX(1,COUNTIFS($J$5:$J$863,J124,$F$5:$F$863,"Y")))</f>
        <v>1</v>
      </c>
      <c r="AD124" s="18" t="n">
        <f aca="false">(MAX(1,N(I124))*(P124+N(S124))+MAX(1,N(I124))*N(K124)/(MAX(1,N(U124))*AC124))*Settings!$B$9</f>
        <v>0</v>
      </c>
      <c r="AE124" s="18" t="n">
        <f aca="false">(MAX(1,N(I124))*N(Q124)+MAX(1,N(I124))*N(L124)/(MAX(1,N(U124))*AC124))*Settings!$B$8</f>
        <v>0</v>
      </c>
      <c r="AF124" s="18" t="n">
        <f aca="false">MAX(1,N(I124))*N(T124)</f>
        <v>0</v>
      </c>
      <c r="AG124" s="15" t="n">
        <f aca="false">AA124*N(AD124)</f>
        <v>0</v>
      </c>
      <c r="AH124" s="15" t="n">
        <f aca="false">AA124*N(AE124)</f>
        <v>0</v>
      </c>
      <c r="AI124" s="15" t="n">
        <f aca="false">AA124*N(AF124)</f>
        <v>0</v>
      </c>
      <c r="AJ124" s="15" t="n">
        <f aca="false">AA124*N(R124)</f>
        <v>0</v>
      </c>
      <c r="AK124" s="15" t="n">
        <f aca="false">AB124*N(AD124)</f>
        <v>0</v>
      </c>
      <c r="AL124" s="15" t="n">
        <f aca="false">AB124*N(AE124)</f>
        <v>0</v>
      </c>
      <c r="AM124" s="15" t="n">
        <f aca="false">AB124*N(AF124)</f>
        <v>0</v>
      </c>
      <c r="AN124" s="15" t="n">
        <f aca="false">AB124*N(R124)</f>
        <v>0</v>
      </c>
      <c r="AO124" s="21" t="str">
        <f aca="false">IF(F124&lt;&gt;"Y","n/a",IF(AND(N124&lt;&gt;"",OR(Q124&lt;&gt;"",G124="Other / bench",G124="None"),U124&lt;&gt;""),"OK","Missing"))</f>
        <v>n/a</v>
      </c>
    </row>
    <row r="125" customFormat="false" ht="15" hidden="false" customHeight="false" outlineLevel="0" collapsed="false">
      <c r="A125" s="10" t="s">
        <v>274</v>
      </c>
      <c r="B125" s="10" t="s">
        <v>659</v>
      </c>
      <c r="C125" s="10" t="s">
        <v>692</v>
      </c>
      <c r="D125" s="10" t="s">
        <v>669</v>
      </c>
      <c r="E125" s="21" t="str">
        <f aca="false">IF(A125="","",A125&amp;"|"&amp;D125)</f>
        <v>F20|Other tests (non-HPLC: physical, LOD/KF, disintegration, pH, micro...)</v>
      </c>
      <c r="F125" s="16" t="s">
        <v>662</v>
      </c>
      <c r="G125" s="16" t="s">
        <v>670</v>
      </c>
      <c r="H125" s="16" t="s">
        <v>685</v>
      </c>
      <c r="I125" s="16" t="n">
        <v>1</v>
      </c>
      <c r="J125" s="16"/>
      <c r="K125" s="14"/>
      <c r="L125" s="14"/>
      <c r="M125" s="14"/>
      <c r="N125" s="14"/>
      <c r="O125" s="14"/>
      <c r="P125" s="18" t="n">
        <f aca="false">IF(N125="",0,IF(OR(M125="",O125=""),N125,(M125+4*N125+O125)/6))</f>
        <v>0</v>
      </c>
      <c r="Q125" s="14"/>
      <c r="R125" s="14"/>
      <c r="S125" s="14"/>
      <c r="T125" s="14"/>
      <c r="U125" s="16"/>
      <c r="V125" s="13"/>
      <c r="W125" s="16" t="s">
        <v>662</v>
      </c>
      <c r="X125" s="16"/>
      <c r="Y125" s="16"/>
      <c r="Z125" s="16"/>
      <c r="AA125" s="22" t="n">
        <f aca="false">IF(F125&lt;&gt;"Y",0,((SUMIF(Products!$E$5:$E$300,A125,Products!$F$5:$F$300)+SUMIF(RM_Lots!$A$5:$A$400,A125,RM_Lots!$D$5:$D$400))+IF(W125="Y",SUMIF(Products!$E$5:$E$300,A125,Products!$G$5:$G$300),0))*(1+N(V125)))</f>
        <v>0</v>
      </c>
      <c r="AB125" s="22" t="n">
        <f aca="false">IF(F125&lt;&gt;"Y",0,((SUMIF(Products!$E$5:$E$300,A125,Products!$K$5:$K$300)+SUMIF(RM_Lots!$A$5:$A$400,A125,RM_Lots!$F$5:$F$400))+IF(W125="Y",SUMIF(Products!$E$5:$E$300,A125,Products!$L$5:$L$300),0))*(1+N(V125)))</f>
        <v>0</v>
      </c>
      <c r="AC125" s="17" t="n">
        <f aca="false">IF(J125="",1,MAX(1,COUNTIFS($J$5:$J$863,J125,$F$5:$F$863,"Y")))</f>
        <v>1</v>
      </c>
      <c r="AD125" s="18" t="n">
        <f aca="false">(MAX(1,N(I125))*(P125+N(S125))+MAX(1,N(I125))*N(K125)/(MAX(1,N(U125))*AC125))*Settings!$B$9</f>
        <v>0</v>
      </c>
      <c r="AE125" s="18" t="n">
        <f aca="false">(MAX(1,N(I125))*N(Q125)+MAX(1,N(I125))*N(L125)/(MAX(1,N(U125))*AC125))*Settings!$B$8</f>
        <v>0</v>
      </c>
      <c r="AF125" s="18" t="n">
        <f aca="false">MAX(1,N(I125))*N(T125)</f>
        <v>0</v>
      </c>
      <c r="AG125" s="15" t="n">
        <f aca="false">AA125*N(AD125)</f>
        <v>0</v>
      </c>
      <c r="AH125" s="15" t="n">
        <f aca="false">AA125*N(AE125)</f>
        <v>0</v>
      </c>
      <c r="AI125" s="15" t="n">
        <f aca="false">AA125*N(AF125)</f>
        <v>0</v>
      </c>
      <c r="AJ125" s="15" t="n">
        <f aca="false">AA125*N(R125)</f>
        <v>0</v>
      </c>
      <c r="AK125" s="15" t="n">
        <f aca="false">AB125*N(AD125)</f>
        <v>0</v>
      </c>
      <c r="AL125" s="15" t="n">
        <f aca="false">AB125*N(AE125)</f>
        <v>0</v>
      </c>
      <c r="AM125" s="15" t="n">
        <f aca="false">AB125*N(AF125)</f>
        <v>0</v>
      </c>
      <c r="AN125" s="15" t="n">
        <f aca="false">AB125*N(R125)</f>
        <v>0</v>
      </c>
      <c r="AO125" s="21" t="str">
        <f aca="false">IF(F125&lt;&gt;"Y","n/a",IF(AND(N125&lt;&gt;"",OR(Q125&lt;&gt;"",G125="Other / bench",G125="None"),U125&lt;&gt;""),"OK","Missing"))</f>
        <v>Missing</v>
      </c>
    </row>
    <row r="126" customFormat="false" ht="15" hidden="false" customHeight="false" outlineLevel="0" collapsed="false">
      <c r="A126" s="10" t="s">
        <v>280</v>
      </c>
      <c r="B126" s="10" t="s">
        <v>659</v>
      </c>
      <c r="C126" s="10" t="s">
        <v>694</v>
      </c>
      <c r="D126" s="10" t="s">
        <v>661</v>
      </c>
      <c r="E126" s="21" t="str">
        <f aca="false">IF(A126="","",A126&amp;"|"&amp;D126)</f>
        <v>F21|Assay</v>
      </c>
      <c r="F126" s="16" t="s">
        <v>662</v>
      </c>
      <c r="G126" s="16" t="s">
        <v>147</v>
      </c>
      <c r="H126" s="16" t="s">
        <v>663</v>
      </c>
      <c r="I126" s="16" t="n">
        <v>1</v>
      </c>
      <c r="J126" s="16"/>
      <c r="K126" s="14"/>
      <c r="L126" s="14"/>
      <c r="M126" s="14"/>
      <c r="N126" s="14"/>
      <c r="O126" s="14"/>
      <c r="P126" s="18" t="n">
        <f aca="false">IF(N126="",0,IF(OR(M126="",O126=""),N126,(M126+4*N126+O126)/6))</f>
        <v>0</v>
      </c>
      <c r="Q126" s="14"/>
      <c r="R126" s="14"/>
      <c r="S126" s="14"/>
      <c r="T126" s="14"/>
      <c r="U126" s="16"/>
      <c r="V126" s="13"/>
      <c r="W126" s="16" t="s">
        <v>662</v>
      </c>
      <c r="X126" s="16"/>
      <c r="Y126" s="16"/>
      <c r="Z126" s="16"/>
      <c r="AA126" s="22" t="n">
        <f aca="false">IF(F126&lt;&gt;"Y",0,((SUMIF(Products!$E$5:$E$300,A126,Products!$F$5:$F$300)+SUMIF(RM_Lots!$A$5:$A$400,A126,RM_Lots!$D$5:$D$400))+IF(W126="Y",SUMIF(Products!$E$5:$E$300,A126,Products!$G$5:$G$300),0))*(1+N(V126)))</f>
        <v>0</v>
      </c>
      <c r="AB126" s="22" t="n">
        <f aca="false">IF(F126&lt;&gt;"Y",0,((SUMIF(Products!$E$5:$E$300,A126,Products!$K$5:$K$300)+SUMIF(RM_Lots!$A$5:$A$400,A126,RM_Lots!$F$5:$F$400))+IF(W126="Y",SUMIF(Products!$E$5:$E$300,A126,Products!$L$5:$L$300),0))*(1+N(V126)))</f>
        <v>0</v>
      </c>
      <c r="AC126" s="17" t="n">
        <f aca="false">IF(J126="",1,MAX(1,COUNTIFS($J$5:$J$863,J126,$F$5:$F$863,"Y")))</f>
        <v>1</v>
      </c>
      <c r="AD126" s="18" t="n">
        <f aca="false">(MAX(1,N(I126))*(P126+N(S126))+MAX(1,N(I126))*N(K126)/(MAX(1,N(U126))*AC126))*Settings!$B$9</f>
        <v>0</v>
      </c>
      <c r="AE126" s="18" t="n">
        <f aca="false">(MAX(1,N(I126))*N(Q126)+MAX(1,N(I126))*N(L126)/(MAX(1,N(U126))*AC126))*Settings!$B$8</f>
        <v>0</v>
      </c>
      <c r="AF126" s="18" t="n">
        <f aca="false">MAX(1,N(I126))*N(T126)</f>
        <v>0</v>
      </c>
      <c r="AG126" s="15" t="n">
        <f aca="false">AA126*N(AD126)</f>
        <v>0</v>
      </c>
      <c r="AH126" s="15" t="n">
        <f aca="false">AA126*N(AE126)</f>
        <v>0</v>
      </c>
      <c r="AI126" s="15" t="n">
        <f aca="false">AA126*N(AF126)</f>
        <v>0</v>
      </c>
      <c r="AJ126" s="15" t="n">
        <f aca="false">AA126*N(R126)</f>
        <v>0</v>
      </c>
      <c r="AK126" s="15" t="n">
        <f aca="false">AB126*N(AD126)</f>
        <v>0</v>
      </c>
      <c r="AL126" s="15" t="n">
        <f aca="false">AB126*N(AE126)</f>
        <v>0</v>
      </c>
      <c r="AM126" s="15" t="n">
        <f aca="false">AB126*N(AF126)</f>
        <v>0</v>
      </c>
      <c r="AN126" s="15" t="n">
        <f aca="false">AB126*N(R126)</f>
        <v>0</v>
      </c>
      <c r="AO126" s="21" t="str">
        <f aca="false">IF(F126&lt;&gt;"Y","n/a",IF(AND(N126&lt;&gt;"",OR(Q126&lt;&gt;"",G126="Other / bench",G126="None"),U126&lt;&gt;""),"OK","Missing"))</f>
        <v>Missing</v>
      </c>
    </row>
    <row r="127" customFormat="false" ht="15" hidden="false" customHeight="false" outlineLevel="0" collapsed="false">
      <c r="A127" s="10" t="s">
        <v>280</v>
      </c>
      <c r="B127" s="10" t="s">
        <v>659</v>
      </c>
      <c r="C127" s="10" t="s">
        <v>694</v>
      </c>
      <c r="D127" s="10" t="s">
        <v>664</v>
      </c>
      <c r="E127" s="21" t="str">
        <f aca="false">IF(A127="","",A127&amp;"|"&amp;D127)</f>
        <v>F21|Related substances / impurities</v>
      </c>
      <c r="F127" s="16" t="s">
        <v>662</v>
      </c>
      <c r="G127" s="16" t="s">
        <v>147</v>
      </c>
      <c r="H127" s="16" t="s">
        <v>663</v>
      </c>
      <c r="I127" s="16" t="n">
        <v>1</v>
      </c>
      <c r="J127" s="16"/>
      <c r="K127" s="14"/>
      <c r="L127" s="14"/>
      <c r="M127" s="14"/>
      <c r="N127" s="14"/>
      <c r="O127" s="14"/>
      <c r="P127" s="18" t="n">
        <f aca="false">IF(N127="",0,IF(OR(M127="",O127=""),N127,(M127+4*N127+O127)/6))</f>
        <v>0</v>
      </c>
      <c r="Q127" s="14"/>
      <c r="R127" s="14"/>
      <c r="S127" s="14"/>
      <c r="T127" s="14"/>
      <c r="U127" s="16"/>
      <c r="V127" s="13"/>
      <c r="W127" s="16" t="s">
        <v>662</v>
      </c>
      <c r="X127" s="16"/>
      <c r="Y127" s="16"/>
      <c r="Z127" s="16"/>
      <c r="AA127" s="22" t="n">
        <f aca="false">IF(F127&lt;&gt;"Y",0,((SUMIF(Products!$E$5:$E$300,A127,Products!$F$5:$F$300)+SUMIF(RM_Lots!$A$5:$A$400,A127,RM_Lots!$D$5:$D$400))+IF(W127="Y",SUMIF(Products!$E$5:$E$300,A127,Products!$G$5:$G$300),0))*(1+N(V127)))</f>
        <v>0</v>
      </c>
      <c r="AB127" s="22" t="n">
        <f aca="false">IF(F127&lt;&gt;"Y",0,((SUMIF(Products!$E$5:$E$300,A127,Products!$K$5:$K$300)+SUMIF(RM_Lots!$A$5:$A$400,A127,RM_Lots!$F$5:$F$400))+IF(W127="Y",SUMIF(Products!$E$5:$E$300,A127,Products!$L$5:$L$300),0))*(1+N(V127)))</f>
        <v>0</v>
      </c>
      <c r="AC127" s="17" t="n">
        <f aca="false">IF(J127="",1,MAX(1,COUNTIFS($J$5:$J$863,J127,$F$5:$F$863,"Y")))</f>
        <v>1</v>
      </c>
      <c r="AD127" s="18" t="n">
        <f aca="false">(MAX(1,N(I127))*(P127+N(S127))+MAX(1,N(I127))*N(K127)/(MAX(1,N(U127))*AC127))*Settings!$B$9</f>
        <v>0</v>
      </c>
      <c r="AE127" s="18" t="n">
        <f aca="false">(MAX(1,N(I127))*N(Q127)+MAX(1,N(I127))*N(L127)/(MAX(1,N(U127))*AC127))*Settings!$B$8</f>
        <v>0</v>
      </c>
      <c r="AF127" s="18" t="n">
        <f aca="false">MAX(1,N(I127))*N(T127)</f>
        <v>0</v>
      </c>
      <c r="AG127" s="15" t="n">
        <f aca="false">AA127*N(AD127)</f>
        <v>0</v>
      </c>
      <c r="AH127" s="15" t="n">
        <f aca="false">AA127*N(AE127)</f>
        <v>0</v>
      </c>
      <c r="AI127" s="15" t="n">
        <f aca="false">AA127*N(AF127)</f>
        <v>0</v>
      </c>
      <c r="AJ127" s="15" t="n">
        <f aca="false">AA127*N(R127)</f>
        <v>0</v>
      </c>
      <c r="AK127" s="15" t="n">
        <f aca="false">AB127*N(AD127)</f>
        <v>0</v>
      </c>
      <c r="AL127" s="15" t="n">
        <f aca="false">AB127*N(AE127)</f>
        <v>0</v>
      </c>
      <c r="AM127" s="15" t="n">
        <f aca="false">AB127*N(AF127)</f>
        <v>0</v>
      </c>
      <c r="AN127" s="15" t="n">
        <f aca="false">AB127*N(R127)</f>
        <v>0</v>
      </c>
      <c r="AO127" s="21" t="str">
        <f aca="false">IF(F127&lt;&gt;"Y","n/a",IF(AND(N127&lt;&gt;"",OR(Q127&lt;&gt;"",G127="Other / bench",G127="None"),U127&lt;&gt;""),"OK","Missing"))</f>
        <v>Missing</v>
      </c>
    </row>
    <row r="128" customFormat="false" ht="15" hidden="false" customHeight="false" outlineLevel="0" collapsed="false">
      <c r="A128" s="10" t="s">
        <v>280</v>
      </c>
      <c r="B128" s="10" t="s">
        <v>659</v>
      </c>
      <c r="C128" s="10" t="s">
        <v>694</v>
      </c>
      <c r="D128" s="10" t="s">
        <v>665</v>
      </c>
      <c r="E128" s="21" t="str">
        <f aca="false">IF(A128="","",A128&amp;"|"&amp;D128)</f>
        <v>F21|Dissolution</v>
      </c>
      <c r="F128" s="16" t="s">
        <v>662</v>
      </c>
      <c r="G128" s="16" t="s">
        <v>147</v>
      </c>
      <c r="H128" s="16" t="s">
        <v>663</v>
      </c>
      <c r="I128" s="16" t="n">
        <v>1</v>
      </c>
      <c r="J128" s="16"/>
      <c r="K128" s="14"/>
      <c r="L128" s="14"/>
      <c r="M128" s="14"/>
      <c r="N128" s="14"/>
      <c r="O128" s="14"/>
      <c r="P128" s="18" t="n">
        <f aca="false">IF(N128="",0,IF(OR(M128="",O128=""),N128,(M128+4*N128+O128)/6))</f>
        <v>0</v>
      </c>
      <c r="Q128" s="14"/>
      <c r="R128" s="14"/>
      <c r="S128" s="14"/>
      <c r="T128" s="14"/>
      <c r="U128" s="16"/>
      <c r="V128" s="13"/>
      <c r="W128" s="16" t="s">
        <v>662</v>
      </c>
      <c r="X128" s="16"/>
      <c r="Y128" s="16"/>
      <c r="Z128" s="16"/>
      <c r="AA128" s="22" t="n">
        <f aca="false">IF(F128&lt;&gt;"Y",0,((SUMIF(Products!$E$5:$E$300,A128,Products!$F$5:$F$300)+SUMIF(RM_Lots!$A$5:$A$400,A128,RM_Lots!$D$5:$D$400))+IF(W128="Y",SUMIF(Products!$E$5:$E$300,A128,Products!$G$5:$G$300),0))*(1+N(V128)))</f>
        <v>0</v>
      </c>
      <c r="AB128" s="22" t="n">
        <f aca="false">IF(F128&lt;&gt;"Y",0,((SUMIF(Products!$E$5:$E$300,A128,Products!$K$5:$K$300)+SUMIF(RM_Lots!$A$5:$A$400,A128,RM_Lots!$F$5:$F$400))+IF(W128="Y",SUMIF(Products!$E$5:$E$300,A128,Products!$L$5:$L$300),0))*(1+N(V128)))</f>
        <v>0</v>
      </c>
      <c r="AC128" s="17" t="n">
        <f aca="false">IF(J128="",1,MAX(1,COUNTIFS($J$5:$J$863,J128,$F$5:$F$863,"Y")))</f>
        <v>1</v>
      </c>
      <c r="AD128" s="18" t="n">
        <f aca="false">(MAX(1,N(I128))*(P128+N(S128))+MAX(1,N(I128))*N(K128)/(MAX(1,N(U128))*AC128))*Settings!$B$9</f>
        <v>0</v>
      </c>
      <c r="AE128" s="18" t="n">
        <f aca="false">(MAX(1,N(I128))*N(Q128)+MAX(1,N(I128))*N(L128)/(MAX(1,N(U128))*AC128))*Settings!$B$8</f>
        <v>0</v>
      </c>
      <c r="AF128" s="18" t="n">
        <f aca="false">MAX(1,N(I128))*N(T128)</f>
        <v>0</v>
      </c>
      <c r="AG128" s="15" t="n">
        <f aca="false">AA128*N(AD128)</f>
        <v>0</v>
      </c>
      <c r="AH128" s="15" t="n">
        <f aca="false">AA128*N(AE128)</f>
        <v>0</v>
      </c>
      <c r="AI128" s="15" t="n">
        <f aca="false">AA128*N(AF128)</f>
        <v>0</v>
      </c>
      <c r="AJ128" s="15" t="n">
        <f aca="false">AA128*N(R128)</f>
        <v>0</v>
      </c>
      <c r="AK128" s="15" t="n">
        <f aca="false">AB128*N(AD128)</f>
        <v>0</v>
      </c>
      <c r="AL128" s="15" t="n">
        <f aca="false">AB128*N(AE128)</f>
        <v>0</v>
      </c>
      <c r="AM128" s="15" t="n">
        <f aca="false">AB128*N(AF128)</f>
        <v>0</v>
      </c>
      <c r="AN128" s="15" t="n">
        <f aca="false">AB128*N(R128)</f>
        <v>0</v>
      </c>
      <c r="AO128" s="21" t="str">
        <f aca="false">IF(F128&lt;&gt;"Y","n/a",IF(AND(N128&lt;&gt;"",OR(Q128&lt;&gt;"",G128="Other / bench",G128="None"),U128&lt;&gt;""),"OK","Missing"))</f>
        <v>Missing</v>
      </c>
    </row>
    <row r="129" customFormat="false" ht="15" hidden="false" customHeight="false" outlineLevel="0" collapsed="false">
      <c r="A129" s="10" t="s">
        <v>280</v>
      </c>
      <c r="B129" s="10" t="s">
        <v>659</v>
      </c>
      <c r="C129" s="10" t="s">
        <v>694</v>
      </c>
      <c r="D129" s="10" t="s">
        <v>666</v>
      </c>
      <c r="E129" s="21" t="str">
        <f aca="false">IF(A129="","",A129&amp;"|"&amp;D129)</f>
        <v>F21|Content uniformity</v>
      </c>
      <c r="F129" s="16" t="s">
        <v>662</v>
      </c>
      <c r="G129" s="16" t="s">
        <v>147</v>
      </c>
      <c r="H129" s="16" t="s">
        <v>663</v>
      </c>
      <c r="I129" s="16" t="n">
        <v>1</v>
      </c>
      <c r="J129" s="16"/>
      <c r="K129" s="14"/>
      <c r="L129" s="14"/>
      <c r="M129" s="14"/>
      <c r="N129" s="14"/>
      <c r="O129" s="14"/>
      <c r="P129" s="18" t="n">
        <f aca="false">IF(N129="",0,IF(OR(M129="",O129=""),N129,(M129+4*N129+O129)/6))</f>
        <v>0</v>
      </c>
      <c r="Q129" s="14"/>
      <c r="R129" s="14"/>
      <c r="S129" s="14"/>
      <c r="T129" s="14"/>
      <c r="U129" s="16"/>
      <c r="V129" s="13"/>
      <c r="W129" s="16" t="s">
        <v>667</v>
      </c>
      <c r="X129" s="16"/>
      <c r="Y129" s="16"/>
      <c r="Z129" s="16"/>
      <c r="AA129" s="22" t="n">
        <f aca="false">IF(F129&lt;&gt;"Y",0,((SUMIF(Products!$E$5:$E$300,A129,Products!$F$5:$F$300)+SUMIF(RM_Lots!$A$5:$A$400,A129,RM_Lots!$D$5:$D$400))+IF(W129="Y",SUMIF(Products!$E$5:$E$300,A129,Products!$G$5:$G$300),0))*(1+N(V129)))</f>
        <v>0</v>
      </c>
      <c r="AB129" s="22" t="n">
        <f aca="false">IF(F129&lt;&gt;"Y",0,((SUMIF(Products!$E$5:$E$300,A129,Products!$K$5:$K$300)+SUMIF(RM_Lots!$A$5:$A$400,A129,RM_Lots!$F$5:$F$400))+IF(W129="Y",SUMIF(Products!$E$5:$E$300,A129,Products!$L$5:$L$300),0))*(1+N(V129)))</f>
        <v>0</v>
      </c>
      <c r="AC129" s="17" t="n">
        <f aca="false">IF(J129="",1,MAX(1,COUNTIFS($J$5:$J$863,J129,$F$5:$F$863,"Y")))</f>
        <v>1</v>
      </c>
      <c r="AD129" s="18" t="n">
        <f aca="false">(MAX(1,N(I129))*(P129+N(S129))+MAX(1,N(I129))*N(K129)/(MAX(1,N(U129))*AC129))*Settings!$B$9</f>
        <v>0</v>
      </c>
      <c r="AE129" s="18" t="n">
        <f aca="false">(MAX(1,N(I129))*N(Q129)+MAX(1,N(I129))*N(L129)/(MAX(1,N(U129))*AC129))*Settings!$B$8</f>
        <v>0</v>
      </c>
      <c r="AF129" s="18" t="n">
        <f aca="false">MAX(1,N(I129))*N(T129)</f>
        <v>0</v>
      </c>
      <c r="AG129" s="15" t="n">
        <f aca="false">AA129*N(AD129)</f>
        <v>0</v>
      </c>
      <c r="AH129" s="15" t="n">
        <f aca="false">AA129*N(AE129)</f>
        <v>0</v>
      </c>
      <c r="AI129" s="15" t="n">
        <f aca="false">AA129*N(AF129)</f>
        <v>0</v>
      </c>
      <c r="AJ129" s="15" t="n">
        <f aca="false">AA129*N(R129)</f>
        <v>0</v>
      </c>
      <c r="AK129" s="15" t="n">
        <f aca="false">AB129*N(AD129)</f>
        <v>0</v>
      </c>
      <c r="AL129" s="15" t="n">
        <f aca="false">AB129*N(AE129)</f>
        <v>0</v>
      </c>
      <c r="AM129" s="15" t="n">
        <f aca="false">AB129*N(AF129)</f>
        <v>0</v>
      </c>
      <c r="AN129" s="15" t="n">
        <f aca="false">AB129*N(R129)</f>
        <v>0</v>
      </c>
      <c r="AO129" s="21" t="str">
        <f aca="false">IF(F129&lt;&gt;"Y","n/a",IF(AND(N129&lt;&gt;"",OR(Q129&lt;&gt;"",G129="Other / bench",G129="None"),U129&lt;&gt;""),"OK","Missing"))</f>
        <v>Missing</v>
      </c>
    </row>
    <row r="130" customFormat="false" ht="15" hidden="false" customHeight="false" outlineLevel="0" collapsed="false">
      <c r="A130" s="10" t="s">
        <v>280</v>
      </c>
      <c r="B130" s="10" t="s">
        <v>659</v>
      </c>
      <c r="C130" s="10" t="s">
        <v>694</v>
      </c>
      <c r="D130" s="10" t="s">
        <v>668</v>
      </c>
      <c r="E130" s="21" t="str">
        <f aca="false">IF(A130="","",A130&amp;"|"&amp;D130)</f>
        <v>F21|Identification (if separate from assay)</v>
      </c>
      <c r="F130" s="16" t="s">
        <v>667</v>
      </c>
      <c r="G130" s="16" t="s">
        <v>147</v>
      </c>
      <c r="H130" s="16" t="s">
        <v>663</v>
      </c>
      <c r="I130" s="16" t="n">
        <v>1</v>
      </c>
      <c r="J130" s="16"/>
      <c r="K130" s="14"/>
      <c r="L130" s="14"/>
      <c r="M130" s="14"/>
      <c r="N130" s="14"/>
      <c r="O130" s="14"/>
      <c r="P130" s="18" t="n">
        <f aca="false">IF(N130="",0,IF(OR(M130="",O130=""),N130,(M130+4*N130+O130)/6))</f>
        <v>0</v>
      </c>
      <c r="Q130" s="14"/>
      <c r="R130" s="14"/>
      <c r="S130" s="14"/>
      <c r="T130" s="14"/>
      <c r="U130" s="16"/>
      <c r="V130" s="13"/>
      <c r="W130" s="16" t="s">
        <v>667</v>
      </c>
      <c r="X130" s="16"/>
      <c r="Y130" s="16"/>
      <c r="Z130" s="16"/>
      <c r="AA130" s="22" t="n">
        <f aca="false">IF(F130&lt;&gt;"Y",0,((SUMIF(Products!$E$5:$E$300,A130,Products!$F$5:$F$300)+SUMIF(RM_Lots!$A$5:$A$400,A130,RM_Lots!$D$5:$D$400))+IF(W130="Y",SUMIF(Products!$E$5:$E$300,A130,Products!$G$5:$G$300),0))*(1+N(V130)))</f>
        <v>0</v>
      </c>
      <c r="AB130" s="22" t="n">
        <f aca="false">IF(F130&lt;&gt;"Y",0,((SUMIF(Products!$E$5:$E$300,A130,Products!$K$5:$K$300)+SUMIF(RM_Lots!$A$5:$A$400,A130,RM_Lots!$F$5:$F$400))+IF(W130="Y",SUMIF(Products!$E$5:$E$300,A130,Products!$L$5:$L$300),0))*(1+N(V130)))</f>
        <v>0</v>
      </c>
      <c r="AC130" s="17" t="n">
        <f aca="false">IF(J130="",1,MAX(1,COUNTIFS($J$5:$J$863,J130,$F$5:$F$863,"Y")))</f>
        <v>1</v>
      </c>
      <c r="AD130" s="18" t="n">
        <f aca="false">(MAX(1,N(I130))*(P130+N(S130))+MAX(1,N(I130))*N(K130)/(MAX(1,N(U130))*AC130))*Settings!$B$9</f>
        <v>0</v>
      </c>
      <c r="AE130" s="18" t="n">
        <f aca="false">(MAX(1,N(I130))*N(Q130)+MAX(1,N(I130))*N(L130)/(MAX(1,N(U130))*AC130))*Settings!$B$8</f>
        <v>0</v>
      </c>
      <c r="AF130" s="18" t="n">
        <f aca="false">MAX(1,N(I130))*N(T130)</f>
        <v>0</v>
      </c>
      <c r="AG130" s="15" t="n">
        <f aca="false">AA130*N(AD130)</f>
        <v>0</v>
      </c>
      <c r="AH130" s="15" t="n">
        <f aca="false">AA130*N(AE130)</f>
        <v>0</v>
      </c>
      <c r="AI130" s="15" t="n">
        <f aca="false">AA130*N(AF130)</f>
        <v>0</v>
      </c>
      <c r="AJ130" s="15" t="n">
        <f aca="false">AA130*N(R130)</f>
        <v>0</v>
      </c>
      <c r="AK130" s="15" t="n">
        <f aca="false">AB130*N(AD130)</f>
        <v>0</v>
      </c>
      <c r="AL130" s="15" t="n">
        <f aca="false">AB130*N(AE130)</f>
        <v>0</v>
      </c>
      <c r="AM130" s="15" t="n">
        <f aca="false">AB130*N(AF130)</f>
        <v>0</v>
      </c>
      <c r="AN130" s="15" t="n">
        <f aca="false">AB130*N(R130)</f>
        <v>0</v>
      </c>
      <c r="AO130" s="21" t="str">
        <f aca="false">IF(F130&lt;&gt;"Y","n/a",IF(AND(N130&lt;&gt;"",OR(Q130&lt;&gt;"",G130="Other / bench",G130="None"),U130&lt;&gt;""),"OK","Missing"))</f>
        <v>n/a</v>
      </c>
    </row>
    <row r="131" customFormat="false" ht="15" hidden="false" customHeight="false" outlineLevel="0" collapsed="false">
      <c r="A131" s="10" t="s">
        <v>280</v>
      </c>
      <c r="B131" s="10" t="s">
        <v>659</v>
      </c>
      <c r="C131" s="10" t="s">
        <v>694</v>
      </c>
      <c r="D131" s="10" t="s">
        <v>669</v>
      </c>
      <c r="E131" s="21" t="str">
        <f aca="false">IF(A131="","",A131&amp;"|"&amp;D131)</f>
        <v>F21|Other tests (non-HPLC: physical, LOD/KF, disintegration, pH, micro...)</v>
      </c>
      <c r="F131" s="16" t="s">
        <v>662</v>
      </c>
      <c r="G131" s="16" t="s">
        <v>670</v>
      </c>
      <c r="H131" s="16" t="s">
        <v>663</v>
      </c>
      <c r="I131" s="16" t="n">
        <v>1</v>
      </c>
      <c r="J131" s="16"/>
      <c r="K131" s="14"/>
      <c r="L131" s="14"/>
      <c r="M131" s="14"/>
      <c r="N131" s="14"/>
      <c r="O131" s="14"/>
      <c r="P131" s="18" t="n">
        <f aca="false">IF(N131="",0,IF(OR(M131="",O131=""),N131,(M131+4*N131+O131)/6))</f>
        <v>0</v>
      </c>
      <c r="Q131" s="14"/>
      <c r="R131" s="14"/>
      <c r="S131" s="14"/>
      <c r="T131" s="14"/>
      <c r="U131" s="16"/>
      <c r="V131" s="13"/>
      <c r="W131" s="16" t="s">
        <v>662</v>
      </c>
      <c r="X131" s="16"/>
      <c r="Y131" s="16"/>
      <c r="Z131" s="16"/>
      <c r="AA131" s="22" t="n">
        <f aca="false">IF(F131&lt;&gt;"Y",0,((SUMIF(Products!$E$5:$E$300,A131,Products!$F$5:$F$300)+SUMIF(RM_Lots!$A$5:$A$400,A131,RM_Lots!$D$5:$D$400))+IF(W131="Y",SUMIF(Products!$E$5:$E$300,A131,Products!$G$5:$G$300),0))*(1+N(V131)))</f>
        <v>0</v>
      </c>
      <c r="AB131" s="22" t="n">
        <f aca="false">IF(F131&lt;&gt;"Y",0,((SUMIF(Products!$E$5:$E$300,A131,Products!$K$5:$K$300)+SUMIF(RM_Lots!$A$5:$A$400,A131,RM_Lots!$F$5:$F$400))+IF(W131="Y",SUMIF(Products!$E$5:$E$300,A131,Products!$L$5:$L$300),0))*(1+N(V131)))</f>
        <v>0</v>
      </c>
      <c r="AC131" s="17" t="n">
        <f aca="false">IF(J131="",1,MAX(1,COUNTIFS($J$5:$J$863,J131,$F$5:$F$863,"Y")))</f>
        <v>1</v>
      </c>
      <c r="AD131" s="18" t="n">
        <f aca="false">(MAX(1,N(I131))*(P131+N(S131))+MAX(1,N(I131))*N(K131)/(MAX(1,N(U131))*AC131))*Settings!$B$9</f>
        <v>0</v>
      </c>
      <c r="AE131" s="18" t="n">
        <f aca="false">(MAX(1,N(I131))*N(Q131)+MAX(1,N(I131))*N(L131)/(MAX(1,N(U131))*AC131))*Settings!$B$8</f>
        <v>0</v>
      </c>
      <c r="AF131" s="18" t="n">
        <f aca="false">MAX(1,N(I131))*N(T131)</f>
        <v>0</v>
      </c>
      <c r="AG131" s="15" t="n">
        <f aca="false">AA131*N(AD131)</f>
        <v>0</v>
      </c>
      <c r="AH131" s="15" t="n">
        <f aca="false">AA131*N(AE131)</f>
        <v>0</v>
      </c>
      <c r="AI131" s="15" t="n">
        <f aca="false">AA131*N(AF131)</f>
        <v>0</v>
      </c>
      <c r="AJ131" s="15" t="n">
        <f aca="false">AA131*N(R131)</f>
        <v>0</v>
      </c>
      <c r="AK131" s="15" t="n">
        <f aca="false">AB131*N(AD131)</f>
        <v>0</v>
      </c>
      <c r="AL131" s="15" t="n">
        <f aca="false">AB131*N(AE131)</f>
        <v>0</v>
      </c>
      <c r="AM131" s="15" t="n">
        <f aca="false">AB131*N(AF131)</f>
        <v>0</v>
      </c>
      <c r="AN131" s="15" t="n">
        <f aca="false">AB131*N(R131)</f>
        <v>0</v>
      </c>
      <c r="AO131" s="21" t="str">
        <f aca="false">IF(F131&lt;&gt;"Y","n/a",IF(AND(N131&lt;&gt;"",OR(Q131&lt;&gt;"",G131="Other / bench",G131="None"),U131&lt;&gt;""),"OK","Missing"))</f>
        <v>Missing</v>
      </c>
    </row>
    <row r="132" customFormat="false" ht="15" hidden="false" customHeight="false" outlineLevel="0" collapsed="false">
      <c r="A132" s="10" t="s">
        <v>284</v>
      </c>
      <c r="B132" s="10" t="s">
        <v>659</v>
      </c>
      <c r="C132" s="10" t="s">
        <v>695</v>
      </c>
      <c r="D132" s="10" t="s">
        <v>661</v>
      </c>
      <c r="E132" s="21" t="str">
        <f aca="false">IF(A132="","",A132&amp;"|"&amp;D132)</f>
        <v>F22|Assay</v>
      </c>
      <c r="F132" s="16" t="s">
        <v>662</v>
      </c>
      <c r="G132" s="16" t="s">
        <v>147</v>
      </c>
      <c r="H132" s="16" t="s">
        <v>663</v>
      </c>
      <c r="I132" s="16" t="n">
        <v>1</v>
      </c>
      <c r="J132" s="16"/>
      <c r="K132" s="14"/>
      <c r="L132" s="14"/>
      <c r="M132" s="14"/>
      <c r="N132" s="14"/>
      <c r="O132" s="14"/>
      <c r="P132" s="18" t="n">
        <f aca="false">IF(N132="",0,IF(OR(M132="",O132=""),N132,(M132+4*N132+O132)/6))</f>
        <v>0</v>
      </c>
      <c r="Q132" s="14"/>
      <c r="R132" s="14"/>
      <c r="S132" s="14"/>
      <c r="T132" s="14"/>
      <c r="U132" s="16"/>
      <c r="V132" s="13"/>
      <c r="W132" s="16" t="s">
        <v>662</v>
      </c>
      <c r="X132" s="16"/>
      <c r="Y132" s="16"/>
      <c r="Z132" s="16" t="s">
        <v>696</v>
      </c>
      <c r="AA132" s="22" t="n">
        <f aca="false">IF(F132&lt;&gt;"Y",0,((SUMIF(Products!$E$5:$E$300,A132,Products!$F$5:$F$300)+SUMIF(RM_Lots!$A$5:$A$400,A132,RM_Lots!$D$5:$D$400))+IF(W132="Y",SUMIF(Products!$E$5:$E$300,A132,Products!$G$5:$G$300),0))*(1+N(V132)))</f>
        <v>0</v>
      </c>
      <c r="AB132" s="22" t="n">
        <f aca="false">IF(F132&lt;&gt;"Y",0,((SUMIF(Products!$E$5:$E$300,A132,Products!$K$5:$K$300)+SUMIF(RM_Lots!$A$5:$A$400,A132,RM_Lots!$F$5:$F$400))+IF(W132="Y",SUMIF(Products!$E$5:$E$300,A132,Products!$L$5:$L$300),0))*(1+N(V132)))</f>
        <v>0</v>
      </c>
      <c r="AC132" s="17" t="n">
        <f aca="false">IF(J132="",1,MAX(1,COUNTIFS($J$5:$J$863,J132,$F$5:$F$863,"Y")))</f>
        <v>1</v>
      </c>
      <c r="AD132" s="18" t="n">
        <f aca="false">(MAX(1,N(I132))*(P132+N(S132))+MAX(1,N(I132))*N(K132)/(MAX(1,N(U132))*AC132))*Settings!$B$9</f>
        <v>0</v>
      </c>
      <c r="AE132" s="18" t="n">
        <f aca="false">(MAX(1,N(I132))*N(Q132)+MAX(1,N(I132))*N(L132)/(MAX(1,N(U132))*AC132))*Settings!$B$8</f>
        <v>0</v>
      </c>
      <c r="AF132" s="18" t="n">
        <f aca="false">MAX(1,N(I132))*N(T132)</f>
        <v>0</v>
      </c>
      <c r="AG132" s="15" t="n">
        <f aca="false">AA132*N(AD132)</f>
        <v>0</v>
      </c>
      <c r="AH132" s="15" t="n">
        <f aca="false">AA132*N(AE132)</f>
        <v>0</v>
      </c>
      <c r="AI132" s="15" t="n">
        <f aca="false">AA132*N(AF132)</f>
        <v>0</v>
      </c>
      <c r="AJ132" s="15" t="n">
        <f aca="false">AA132*N(R132)</f>
        <v>0</v>
      </c>
      <c r="AK132" s="15" t="n">
        <f aca="false">AB132*N(AD132)</f>
        <v>0</v>
      </c>
      <c r="AL132" s="15" t="n">
        <f aca="false">AB132*N(AE132)</f>
        <v>0</v>
      </c>
      <c r="AM132" s="15" t="n">
        <f aca="false">AB132*N(AF132)</f>
        <v>0</v>
      </c>
      <c r="AN132" s="15" t="n">
        <f aca="false">AB132*N(R132)</f>
        <v>0</v>
      </c>
      <c r="AO132" s="21" t="str">
        <f aca="false">IF(F132&lt;&gt;"Y","n/a",IF(AND(N132&lt;&gt;"",OR(Q132&lt;&gt;"",G132="Other / bench",G132="None"),U132&lt;&gt;""),"OK","Missing"))</f>
        <v>Missing</v>
      </c>
    </row>
    <row r="133" customFormat="false" ht="15" hidden="false" customHeight="false" outlineLevel="0" collapsed="false">
      <c r="A133" s="10" t="s">
        <v>284</v>
      </c>
      <c r="B133" s="10" t="s">
        <v>659</v>
      </c>
      <c r="C133" s="10" t="s">
        <v>695</v>
      </c>
      <c r="D133" s="10" t="s">
        <v>664</v>
      </c>
      <c r="E133" s="21" t="str">
        <f aca="false">IF(A133="","",A133&amp;"|"&amp;D133)</f>
        <v>F22|Related substances / impurities</v>
      </c>
      <c r="F133" s="16" t="s">
        <v>662</v>
      </c>
      <c r="G133" s="16" t="s">
        <v>147</v>
      </c>
      <c r="H133" s="16" t="s">
        <v>663</v>
      </c>
      <c r="I133" s="16" t="n">
        <v>1</v>
      </c>
      <c r="J133" s="16"/>
      <c r="K133" s="14"/>
      <c r="L133" s="14"/>
      <c r="M133" s="14"/>
      <c r="N133" s="14"/>
      <c r="O133" s="14"/>
      <c r="P133" s="18" t="n">
        <f aca="false">IF(N133="",0,IF(OR(M133="",O133=""),N133,(M133+4*N133+O133)/6))</f>
        <v>0</v>
      </c>
      <c r="Q133" s="14"/>
      <c r="R133" s="14"/>
      <c r="S133" s="14"/>
      <c r="T133" s="14"/>
      <c r="U133" s="16"/>
      <c r="V133" s="13"/>
      <c r="W133" s="16" t="s">
        <v>662</v>
      </c>
      <c r="X133" s="16"/>
      <c r="Y133" s="16"/>
      <c r="Z133" s="16" t="s">
        <v>696</v>
      </c>
      <c r="AA133" s="22" t="n">
        <f aca="false">IF(F133&lt;&gt;"Y",0,((SUMIF(Products!$E$5:$E$300,A133,Products!$F$5:$F$300)+SUMIF(RM_Lots!$A$5:$A$400,A133,RM_Lots!$D$5:$D$400))+IF(W133="Y",SUMIF(Products!$E$5:$E$300,A133,Products!$G$5:$G$300),0))*(1+N(V133)))</f>
        <v>0</v>
      </c>
      <c r="AB133" s="22" t="n">
        <f aca="false">IF(F133&lt;&gt;"Y",0,((SUMIF(Products!$E$5:$E$300,A133,Products!$K$5:$K$300)+SUMIF(RM_Lots!$A$5:$A$400,A133,RM_Lots!$F$5:$F$400))+IF(W133="Y",SUMIF(Products!$E$5:$E$300,A133,Products!$L$5:$L$300),0))*(1+N(V133)))</f>
        <v>0</v>
      </c>
      <c r="AC133" s="17" t="n">
        <f aca="false">IF(J133="",1,MAX(1,COUNTIFS($J$5:$J$863,J133,$F$5:$F$863,"Y")))</f>
        <v>1</v>
      </c>
      <c r="AD133" s="18" t="n">
        <f aca="false">(MAX(1,N(I133))*(P133+N(S133))+MAX(1,N(I133))*N(K133)/(MAX(1,N(U133))*AC133))*Settings!$B$9</f>
        <v>0</v>
      </c>
      <c r="AE133" s="18" t="n">
        <f aca="false">(MAX(1,N(I133))*N(Q133)+MAX(1,N(I133))*N(L133)/(MAX(1,N(U133))*AC133))*Settings!$B$8</f>
        <v>0</v>
      </c>
      <c r="AF133" s="18" t="n">
        <f aca="false">MAX(1,N(I133))*N(T133)</f>
        <v>0</v>
      </c>
      <c r="AG133" s="15" t="n">
        <f aca="false">AA133*N(AD133)</f>
        <v>0</v>
      </c>
      <c r="AH133" s="15" t="n">
        <f aca="false">AA133*N(AE133)</f>
        <v>0</v>
      </c>
      <c r="AI133" s="15" t="n">
        <f aca="false">AA133*N(AF133)</f>
        <v>0</v>
      </c>
      <c r="AJ133" s="15" t="n">
        <f aca="false">AA133*N(R133)</f>
        <v>0</v>
      </c>
      <c r="AK133" s="15" t="n">
        <f aca="false">AB133*N(AD133)</f>
        <v>0</v>
      </c>
      <c r="AL133" s="15" t="n">
        <f aca="false">AB133*N(AE133)</f>
        <v>0</v>
      </c>
      <c r="AM133" s="15" t="n">
        <f aca="false">AB133*N(AF133)</f>
        <v>0</v>
      </c>
      <c r="AN133" s="15" t="n">
        <f aca="false">AB133*N(R133)</f>
        <v>0</v>
      </c>
      <c r="AO133" s="21" t="str">
        <f aca="false">IF(F133&lt;&gt;"Y","n/a",IF(AND(N133&lt;&gt;"",OR(Q133&lt;&gt;"",G133="Other / bench",G133="None"),U133&lt;&gt;""),"OK","Missing"))</f>
        <v>Missing</v>
      </c>
    </row>
    <row r="134" customFormat="false" ht="15" hidden="false" customHeight="false" outlineLevel="0" collapsed="false">
      <c r="A134" s="10" t="s">
        <v>284</v>
      </c>
      <c r="B134" s="10" t="s">
        <v>659</v>
      </c>
      <c r="C134" s="10" t="s">
        <v>695</v>
      </c>
      <c r="D134" s="10" t="s">
        <v>665</v>
      </c>
      <c r="E134" s="21" t="str">
        <f aca="false">IF(A134="","",A134&amp;"|"&amp;D134)</f>
        <v>F22|Dissolution</v>
      </c>
      <c r="F134" s="16" t="s">
        <v>662</v>
      </c>
      <c r="G134" s="16" t="s">
        <v>147</v>
      </c>
      <c r="H134" s="16" t="s">
        <v>663</v>
      </c>
      <c r="I134" s="16" t="n">
        <v>1</v>
      </c>
      <c r="J134" s="16"/>
      <c r="K134" s="14"/>
      <c r="L134" s="14"/>
      <c r="M134" s="14"/>
      <c r="N134" s="14"/>
      <c r="O134" s="14"/>
      <c r="P134" s="18" t="n">
        <f aca="false">IF(N134="",0,IF(OR(M134="",O134=""),N134,(M134+4*N134+O134)/6))</f>
        <v>0</v>
      </c>
      <c r="Q134" s="14"/>
      <c r="R134" s="14"/>
      <c r="S134" s="14"/>
      <c r="T134" s="14"/>
      <c r="U134" s="16"/>
      <c r="V134" s="13"/>
      <c r="W134" s="16" t="s">
        <v>662</v>
      </c>
      <c r="X134" s="16"/>
      <c r="Y134" s="16"/>
      <c r="Z134" s="16" t="s">
        <v>696</v>
      </c>
      <c r="AA134" s="22" t="n">
        <f aca="false">IF(F134&lt;&gt;"Y",0,((SUMIF(Products!$E$5:$E$300,A134,Products!$F$5:$F$300)+SUMIF(RM_Lots!$A$5:$A$400,A134,RM_Lots!$D$5:$D$400))+IF(W134="Y",SUMIF(Products!$E$5:$E$300,A134,Products!$G$5:$G$300),0))*(1+N(V134)))</f>
        <v>0</v>
      </c>
      <c r="AB134" s="22" t="n">
        <f aca="false">IF(F134&lt;&gt;"Y",0,((SUMIF(Products!$E$5:$E$300,A134,Products!$K$5:$K$300)+SUMIF(RM_Lots!$A$5:$A$400,A134,RM_Lots!$F$5:$F$400))+IF(W134="Y",SUMIF(Products!$E$5:$E$300,A134,Products!$L$5:$L$300),0))*(1+N(V134)))</f>
        <v>0</v>
      </c>
      <c r="AC134" s="17" t="n">
        <f aca="false">IF(J134="",1,MAX(1,COUNTIFS($J$5:$J$863,J134,$F$5:$F$863,"Y")))</f>
        <v>1</v>
      </c>
      <c r="AD134" s="18" t="n">
        <f aca="false">(MAX(1,N(I134))*(P134+N(S134))+MAX(1,N(I134))*N(K134)/(MAX(1,N(U134))*AC134))*Settings!$B$9</f>
        <v>0</v>
      </c>
      <c r="AE134" s="18" t="n">
        <f aca="false">(MAX(1,N(I134))*N(Q134)+MAX(1,N(I134))*N(L134)/(MAX(1,N(U134))*AC134))*Settings!$B$8</f>
        <v>0</v>
      </c>
      <c r="AF134" s="18" t="n">
        <f aca="false">MAX(1,N(I134))*N(T134)</f>
        <v>0</v>
      </c>
      <c r="AG134" s="15" t="n">
        <f aca="false">AA134*N(AD134)</f>
        <v>0</v>
      </c>
      <c r="AH134" s="15" t="n">
        <f aca="false">AA134*N(AE134)</f>
        <v>0</v>
      </c>
      <c r="AI134" s="15" t="n">
        <f aca="false">AA134*N(AF134)</f>
        <v>0</v>
      </c>
      <c r="AJ134" s="15" t="n">
        <f aca="false">AA134*N(R134)</f>
        <v>0</v>
      </c>
      <c r="AK134" s="15" t="n">
        <f aca="false">AB134*N(AD134)</f>
        <v>0</v>
      </c>
      <c r="AL134" s="15" t="n">
        <f aca="false">AB134*N(AE134)</f>
        <v>0</v>
      </c>
      <c r="AM134" s="15" t="n">
        <f aca="false">AB134*N(AF134)</f>
        <v>0</v>
      </c>
      <c r="AN134" s="15" t="n">
        <f aca="false">AB134*N(R134)</f>
        <v>0</v>
      </c>
      <c r="AO134" s="21" t="str">
        <f aca="false">IF(F134&lt;&gt;"Y","n/a",IF(AND(N134&lt;&gt;"",OR(Q134&lt;&gt;"",G134="Other / bench",G134="None"),U134&lt;&gt;""),"OK","Missing"))</f>
        <v>Missing</v>
      </c>
    </row>
    <row r="135" customFormat="false" ht="15" hidden="false" customHeight="false" outlineLevel="0" collapsed="false">
      <c r="A135" s="10" t="s">
        <v>284</v>
      </c>
      <c r="B135" s="10" t="s">
        <v>659</v>
      </c>
      <c r="C135" s="10" t="s">
        <v>695</v>
      </c>
      <c r="D135" s="10" t="s">
        <v>666</v>
      </c>
      <c r="E135" s="21" t="str">
        <f aca="false">IF(A135="","",A135&amp;"|"&amp;D135)</f>
        <v>F22|Content uniformity</v>
      </c>
      <c r="F135" s="16" t="s">
        <v>662</v>
      </c>
      <c r="G135" s="16" t="s">
        <v>147</v>
      </c>
      <c r="H135" s="16" t="s">
        <v>663</v>
      </c>
      <c r="I135" s="16" t="n">
        <v>1</v>
      </c>
      <c r="J135" s="16"/>
      <c r="K135" s="14"/>
      <c r="L135" s="14"/>
      <c r="M135" s="14"/>
      <c r="N135" s="14"/>
      <c r="O135" s="14"/>
      <c r="P135" s="18" t="n">
        <f aca="false">IF(N135="",0,IF(OR(M135="",O135=""),N135,(M135+4*N135+O135)/6))</f>
        <v>0</v>
      </c>
      <c r="Q135" s="14"/>
      <c r="R135" s="14"/>
      <c r="S135" s="14"/>
      <c r="T135" s="14"/>
      <c r="U135" s="16"/>
      <c r="V135" s="13"/>
      <c r="W135" s="16" t="s">
        <v>667</v>
      </c>
      <c r="X135" s="16"/>
      <c r="Y135" s="16"/>
      <c r="Z135" s="16" t="s">
        <v>696</v>
      </c>
      <c r="AA135" s="22" t="n">
        <f aca="false">IF(F135&lt;&gt;"Y",0,((SUMIF(Products!$E$5:$E$300,A135,Products!$F$5:$F$300)+SUMIF(RM_Lots!$A$5:$A$400,A135,RM_Lots!$D$5:$D$400))+IF(W135="Y",SUMIF(Products!$E$5:$E$300,A135,Products!$G$5:$G$300),0))*(1+N(V135)))</f>
        <v>0</v>
      </c>
      <c r="AB135" s="22" t="n">
        <f aca="false">IF(F135&lt;&gt;"Y",0,((SUMIF(Products!$E$5:$E$300,A135,Products!$K$5:$K$300)+SUMIF(RM_Lots!$A$5:$A$400,A135,RM_Lots!$F$5:$F$400))+IF(W135="Y",SUMIF(Products!$E$5:$E$300,A135,Products!$L$5:$L$300),0))*(1+N(V135)))</f>
        <v>0</v>
      </c>
      <c r="AC135" s="17" t="n">
        <f aca="false">IF(J135="",1,MAX(1,COUNTIFS($J$5:$J$863,J135,$F$5:$F$863,"Y")))</f>
        <v>1</v>
      </c>
      <c r="AD135" s="18" t="n">
        <f aca="false">(MAX(1,N(I135))*(P135+N(S135))+MAX(1,N(I135))*N(K135)/(MAX(1,N(U135))*AC135))*Settings!$B$9</f>
        <v>0</v>
      </c>
      <c r="AE135" s="18" t="n">
        <f aca="false">(MAX(1,N(I135))*N(Q135)+MAX(1,N(I135))*N(L135)/(MAX(1,N(U135))*AC135))*Settings!$B$8</f>
        <v>0</v>
      </c>
      <c r="AF135" s="18" t="n">
        <f aca="false">MAX(1,N(I135))*N(T135)</f>
        <v>0</v>
      </c>
      <c r="AG135" s="15" t="n">
        <f aca="false">AA135*N(AD135)</f>
        <v>0</v>
      </c>
      <c r="AH135" s="15" t="n">
        <f aca="false">AA135*N(AE135)</f>
        <v>0</v>
      </c>
      <c r="AI135" s="15" t="n">
        <f aca="false">AA135*N(AF135)</f>
        <v>0</v>
      </c>
      <c r="AJ135" s="15" t="n">
        <f aca="false">AA135*N(R135)</f>
        <v>0</v>
      </c>
      <c r="AK135" s="15" t="n">
        <f aca="false">AB135*N(AD135)</f>
        <v>0</v>
      </c>
      <c r="AL135" s="15" t="n">
        <f aca="false">AB135*N(AE135)</f>
        <v>0</v>
      </c>
      <c r="AM135" s="15" t="n">
        <f aca="false">AB135*N(AF135)</f>
        <v>0</v>
      </c>
      <c r="AN135" s="15" t="n">
        <f aca="false">AB135*N(R135)</f>
        <v>0</v>
      </c>
      <c r="AO135" s="21" t="str">
        <f aca="false">IF(F135&lt;&gt;"Y","n/a",IF(AND(N135&lt;&gt;"",OR(Q135&lt;&gt;"",G135="Other / bench",G135="None"),U135&lt;&gt;""),"OK","Missing"))</f>
        <v>Missing</v>
      </c>
    </row>
    <row r="136" customFormat="false" ht="15" hidden="false" customHeight="false" outlineLevel="0" collapsed="false">
      <c r="A136" s="10" t="s">
        <v>284</v>
      </c>
      <c r="B136" s="10" t="s">
        <v>659</v>
      </c>
      <c r="C136" s="10" t="s">
        <v>695</v>
      </c>
      <c r="D136" s="10" t="s">
        <v>668</v>
      </c>
      <c r="E136" s="21" t="str">
        <f aca="false">IF(A136="","",A136&amp;"|"&amp;D136)</f>
        <v>F22|Identification (if separate from assay)</v>
      </c>
      <c r="F136" s="16" t="s">
        <v>667</v>
      </c>
      <c r="G136" s="16" t="s">
        <v>147</v>
      </c>
      <c r="H136" s="16" t="s">
        <v>663</v>
      </c>
      <c r="I136" s="16" t="n">
        <v>1</v>
      </c>
      <c r="J136" s="16"/>
      <c r="K136" s="14"/>
      <c r="L136" s="14"/>
      <c r="M136" s="14"/>
      <c r="N136" s="14"/>
      <c r="O136" s="14"/>
      <c r="P136" s="18" t="n">
        <f aca="false">IF(N136="",0,IF(OR(M136="",O136=""),N136,(M136+4*N136+O136)/6))</f>
        <v>0</v>
      </c>
      <c r="Q136" s="14"/>
      <c r="R136" s="14"/>
      <c r="S136" s="14"/>
      <c r="T136" s="14"/>
      <c r="U136" s="16"/>
      <c r="V136" s="13"/>
      <c r="W136" s="16" t="s">
        <v>667</v>
      </c>
      <c r="X136" s="16"/>
      <c r="Y136" s="16"/>
      <c r="Z136" s="16" t="s">
        <v>696</v>
      </c>
      <c r="AA136" s="22" t="n">
        <f aca="false">IF(F136&lt;&gt;"Y",0,((SUMIF(Products!$E$5:$E$300,A136,Products!$F$5:$F$300)+SUMIF(RM_Lots!$A$5:$A$400,A136,RM_Lots!$D$5:$D$400))+IF(W136="Y",SUMIF(Products!$E$5:$E$300,A136,Products!$G$5:$G$300),0))*(1+N(V136)))</f>
        <v>0</v>
      </c>
      <c r="AB136" s="22" t="n">
        <f aca="false">IF(F136&lt;&gt;"Y",0,((SUMIF(Products!$E$5:$E$300,A136,Products!$K$5:$K$300)+SUMIF(RM_Lots!$A$5:$A$400,A136,RM_Lots!$F$5:$F$400))+IF(W136="Y",SUMIF(Products!$E$5:$E$300,A136,Products!$L$5:$L$300),0))*(1+N(V136)))</f>
        <v>0</v>
      </c>
      <c r="AC136" s="17" t="n">
        <f aca="false">IF(J136="",1,MAX(1,COUNTIFS($J$5:$J$863,J136,$F$5:$F$863,"Y")))</f>
        <v>1</v>
      </c>
      <c r="AD136" s="18" t="n">
        <f aca="false">(MAX(1,N(I136))*(P136+N(S136))+MAX(1,N(I136))*N(K136)/(MAX(1,N(U136))*AC136))*Settings!$B$9</f>
        <v>0</v>
      </c>
      <c r="AE136" s="18" t="n">
        <f aca="false">(MAX(1,N(I136))*N(Q136)+MAX(1,N(I136))*N(L136)/(MAX(1,N(U136))*AC136))*Settings!$B$8</f>
        <v>0</v>
      </c>
      <c r="AF136" s="18" t="n">
        <f aca="false">MAX(1,N(I136))*N(T136)</f>
        <v>0</v>
      </c>
      <c r="AG136" s="15" t="n">
        <f aca="false">AA136*N(AD136)</f>
        <v>0</v>
      </c>
      <c r="AH136" s="15" t="n">
        <f aca="false">AA136*N(AE136)</f>
        <v>0</v>
      </c>
      <c r="AI136" s="15" t="n">
        <f aca="false">AA136*N(AF136)</f>
        <v>0</v>
      </c>
      <c r="AJ136" s="15" t="n">
        <f aca="false">AA136*N(R136)</f>
        <v>0</v>
      </c>
      <c r="AK136" s="15" t="n">
        <f aca="false">AB136*N(AD136)</f>
        <v>0</v>
      </c>
      <c r="AL136" s="15" t="n">
        <f aca="false">AB136*N(AE136)</f>
        <v>0</v>
      </c>
      <c r="AM136" s="15" t="n">
        <f aca="false">AB136*N(AF136)</f>
        <v>0</v>
      </c>
      <c r="AN136" s="15" t="n">
        <f aca="false">AB136*N(R136)</f>
        <v>0</v>
      </c>
      <c r="AO136" s="21" t="str">
        <f aca="false">IF(F136&lt;&gt;"Y","n/a",IF(AND(N136&lt;&gt;"",OR(Q136&lt;&gt;"",G136="Other / bench",G136="None"),U136&lt;&gt;""),"OK","Missing"))</f>
        <v>n/a</v>
      </c>
    </row>
    <row r="137" customFormat="false" ht="15" hidden="false" customHeight="false" outlineLevel="0" collapsed="false">
      <c r="A137" s="10" t="s">
        <v>284</v>
      </c>
      <c r="B137" s="10" t="s">
        <v>659</v>
      </c>
      <c r="C137" s="10" t="s">
        <v>695</v>
      </c>
      <c r="D137" s="10" t="s">
        <v>669</v>
      </c>
      <c r="E137" s="21" t="str">
        <f aca="false">IF(A137="","",A137&amp;"|"&amp;D137)</f>
        <v>F22|Other tests (non-HPLC: physical, LOD/KF, disintegration, pH, micro...)</v>
      </c>
      <c r="F137" s="16" t="s">
        <v>662</v>
      </c>
      <c r="G137" s="16" t="s">
        <v>670</v>
      </c>
      <c r="H137" s="16" t="s">
        <v>663</v>
      </c>
      <c r="I137" s="16" t="n">
        <v>1</v>
      </c>
      <c r="J137" s="16"/>
      <c r="K137" s="14"/>
      <c r="L137" s="14"/>
      <c r="M137" s="14"/>
      <c r="N137" s="14"/>
      <c r="O137" s="14"/>
      <c r="P137" s="18" t="n">
        <f aca="false">IF(N137="",0,IF(OR(M137="",O137=""),N137,(M137+4*N137+O137)/6))</f>
        <v>0</v>
      </c>
      <c r="Q137" s="14"/>
      <c r="R137" s="14"/>
      <c r="S137" s="14"/>
      <c r="T137" s="14"/>
      <c r="U137" s="16"/>
      <c r="V137" s="13"/>
      <c r="W137" s="16" t="s">
        <v>662</v>
      </c>
      <c r="X137" s="16"/>
      <c r="Y137" s="16"/>
      <c r="Z137" s="16" t="s">
        <v>696</v>
      </c>
      <c r="AA137" s="22" t="n">
        <f aca="false">IF(F137&lt;&gt;"Y",0,((SUMIF(Products!$E$5:$E$300,A137,Products!$F$5:$F$300)+SUMIF(RM_Lots!$A$5:$A$400,A137,RM_Lots!$D$5:$D$400))+IF(W137="Y",SUMIF(Products!$E$5:$E$300,A137,Products!$G$5:$G$300),0))*(1+N(V137)))</f>
        <v>0</v>
      </c>
      <c r="AB137" s="22" t="n">
        <f aca="false">IF(F137&lt;&gt;"Y",0,((SUMIF(Products!$E$5:$E$300,A137,Products!$K$5:$K$300)+SUMIF(RM_Lots!$A$5:$A$400,A137,RM_Lots!$F$5:$F$400))+IF(W137="Y",SUMIF(Products!$E$5:$E$300,A137,Products!$L$5:$L$300),0))*(1+N(V137)))</f>
        <v>0</v>
      </c>
      <c r="AC137" s="17" t="n">
        <f aca="false">IF(J137="",1,MAX(1,COUNTIFS($J$5:$J$863,J137,$F$5:$F$863,"Y")))</f>
        <v>1</v>
      </c>
      <c r="AD137" s="18" t="n">
        <f aca="false">(MAX(1,N(I137))*(P137+N(S137))+MAX(1,N(I137))*N(K137)/(MAX(1,N(U137))*AC137))*Settings!$B$9</f>
        <v>0</v>
      </c>
      <c r="AE137" s="18" t="n">
        <f aca="false">(MAX(1,N(I137))*N(Q137)+MAX(1,N(I137))*N(L137)/(MAX(1,N(U137))*AC137))*Settings!$B$8</f>
        <v>0</v>
      </c>
      <c r="AF137" s="18" t="n">
        <f aca="false">MAX(1,N(I137))*N(T137)</f>
        <v>0</v>
      </c>
      <c r="AG137" s="15" t="n">
        <f aca="false">AA137*N(AD137)</f>
        <v>0</v>
      </c>
      <c r="AH137" s="15" t="n">
        <f aca="false">AA137*N(AE137)</f>
        <v>0</v>
      </c>
      <c r="AI137" s="15" t="n">
        <f aca="false">AA137*N(AF137)</f>
        <v>0</v>
      </c>
      <c r="AJ137" s="15" t="n">
        <f aca="false">AA137*N(R137)</f>
        <v>0</v>
      </c>
      <c r="AK137" s="15" t="n">
        <f aca="false">AB137*N(AD137)</f>
        <v>0</v>
      </c>
      <c r="AL137" s="15" t="n">
        <f aca="false">AB137*N(AE137)</f>
        <v>0</v>
      </c>
      <c r="AM137" s="15" t="n">
        <f aca="false">AB137*N(AF137)</f>
        <v>0</v>
      </c>
      <c r="AN137" s="15" t="n">
        <f aca="false">AB137*N(R137)</f>
        <v>0</v>
      </c>
      <c r="AO137" s="21" t="str">
        <f aca="false">IF(F137&lt;&gt;"Y","n/a",IF(AND(N137&lt;&gt;"",OR(Q137&lt;&gt;"",G137="Other / bench",G137="None"),U137&lt;&gt;""),"OK","Missing"))</f>
        <v>Missing</v>
      </c>
    </row>
    <row r="138" customFormat="false" ht="15" hidden="false" customHeight="false" outlineLevel="0" collapsed="false">
      <c r="A138" s="10" t="s">
        <v>288</v>
      </c>
      <c r="B138" s="10" t="s">
        <v>659</v>
      </c>
      <c r="C138" s="10" t="s">
        <v>697</v>
      </c>
      <c r="D138" s="10" t="s">
        <v>661</v>
      </c>
      <c r="E138" s="21" t="str">
        <f aca="false">IF(A138="","",A138&amp;"|"&amp;D138)</f>
        <v>F23|Assay</v>
      </c>
      <c r="F138" s="16" t="s">
        <v>662</v>
      </c>
      <c r="G138" s="16" t="s">
        <v>147</v>
      </c>
      <c r="H138" s="16" t="s">
        <v>672</v>
      </c>
      <c r="I138" s="16" t="n">
        <v>1</v>
      </c>
      <c r="J138" s="16"/>
      <c r="K138" s="14"/>
      <c r="L138" s="14"/>
      <c r="M138" s="14"/>
      <c r="N138" s="14"/>
      <c r="O138" s="14"/>
      <c r="P138" s="18" t="n">
        <f aca="false">IF(N138="",0,IF(OR(M138="",O138=""),N138,(M138+4*N138+O138)/6))</f>
        <v>0</v>
      </c>
      <c r="Q138" s="14"/>
      <c r="R138" s="14"/>
      <c r="S138" s="14"/>
      <c r="T138" s="14"/>
      <c r="U138" s="16"/>
      <c r="V138" s="13"/>
      <c r="W138" s="16" t="s">
        <v>662</v>
      </c>
      <c r="X138" s="16"/>
      <c r="Y138" s="16"/>
      <c r="Z138" s="16"/>
      <c r="AA138" s="22" t="n">
        <f aca="false">IF(F138&lt;&gt;"Y",0,((SUMIF(Products!$E$5:$E$300,A138,Products!$F$5:$F$300)+SUMIF(RM_Lots!$A$5:$A$400,A138,RM_Lots!$D$5:$D$400))+IF(W138="Y",SUMIF(Products!$E$5:$E$300,A138,Products!$G$5:$G$300),0))*(1+N(V138)))</f>
        <v>0</v>
      </c>
      <c r="AB138" s="22" t="n">
        <f aca="false">IF(F138&lt;&gt;"Y",0,((SUMIF(Products!$E$5:$E$300,A138,Products!$K$5:$K$300)+SUMIF(RM_Lots!$A$5:$A$400,A138,RM_Lots!$F$5:$F$400))+IF(W138="Y",SUMIF(Products!$E$5:$E$300,A138,Products!$L$5:$L$300),0))*(1+N(V138)))</f>
        <v>0</v>
      </c>
      <c r="AC138" s="17" t="n">
        <f aca="false">IF(J138="",1,MAX(1,COUNTIFS($J$5:$J$863,J138,$F$5:$F$863,"Y")))</f>
        <v>1</v>
      </c>
      <c r="AD138" s="18" t="n">
        <f aca="false">(MAX(1,N(I138))*(P138+N(S138))+MAX(1,N(I138))*N(K138)/(MAX(1,N(U138))*AC138))*Settings!$B$9</f>
        <v>0</v>
      </c>
      <c r="AE138" s="18" t="n">
        <f aca="false">(MAX(1,N(I138))*N(Q138)+MAX(1,N(I138))*N(L138)/(MAX(1,N(U138))*AC138))*Settings!$B$8</f>
        <v>0</v>
      </c>
      <c r="AF138" s="18" t="n">
        <f aca="false">MAX(1,N(I138))*N(T138)</f>
        <v>0</v>
      </c>
      <c r="AG138" s="15" t="n">
        <f aca="false">AA138*N(AD138)</f>
        <v>0</v>
      </c>
      <c r="AH138" s="15" t="n">
        <f aca="false">AA138*N(AE138)</f>
        <v>0</v>
      </c>
      <c r="AI138" s="15" t="n">
        <f aca="false">AA138*N(AF138)</f>
        <v>0</v>
      </c>
      <c r="AJ138" s="15" t="n">
        <f aca="false">AA138*N(R138)</f>
        <v>0</v>
      </c>
      <c r="AK138" s="15" t="n">
        <f aca="false">AB138*N(AD138)</f>
        <v>0</v>
      </c>
      <c r="AL138" s="15" t="n">
        <f aca="false">AB138*N(AE138)</f>
        <v>0</v>
      </c>
      <c r="AM138" s="15" t="n">
        <f aca="false">AB138*N(AF138)</f>
        <v>0</v>
      </c>
      <c r="AN138" s="15" t="n">
        <f aca="false">AB138*N(R138)</f>
        <v>0</v>
      </c>
      <c r="AO138" s="21" t="str">
        <f aca="false">IF(F138&lt;&gt;"Y","n/a",IF(AND(N138&lt;&gt;"",OR(Q138&lt;&gt;"",G138="Other / bench",G138="None"),U138&lt;&gt;""),"OK","Missing"))</f>
        <v>Missing</v>
      </c>
    </row>
    <row r="139" customFormat="false" ht="15" hidden="false" customHeight="false" outlineLevel="0" collapsed="false">
      <c r="A139" s="10" t="s">
        <v>288</v>
      </c>
      <c r="B139" s="10" t="s">
        <v>659</v>
      </c>
      <c r="C139" s="10" t="s">
        <v>697</v>
      </c>
      <c r="D139" s="10" t="s">
        <v>664</v>
      </c>
      <c r="E139" s="21" t="str">
        <f aca="false">IF(A139="","",A139&amp;"|"&amp;D139)</f>
        <v>F23|Related substances / impurities</v>
      </c>
      <c r="F139" s="16" t="s">
        <v>662</v>
      </c>
      <c r="G139" s="16" t="s">
        <v>147</v>
      </c>
      <c r="H139" s="16" t="s">
        <v>672</v>
      </c>
      <c r="I139" s="16" t="n">
        <v>1</v>
      </c>
      <c r="J139" s="16"/>
      <c r="K139" s="14"/>
      <c r="L139" s="14"/>
      <c r="M139" s="14"/>
      <c r="N139" s="14"/>
      <c r="O139" s="14"/>
      <c r="P139" s="18" t="n">
        <f aca="false">IF(N139="",0,IF(OR(M139="",O139=""),N139,(M139+4*N139+O139)/6))</f>
        <v>0</v>
      </c>
      <c r="Q139" s="14"/>
      <c r="R139" s="14"/>
      <c r="S139" s="14"/>
      <c r="T139" s="14"/>
      <c r="U139" s="16"/>
      <c r="V139" s="13"/>
      <c r="W139" s="16" t="s">
        <v>662</v>
      </c>
      <c r="X139" s="16"/>
      <c r="Y139" s="16"/>
      <c r="Z139" s="16"/>
      <c r="AA139" s="22" t="n">
        <f aca="false">IF(F139&lt;&gt;"Y",0,((SUMIF(Products!$E$5:$E$300,A139,Products!$F$5:$F$300)+SUMIF(RM_Lots!$A$5:$A$400,A139,RM_Lots!$D$5:$D$400))+IF(W139="Y",SUMIF(Products!$E$5:$E$300,A139,Products!$G$5:$G$300),0))*(1+N(V139)))</f>
        <v>0</v>
      </c>
      <c r="AB139" s="22" t="n">
        <f aca="false">IF(F139&lt;&gt;"Y",0,((SUMIF(Products!$E$5:$E$300,A139,Products!$K$5:$K$300)+SUMIF(RM_Lots!$A$5:$A$400,A139,RM_Lots!$F$5:$F$400))+IF(W139="Y",SUMIF(Products!$E$5:$E$300,A139,Products!$L$5:$L$300),0))*(1+N(V139)))</f>
        <v>0</v>
      </c>
      <c r="AC139" s="17" t="n">
        <f aca="false">IF(J139="",1,MAX(1,COUNTIFS($J$5:$J$863,J139,$F$5:$F$863,"Y")))</f>
        <v>1</v>
      </c>
      <c r="AD139" s="18" t="n">
        <f aca="false">(MAX(1,N(I139))*(P139+N(S139))+MAX(1,N(I139))*N(K139)/(MAX(1,N(U139))*AC139))*Settings!$B$9</f>
        <v>0</v>
      </c>
      <c r="AE139" s="18" t="n">
        <f aca="false">(MAX(1,N(I139))*N(Q139)+MAX(1,N(I139))*N(L139)/(MAX(1,N(U139))*AC139))*Settings!$B$8</f>
        <v>0</v>
      </c>
      <c r="AF139" s="18" t="n">
        <f aca="false">MAX(1,N(I139))*N(T139)</f>
        <v>0</v>
      </c>
      <c r="AG139" s="15" t="n">
        <f aca="false">AA139*N(AD139)</f>
        <v>0</v>
      </c>
      <c r="AH139" s="15" t="n">
        <f aca="false">AA139*N(AE139)</f>
        <v>0</v>
      </c>
      <c r="AI139" s="15" t="n">
        <f aca="false">AA139*N(AF139)</f>
        <v>0</v>
      </c>
      <c r="AJ139" s="15" t="n">
        <f aca="false">AA139*N(R139)</f>
        <v>0</v>
      </c>
      <c r="AK139" s="15" t="n">
        <f aca="false">AB139*N(AD139)</f>
        <v>0</v>
      </c>
      <c r="AL139" s="15" t="n">
        <f aca="false">AB139*N(AE139)</f>
        <v>0</v>
      </c>
      <c r="AM139" s="15" t="n">
        <f aca="false">AB139*N(AF139)</f>
        <v>0</v>
      </c>
      <c r="AN139" s="15" t="n">
        <f aca="false">AB139*N(R139)</f>
        <v>0</v>
      </c>
      <c r="AO139" s="21" t="str">
        <f aca="false">IF(F139&lt;&gt;"Y","n/a",IF(AND(N139&lt;&gt;"",OR(Q139&lt;&gt;"",G139="Other / bench",G139="None"),U139&lt;&gt;""),"OK","Missing"))</f>
        <v>Missing</v>
      </c>
    </row>
    <row r="140" customFormat="false" ht="15" hidden="false" customHeight="false" outlineLevel="0" collapsed="false">
      <c r="A140" s="10" t="s">
        <v>288</v>
      </c>
      <c r="B140" s="10" t="s">
        <v>659</v>
      </c>
      <c r="C140" s="10" t="s">
        <v>697</v>
      </c>
      <c r="D140" s="10" t="s">
        <v>665</v>
      </c>
      <c r="E140" s="21" t="str">
        <f aca="false">IF(A140="","",A140&amp;"|"&amp;D140)</f>
        <v>F23|Dissolution</v>
      </c>
      <c r="F140" s="16" t="s">
        <v>662</v>
      </c>
      <c r="G140" s="16" t="s">
        <v>147</v>
      </c>
      <c r="H140" s="16" t="s">
        <v>672</v>
      </c>
      <c r="I140" s="16" t="n">
        <v>1</v>
      </c>
      <c r="J140" s="16"/>
      <c r="K140" s="14"/>
      <c r="L140" s="14"/>
      <c r="M140" s="14"/>
      <c r="N140" s="14"/>
      <c r="O140" s="14"/>
      <c r="P140" s="18" t="n">
        <f aca="false">IF(N140="",0,IF(OR(M140="",O140=""),N140,(M140+4*N140+O140)/6))</f>
        <v>0</v>
      </c>
      <c r="Q140" s="14"/>
      <c r="R140" s="14"/>
      <c r="S140" s="14"/>
      <c r="T140" s="14"/>
      <c r="U140" s="16"/>
      <c r="V140" s="13"/>
      <c r="W140" s="16" t="s">
        <v>662</v>
      </c>
      <c r="X140" s="16"/>
      <c r="Y140" s="16"/>
      <c r="Z140" s="16"/>
      <c r="AA140" s="22" t="n">
        <f aca="false">IF(F140&lt;&gt;"Y",0,((SUMIF(Products!$E$5:$E$300,A140,Products!$F$5:$F$300)+SUMIF(RM_Lots!$A$5:$A$400,A140,RM_Lots!$D$5:$D$400))+IF(W140="Y",SUMIF(Products!$E$5:$E$300,A140,Products!$G$5:$G$300),0))*(1+N(V140)))</f>
        <v>0</v>
      </c>
      <c r="AB140" s="22" t="n">
        <f aca="false">IF(F140&lt;&gt;"Y",0,((SUMIF(Products!$E$5:$E$300,A140,Products!$K$5:$K$300)+SUMIF(RM_Lots!$A$5:$A$400,A140,RM_Lots!$F$5:$F$400))+IF(W140="Y",SUMIF(Products!$E$5:$E$300,A140,Products!$L$5:$L$300),0))*(1+N(V140)))</f>
        <v>0</v>
      </c>
      <c r="AC140" s="17" t="n">
        <f aca="false">IF(J140="",1,MAX(1,COUNTIFS($J$5:$J$863,J140,$F$5:$F$863,"Y")))</f>
        <v>1</v>
      </c>
      <c r="AD140" s="18" t="n">
        <f aca="false">(MAX(1,N(I140))*(P140+N(S140))+MAX(1,N(I140))*N(K140)/(MAX(1,N(U140))*AC140))*Settings!$B$9</f>
        <v>0</v>
      </c>
      <c r="AE140" s="18" t="n">
        <f aca="false">(MAX(1,N(I140))*N(Q140)+MAX(1,N(I140))*N(L140)/(MAX(1,N(U140))*AC140))*Settings!$B$8</f>
        <v>0</v>
      </c>
      <c r="AF140" s="18" t="n">
        <f aca="false">MAX(1,N(I140))*N(T140)</f>
        <v>0</v>
      </c>
      <c r="AG140" s="15" t="n">
        <f aca="false">AA140*N(AD140)</f>
        <v>0</v>
      </c>
      <c r="AH140" s="15" t="n">
        <f aca="false">AA140*N(AE140)</f>
        <v>0</v>
      </c>
      <c r="AI140" s="15" t="n">
        <f aca="false">AA140*N(AF140)</f>
        <v>0</v>
      </c>
      <c r="AJ140" s="15" t="n">
        <f aca="false">AA140*N(R140)</f>
        <v>0</v>
      </c>
      <c r="AK140" s="15" t="n">
        <f aca="false">AB140*N(AD140)</f>
        <v>0</v>
      </c>
      <c r="AL140" s="15" t="n">
        <f aca="false">AB140*N(AE140)</f>
        <v>0</v>
      </c>
      <c r="AM140" s="15" t="n">
        <f aca="false">AB140*N(AF140)</f>
        <v>0</v>
      </c>
      <c r="AN140" s="15" t="n">
        <f aca="false">AB140*N(R140)</f>
        <v>0</v>
      </c>
      <c r="AO140" s="21" t="str">
        <f aca="false">IF(F140&lt;&gt;"Y","n/a",IF(AND(N140&lt;&gt;"",OR(Q140&lt;&gt;"",G140="Other / bench",G140="None"),U140&lt;&gt;""),"OK","Missing"))</f>
        <v>Missing</v>
      </c>
    </row>
    <row r="141" customFormat="false" ht="15" hidden="false" customHeight="false" outlineLevel="0" collapsed="false">
      <c r="A141" s="10" t="s">
        <v>288</v>
      </c>
      <c r="B141" s="10" t="s">
        <v>659</v>
      </c>
      <c r="C141" s="10" t="s">
        <v>697</v>
      </c>
      <c r="D141" s="10" t="s">
        <v>666</v>
      </c>
      <c r="E141" s="21" t="str">
        <f aca="false">IF(A141="","",A141&amp;"|"&amp;D141)</f>
        <v>F23|Content uniformity</v>
      </c>
      <c r="F141" s="16" t="s">
        <v>662</v>
      </c>
      <c r="G141" s="16" t="s">
        <v>147</v>
      </c>
      <c r="H141" s="16" t="s">
        <v>672</v>
      </c>
      <c r="I141" s="16" t="n">
        <v>1</v>
      </c>
      <c r="J141" s="16"/>
      <c r="K141" s="14"/>
      <c r="L141" s="14"/>
      <c r="M141" s="14"/>
      <c r="N141" s="14"/>
      <c r="O141" s="14"/>
      <c r="P141" s="18" t="n">
        <f aca="false">IF(N141="",0,IF(OR(M141="",O141=""),N141,(M141+4*N141+O141)/6))</f>
        <v>0</v>
      </c>
      <c r="Q141" s="14"/>
      <c r="R141" s="14"/>
      <c r="S141" s="14"/>
      <c r="T141" s="14"/>
      <c r="U141" s="16"/>
      <c r="V141" s="13"/>
      <c r="W141" s="16" t="s">
        <v>667</v>
      </c>
      <c r="X141" s="16"/>
      <c r="Y141" s="16"/>
      <c r="Z141" s="16"/>
      <c r="AA141" s="22" t="n">
        <f aca="false">IF(F141&lt;&gt;"Y",0,((SUMIF(Products!$E$5:$E$300,A141,Products!$F$5:$F$300)+SUMIF(RM_Lots!$A$5:$A$400,A141,RM_Lots!$D$5:$D$400))+IF(W141="Y",SUMIF(Products!$E$5:$E$300,A141,Products!$G$5:$G$300),0))*(1+N(V141)))</f>
        <v>0</v>
      </c>
      <c r="AB141" s="22" t="n">
        <f aca="false">IF(F141&lt;&gt;"Y",0,((SUMIF(Products!$E$5:$E$300,A141,Products!$K$5:$K$300)+SUMIF(RM_Lots!$A$5:$A$400,A141,RM_Lots!$F$5:$F$400))+IF(W141="Y",SUMIF(Products!$E$5:$E$300,A141,Products!$L$5:$L$300),0))*(1+N(V141)))</f>
        <v>0</v>
      </c>
      <c r="AC141" s="17" t="n">
        <f aca="false">IF(J141="",1,MAX(1,COUNTIFS($J$5:$J$863,J141,$F$5:$F$863,"Y")))</f>
        <v>1</v>
      </c>
      <c r="AD141" s="18" t="n">
        <f aca="false">(MAX(1,N(I141))*(P141+N(S141))+MAX(1,N(I141))*N(K141)/(MAX(1,N(U141))*AC141))*Settings!$B$9</f>
        <v>0</v>
      </c>
      <c r="AE141" s="18" t="n">
        <f aca="false">(MAX(1,N(I141))*N(Q141)+MAX(1,N(I141))*N(L141)/(MAX(1,N(U141))*AC141))*Settings!$B$8</f>
        <v>0</v>
      </c>
      <c r="AF141" s="18" t="n">
        <f aca="false">MAX(1,N(I141))*N(T141)</f>
        <v>0</v>
      </c>
      <c r="AG141" s="15" t="n">
        <f aca="false">AA141*N(AD141)</f>
        <v>0</v>
      </c>
      <c r="AH141" s="15" t="n">
        <f aca="false">AA141*N(AE141)</f>
        <v>0</v>
      </c>
      <c r="AI141" s="15" t="n">
        <f aca="false">AA141*N(AF141)</f>
        <v>0</v>
      </c>
      <c r="AJ141" s="15" t="n">
        <f aca="false">AA141*N(R141)</f>
        <v>0</v>
      </c>
      <c r="AK141" s="15" t="n">
        <f aca="false">AB141*N(AD141)</f>
        <v>0</v>
      </c>
      <c r="AL141" s="15" t="n">
        <f aca="false">AB141*N(AE141)</f>
        <v>0</v>
      </c>
      <c r="AM141" s="15" t="n">
        <f aca="false">AB141*N(AF141)</f>
        <v>0</v>
      </c>
      <c r="AN141" s="15" t="n">
        <f aca="false">AB141*N(R141)</f>
        <v>0</v>
      </c>
      <c r="AO141" s="21" t="str">
        <f aca="false">IF(F141&lt;&gt;"Y","n/a",IF(AND(N141&lt;&gt;"",OR(Q141&lt;&gt;"",G141="Other / bench",G141="None"),U141&lt;&gt;""),"OK","Missing"))</f>
        <v>Missing</v>
      </c>
    </row>
    <row r="142" customFormat="false" ht="15" hidden="false" customHeight="false" outlineLevel="0" collapsed="false">
      <c r="A142" s="10" t="s">
        <v>288</v>
      </c>
      <c r="B142" s="10" t="s">
        <v>659</v>
      </c>
      <c r="C142" s="10" t="s">
        <v>697</v>
      </c>
      <c r="D142" s="10" t="s">
        <v>668</v>
      </c>
      <c r="E142" s="21" t="str">
        <f aca="false">IF(A142="","",A142&amp;"|"&amp;D142)</f>
        <v>F23|Identification (if separate from assay)</v>
      </c>
      <c r="F142" s="16" t="s">
        <v>667</v>
      </c>
      <c r="G142" s="16" t="s">
        <v>147</v>
      </c>
      <c r="H142" s="16" t="s">
        <v>672</v>
      </c>
      <c r="I142" s="16" t="n">
        <v>1</v>
      </c>
      <c r="J142" s="16"/>
      <c r="K142" s="14"/>
      <c r="L142" s="14"/>
      <c r="M142" s="14"/>
      <c r="N142" s="14"/>
      <c r="O142" s="14"/>
      <c r="P142" s="18" t="n">
        <f aca="false">IF(N142="",0,IF(OR(M142="",O142=""),N142,(M142+4*N142+O142)/6))</f>
        <v>0</v>
      </c>
      <c r="Q142" s="14"/>
      <c r="R142" s="14"/>
      <c r="S142" s="14"/>
      <c r="T142" s="14"/>
      <c r="U142" s="16"/>
      <c r="V142" s="13"/>
      <c r="W142" s="16" t="s">
        <v>667</v>
      </c>
      <c r="X142" s="16"/>
      <c r="Y142" s="16"/>
      <c r="Z142" s="16"/>
      <c r="AA142" s="22" t="n">
        <f aca="false">IF(F142&lt;&gt;"Y",0,((SUMIF(Products!$E$5:$E$300,A142,Products!$F$5:$F$300)+SUMIF(RM_Lots!$A$5:$A$400,A142,RM_Lots!$D$5:$D$400))+IF(W142="Y",SUMIF(Products!$E$5:$E$300,A142,Products!$G$5:$G$300),0))*(1+N(V142)))</f>
        <v>0</v>
      </c>
      <c r="AB142" s="22" t="n">
        <f aca="false">IF(F142&lt;&gt;"Y",0,((SUMIF(Products!$E$5:$E$300,A142,Products!$K$5:$K$300)+SUMIF(RM_Lots!$A$5:$A$400,A142,RM_Lots!$F$5:$F$400))+IF(W142="Y",SUMIF(Products!$E$5:$E$300,A142,Products!$L$5:$L$300),0))*(1+N(V142)))</f>
        <v>0</v>
      </c>
      <c r="AC142" s="17" t="n">
        <f aca="false">IF(J142="",1,MAX(1,COUNTIFS($J$5:$J$863,J142,$F$5:$F$863,"Y")))</f>
        <v>1</v>
      </c>
      <c r="AD142" s="18" t="n">
        <f aca="false">(MAX(1,N(I142))*(P142+N(S142))+MAX(1,N(I142))*N(K142)/(MAX(1,N(U142))*AC142))*Settings!$B$9</f>
        <v>0</v>
      </c>
      <c r="AE142" s="18" t="n">
        <f aca="false">(MAX(1,N(I142))*N(Q142)+MAX(1,N(I142))*N(L142)/(MAX(1,N(U142))*AC142))*Settings!$B$8</f>
        <v>0</v>
      </c>
      <c r="AF142" s="18" t="n">
        <f aca="false">MAX(1,N(I142))*N(T142)</f>
        <v>0</v>
      </c>
      <c r="AG142" s="15" t="n">
        <f aca="false">AA142*N(AD142)</f>
        <v>0</v>
      </c>
      <c r="AH142" s="15" t="n">
        <f aca="false">AA142*N(AE142)</f>
        <v>0</v>
      </c>
      <c r="AI142" s="15" t="n">
        <f aca="false">AA142*N(AF142)</f>
        <v>0</v>
      </c>
      <c r="AJ142" s="15" t="n">
        <f aca="false">AA142*N(R142)</f>
        <v>0</v>
      </c>
      <c r="AK142" s="15" t="n">
        <f aca="false">AB142*N(AD142)</f>
        <v>0</v>
      </c>
      <c r="AL142" s="15" t="n">
        <f aca="false">AB142*N(AE142)</f>
        <v>0</v>
      </c>
      <c r="AM142" s="15" t="n">
        <f aca="false">AB142*N(AF142)</f>
        <v>0</v>
      </c>
      <c r="AN142" s="15" t="n">
        <f aca="false">AB142*N(R142)</f>
        <v>0</v>
      </c>
      <c r="AO142" s="21" t="str">
        <f aca="false">IF(F142&lt;&gt;"Y","n/a",IF(AND(N142&lt;&gt;"",OR(Q142&lt;&gt;"",G142="Other / bench",G142="None"),U142&lt;&gt;""),"OK","Missing"))</f>
        <v>n/a</v>
      </c>
    </row>
    <row r="143" customFormat="false" ht="15" hidden="false" customHeight="false" outlineLevel="0" collapsed="false">
      <c r="A143" s="10" t="s">
        <v>288</v>
      </c>
      <c r="B143" s="10" t="s">
        <v>659</v>
      </c>
      <c r="C143" s="10" t="s">
        <v>697</v>
      </c>
      <c r="D143" s="10" t="s">
        <v>669</v>
      </c>
      <c r="E143" s="21" t="str">
        <f aca="false">IF(A143="","",A143&amp;"|"&amp;D143)</f>
        <v>F23|Other tests (non-HPLC: physical, LOD/KF, disintegration, pH, micro...)</v>
      </c>
      <c r="F143" s="16" t="s">
        <v>662</v>
      </c>
      <c r="G143" s="16" t="s">
        <v>670</v>
      </c>
      <c r="H143" s="16" t="s">
        <v>672</v>
      </c>
      <c r="I143" s="16" t="n">
        <v>1</v>
      </c>
      <c r="J143" s="16"/>
      <c r="K143" s="14"/>
      <c r="L143" s="14"/>
      <c r="M143" s="14"/>
      <c r="N143" s="14"/>
      <c r="O143" s="14"/>
      <c r="P143" s="18" t="n">
        <f aca="false">IF(N143="",0,IF(OR(M143="",O143=""),N143,(M143+4*N143+O143)/6))</f>
        <v>0</v>
      </c>
      <c r="Q143" s="14"/>
      <c r="R143" s="14"/>
      <c r="S143" s="14"/>
      <c r="T143" s="14"/>
      <c r="U143" s="16"/>
      <c r="V143" s="13"/>
      <c r="W143" s="16" t="s">
        <v>662</v>
      </c>
      <c r="X143" s="16"/>
      <c r="Y143" s="16"/>
      <c r="Z143" s="16"/>
      <c r="AA143" s="22" t="n">
        <f aca="false">IF(F143&lt;&gt;"Y",0,((SUMIF(Products!$E$5:$E$300,A143,Products!$F$5:$F$300)+SUMIF(RM_Lots!$A$5:$A$400,A143,RM_Lots!$D$5:$D$400))+IF(W143="Y",SUMIF(Products!$E$5:$E$300,A143,Products!$G$5:$G$300),0))*(1+N(V143)))</f>
        <v>0</v>
      </c>
      <c r="AB143" s="22" t="n">
        <f aca="false">IF(F143&lt;&gt;"Y",0,((SUMIF(Products!$E$5:$E$300,A143,Products!$K$5:$K$300)+SUMIF(RM_Lots!$A$5:$A$400,A143,RM_Lots!$F$5:$F$400))+IF(W143="Y",SUMIF(Products!$E$5:$E$300,A143,Products!$L$5:$L$300),0))*(1+N(V143)))</f>
        <v>0</v>
      </c>
      <c r="AC143" s="17" t="n">
        <f aca="false">IF(J143="",1,MAX(1,COUNTIFS($J$5:$J$863,J143,$F$5:$F$863,"Y")))</f>
        <v>1</v>
      </c>
      <c r="AD143" s="18" t="n">
        <f aca="false">(MAX(1,N(I143))*(P143+N(S143))+MAX(1,N(I143))*N(K143)/(MAX(1,N(U143))*AC143))*Settings!$B$9</f>
        <v>0</v>
      </c>
      <c r="AE143" s="18" t="n">
        <f aca="false">(MAX(1,N(I143))*N(Q143)+MAX(1,N(I143))*N(L143)/(MAX(1,N(U143))*AC143))*Settings!$B$8</f>
        <v>0</v>
      </c>
      <c r="AF143" s="18" t="n">
        <f aca="false">MAX(1,N(I143))*N(T143)</f>
        <v>0</v>
      </c>
      <c r="AG143" s="15" t="n">
        <f aca="false">AA143*N(AD143)</f>
        <v>0</v>
      </c>
      <c r="AH143" s="15" t="n">
        <f aca="false">AA143*N(AE143)</f>
        <v>0</v>
      </c>
      <c r="AI143" s="15" t="n">
        <f aca="false">AA143*N(AF143)</f>
        <v>0</v>
      </c>
      <c r="AJ143" s="15" t="n">
        <f aca="false">AA143*N(R143)</f>
        <v>0</v>
      </c>
      <c r="AK143" s="15" t="n">
        <f aca="false">AB143*N(AD143)</f>
        <v>0</v>
      </c>
      <c r="AL143" s="15" t="n">
        <f aca="false">AB143*N(AE143)</f>
        <v>0</v>
      </c>
      <c r="AM143" s="15" t="n">
        <f aca="false">AB143*N(AF143)</f>
        <v>0</v>
      </c>
      <c r="AN143" s="15" t="n">
        <f aca="false">AB143*N(R143)</f>
        <v>0</v>
      </c>
      <c r="AO143" s="21" t="str">
        <f aca="false">IF(F143&lt;&gt;"Y","n/a",IF(AND(N143&lt;&gt;"",OR(Q143&lt;&gt;"",G143="Other / bench",G143="None"),U143&lt;&gt;""),"OK","Missing"))</f>
        <v>Missing</v>
      </c>
    </row>
    <row r="144" customFormat="false" ht="15" hidden="false" customHeight="false" outlineLevel="0" collapsed="false">
      <c r="A144" s="10" t="s">
        <v>292</v>
      </c>
      <c r="B144" s="10" t="s">
        <v>659</v>
      </c>
      <c r="C144" s="10" t="s">
        <v>698</v>
      </c>
      <c r="D144" s="10" t="s">
        <v>661</v>
      </c>
      <c r="E144" s="21" t="str">
        <f aca="false">IF(A144="","",A144&amp;"|"&amp;D144)</f>
        <v>F24|Assay</v>
      </c>
      <c r="F144" s="16" t="s">
        <v>662</v>
      </c>
      <c r="G144" s="16" t="s">
        <v>147</v>
      </c>
      <c r="H144" s="16" t="s">
        <v>672</v>
      </c>
      <c r="I144" s="16" t="n">
        <v>1</v>
      </c>
      <c r="J144" s="16"/>
      <c r="K144" s="14"/>
      <c r="L144" s="14"/>
      <c r="M144" s="14"/>
      <c r="N144" s="14"/>
      <c r="O144" s="14"/>
      <c r="P144" s="18" t="n">
        <f aca="false">IF(N144="",0,IF(OR(M144="",O144=""),N144,(M144+4*N144+O144)/6))</f>
        <v>0</v>
      </c>
      <c r="Q144" s="14"/>
      <c r="R144" s="14"/>
      <c r="S144" s="14"/>
      <c r="T144" s="14"/>
      <c r="U144" s="16"/>
      <c r="V144" s="13"/>
      <c r="W144" s="16" t="s">
        <v>662</v>
      </c>
      <c r="X144" s="16"/>
      <c r="Y144" s="16"/>
      <c r="Z144" s="16"/>
      <c r="AA144" s="22" t="n">
        <f aca="false">IF(F144&lt;&gt;"Y",0,((SUMIF(Products!$E$5:$E$300,A144,Products!$F$5:$F$300)+SUMIF(RM_Lots!$A$5:$A$400,A144,RM_Lots!$D$5:$D$400))+IF(W144="Y",SUMIF(Products!$E$5:$E$300,A144,Products!$G$5:$G$300),0))*(1+N(V144)))</f>
        <v>0</v>
      </c>
      <c r="AB144" s="22" t="n">
        <f aca="false">IF(F144&lt;&gt;"Y",0,((SUMIF(Products!$E$5:$E$300,A144,Products!$K$5:$K$300)+SUMIF(RM_Lots!$A$5:$A$400,A144,RM_Lots!$F$5:$F$400))+IF(W144="Y",SUMIF(Products!$E$5:$E$300,A144,Products!$L$5:$L$300),0))*(1+N(V144)))</f>
        <v>0</v>
      </c>
      <c r="AC144" s="17" t="n">
        <f aca="false">IF(J144="",1,MAX(1,COUNTIFS($J$5:$J$863,J144,$F$5:$F$863,"Y")))</f>
        <v>1</v>
      </c>
      <c r="AD144" s="18" t="n">
        <f aca="false">(MAX(1,N(I144))*(P144+N(S144))+MAX(1,N(I144))*N(K144)/(MAX(1,N(U144))*AC144))*Settings!$B$9</f>
        <v>0</v>
      </c>
      <c r="AE144" s="18" t="n">
        <f aca="false">(MAX(1,N(I144))*N(Q144)+MAX(1,N(I144))*N(L144)/(MAX(1,N(U144))*AC144))*Settings!$B$8</f>
        <v>0</v>
      </c>
      <c r="AF144" s="18" t="n">
        <f aca="false">MAX(1,N(I144))*N(T144)</f>
        <v>0</v>
      </c>
      <c r="AG144" s="15" t="n">
        <f aca="false">AA144*N(AD144)</f>
        <v>0</v>
      </c>
      <c r="AH144" s="15" t="n">
        <f aca="false">AA144*N(AE144)</f>
        <v>0</v>
      </c>
      <c r="AI144" s="15" t="n">
        <f aca="false">AA144*N(AF144)</f>
        <v>0</v>
      </c>
      <c r="AJ144" s="15" t="n">
        <f aca="false">AA144*N(R144)</f>
        <v>0</v>
      </c>
      <c r="AK144" s="15" t="n">
        <f aca="false">AB144*N(AD144)</f>
        <v>0</v>
      </c>
      <c r="AL144" s="15" t="n">
        <f aca="false">AB144*N(AE144)</f>
        <v>0</v>
      </c>
      <c r="AM144" s="15" t="n">
        <f aca="false">AB144*N(AF144)</f>
        <v>0</v>
      </c>
      <c r="AN144" s="15" t="n">
        <f aca="false">AB144*N(R144)</f>
        <v>0</v>
      </c>
      <c r="AO144" s="21" t="str">
        <f aca="false">IF(F144&lt;&gt;"Y","n/a",IF(AND(N144&lt;&gt;"",OR(Q144&lt;&gt;"",G144="Other / bench",G144="None"),U144&lt;&gt;""),"OK","Missing"))</f>
        <v>Missing</v>
      </c>
    </row>
    <row r="145" customFormat="false" ht="15" hidden="false" customHeight="false" outlineLevel="0" collapsed="false">
      <c r="A145" s="10" t="s">
        <v>292</v>
      </c>
      <c r="B145" s="10" t="s">
        <v>659</v>
      </c>
      <c r="C145" s="10" t="s">
        <v>698</v>
      </c>
      <c r="D145" s="10" t="s">
        <v>664</v>
      </c>
      <c r="E145" s="21" t="str">
        <f aca="false">IF(A145="","",A145&amp;"|"&amp;D145)</f>
        <v>F24|Related substances / impurities</v>
      </c>
      <c r="F145" s="16" t="s">
        <v>662</v>
      </c>
      <c r="G145" s="16" t="s">
        <v>147</v>
      </c>
      <c r="H145" s="16" t="s">
        <v>672</v>
      </c>
      <c r="I145" s="16" t="n">
        <v>1</v>
      </c>
      <c r="J145" s="16"/>
      <c r="K145" s="14"/>
      <c r="L145" s="14"/>
      <c r="M145" s="14"/>
      <c r="N145" s="14"/>
      <c r="O145" s="14"/>
      <c r="P145" s="18" t="n">
        <f aca="false">IF(N145="",0,IF(OR(M145="",O145=""),N145,(M145+4*N145+O145)/6))</f>
        <v>0</v>
      </c>
      <c r="Q145" s="14"/>
      <c r="R145" s="14"/>
      <c r="S145" s="14"/>
      <c r="T145" s="14"/>
      <c r="U145" s="16"/>
      <c r="V145" s="13"/>
      <c r="W145" s="16" t="s">
        <v>662</v>
      </c>
      <c r="X145" s="16"/>
      <c r="Y145" s="16"/>
      <c r="Z145" s="16"/>
      <c r="AA145" s="22" t="n">
        <f aca="false">IF(F145&lt;&gt;"Y",0,((SUMIF(Products!$E$5:$E$300,A145,Products!$F$5:$F$300)+SUMIF(RM_Lots!$A$5:$A$400,A145,RM_Lots!$D$5:$D$400))+IF(W145="Y",SUMIF(Products!$E$5:$E$300,A145,Products!$G$5:$G$300),0))*(1+N(V145)))</f>
        <v>0</v>
      </c>
      <c r="AB145" s="22" t="n">
        <f aca="false">IF(F145&lt;&gt;"Y",0,((SUMIF(Products!$E$5:$E$300,A145,Products!$K$5:$K$300)+SUMIF(RM_Lots!$A$5:$A$400,A145,RM_Lots!$F$5:$F$400))+IF(W145="Y",SUMIF(Products!$E$5:$E$300,A145,Products!$L$5:$L$300),0))*(1+N(V145)))</f>
        <v>0</v>
      </c>
      <c r="AC145" s="17" t="n">
        <f aca="false">IF(J145="",1,MAX(1,COUNTIFS($J$5:$J$863,J145,$F$5:$F$863,"Y")))</f>
        <v>1</v>
      </c>
      <c r="AD145" s="18" t="n">
        <f aca="false">(MAX(1,N(I145))*(P145+N(S145))+MAX(1,N(I145))*N(K145)/(MAX(1,N(U145))*AC145))*Settings!$B$9</f>
        <v>0</v>
      </c>
      <c r="AE145" s="18" t="n">
        <f aca="false">(MAX(1,N(I145))*N(Q145)+MAX(1,N(I145))*N(L145)/(MAX(1,N(U145))*AC145))*Settings!$B$8</f>
        <v>0</v>
      </c>
      <c r="AF145" s="18" t="n">
        <f aca="false">MAX(1,N(I145))*N(T145)</f>
        <v>0</v>
      </c>
      <c r="AG145" s="15" t="n">
        <f aca="false">AA145*N(AD145)</f>
        <v>0</v>
      </c>
      <c r="AH145" s="15" t="n">
        <f aca="false">AA145*N(AE145)</f>
        <v>0</v>
      </c>
      <c r="AI145" s="15" t="n">
        <f aca="false">AA145*N(AF145)</f>
        <v>0</v>
      </c>
      <c r="AJ145" s="15" t="n">
        <f aca="false">AA145*N(R145)</f>
        <v>0</v>
      </c>
      <c r="AK145" s="15" t="n">
        <f aca="false">AB145*N(AD145)</f>
        <v>0</v>
      </c>
      <c r="AL145" s="15" t="n">
        <f aca="false">AB145*N(AE145)</f>
        <v>0</v>
      </c>
      <c r="AM145" s="15" t="n">
        <f aca="false">AB145*N(AF145)</f>
        <v>0</v>
      </c>
      <c r="AN145" s="15" t="n">
        <f aca="false">AB145*N(R145)</f>
        <v>0</v>
      </c>
      <c r="AO145" s="21" t="str">
        <f aca="false">IF(F145&lt;&gt;"Y","n/a",IF(AND(N145&lt;&gt;"",OR(Q145&lt;&gt;"",G145="Other / bench",G145="None"),U145&lt;&gt;""),"OK","Missing"))</f>
        <v>Missing</v>
      </c>
    </row>
    <row r="146" customFormat="false" ht="15" hidden="false" customHeight="false" outlineLevel="0" collapsed="false">
      <c r="A146" s="10" t="s">
        <v>292</v>
      </c>
      <c r="B146" s="10" t="s">
        <v>659</v>
      </c>
      <c r="C146" s="10" t="s">
        <v>698</v>
      </c>
      <c r="D146" s="10" t="s">
        <v>665</v>
      </c>
      <c r="E146" s="21" t="str">
        <f aca="false">IF(A146="","",A146&amp;"|"&amp;D146)</f>
        <v>F24|Dissolution</v>
      </c>
      <c r="F146" s="16" t="s">
        <v>662</v>
      </c>
      <c r="G146" s="16" t="s">
        <v>147</v>
      </c>
      <c r="H146" s="16" t="s">
        <v>672</v>
      </c>
      <c r="I146" s="16" t="n">
        <v>1</v>
      </c>
      <c r="J146" s="16"/>
      <c r="K146" s="14"/>
      <c r="L146" s="14"/>
      <c r="M146" s="14"/>
      <c r="N146" s="14"/>
      <c r="O146" s="14"/>
      <c r="P146" s="18" t="n">
        <f aca="false">IF(N146="",0,IF(OR(M146="",O146=""),N146,(M146+4*N146+O146)/6))</f>
        <v>0</v>
      </c>
      <c r="Q146" s="14"/>
      <c r="R146" s="14"/>
      <c r="S146" s="14"/>
      <c r="T146" s="14"/>
      <c r="U146" s="16"/>
      <c r="V146" s="13"/>
      <c r="W146" s="16" t="s">
        <v>662</v>
      </c>
      <c r="X146" s="16"/>
      <c r="Y146" s="16"/>
      <c r="Z146" s="16"/>
      <c r="AA146" s="22" t="n">
        <f aca="false">IF(F146&lt;&gt;"Y",0,((SUMIF(Products!$E$5:$E$300,A146,Products!$F$5:$F$300)+SUMIF(RM_Lots!$A$5:$A$400,A146,RM_Lots!$D$5:$D$400))+IF(W146="Y",SUMIF(Products!$E$5:$E$300,A146,Products!$G$5:$G$300),0))*(1+N(V146)))</f>
        <v>0</v>
      </c>
      <c r="AB146" s="22" t="n">
        <f aca="false">IF(F146&lt;&gt;"Y",0,((SUMIF(Products!$E$5:$E$300,A146,Products!$K$5:$K$300)+SUMIF(RM_Lots!$A$5:$A$400,A146,RM_Lots!$F$5:$F$400))+IF(W146="Y",SUMIF(Products!$E$5:$E$300,A146,Products!$L$5:$L$300),0))*(1+N(V146)))</f>
        <v>0</v>
      </c>
      <c r="AC146" s="17" t="n">
        <f aca="false">IF(J146="",1,MAX(1,COUNTIFS($J$5:$J$863,J146,$F$5:$F$863,"Y")))</f>
        <v>1</v>
      </c>
      <c r="AD146" s="18" t="n">
        <f aca="false">(MAX(1,N(I146))*(P146+N(S146))+MAX(1,N(I146))*N(K146)/(MAX(1,N(U146))*AC146))*Settings!$B$9</f>
        <v>0</v>
      </c>
      <c r="AE146" s="18" t="n">
        <f aca="false">(MAX(1,N(I146))*N(Q146)+MAX(1,N(I146))*N(L146)/(MAX(1,N(U146))*AC146))*Settings!$B$8</f>
        <v>0</v>
      </c>
      <c r="AF146" s="18" t="n">
        <f aca="false">MAX(1,N(I146))*N(T146)</f>
        <v>0</v>
      </c>
      <c r="AG146" s="15" t="n">
        <f aca="false">AA146*N(AD146)</f>
        <v>0</v>
      </c>
      <c r="AH146" s="15" t="n">
        <f aca="false">AA146*N(AE146)</f>
        <v>0</v>
      </c>
      <c r="AI146" s="15" t="n">
        <f aca="false">AA146*N(AF146)</f>
        <v>0</v>
      </c>
      <c r="AJ146" s="15" t="n">
        <f aca="false">AA146*N(R146)</f>
        <v>0</v>
      </c>
      <c r="AK146" s="15" t="n">
        <f aca="false">AB146*N(AD146)</f>
        <v>0</v>
      </c>
      <c r="AL146" s="15" t="n">
        <f aca="false">AB146*N(AE146)</f>
        <v>0</v>
      </c>
      <c r="AM146" s="15" t="n">
        <f aca="false">AB146*N(AF146)</f>
        <v>0</v>
      </c>
      <c r="AN146" s="15" t="n">
        <f aca="false">AB146*N(R146)</f>
        <v>0</v>
      </c>
      <c r="AO146" s="21" t="str">
        <f aca="false">IF(F146&lt;&gt;"Y","n/a",IF(AND(N146&lt;&gt;"",OR(Q146&lt;&gt;"",G146="Other / bench",G146="None"),U146&lt;&gt;""),"OK","Missing"))</f>
        <v>Missing</v>
      </c>
    </row>
    <row r="147" customFormat="false" ht="15" hidden="false" customHeight="false" outlineLevel="0" collapsed="false">
      <c r="A147" s="10" t="s">
        <v>292</v>
      </c>
      <c r="B147" s="10" t="s">
        <v>659</v>
      </c>
      <c r="C147" s="10" t="s">
        <v>698</v>
      </c>
      <c r="D147" s="10" t="s">
        <v>666</v>
      </c>
      <c r="E147" s="21" t="str">
        <f aca="false">IF(A147="","",A147&amp;"|"&amp;D147)</f>
        <v>F24|Content uniformity</v>
      </c>
      <c r="F147" s="16" t="s">
        <v>662</v>
      </c>
      <c r="G147" s="16" t="s">
        <v>147</v>
      </c>
      <c r="H147" s="16" t="s">
        <v>672</v>
      </c>
      <c r="I147" s="16" t="n">
        <v>1</v>
      </c>
      <c r="J147" s="16"/>
      <c r="K147" s="14"/>
      <c r="L147" s="14"/>
      <c r="M147" s="14"/>
      <c r="N147" s="14"/>
      <c r="O147" s="14"/>
      <c r="P147" s="18" t="n">
        <f aca="false">IF(N147="",0,IF(OR(M147="",O147=""),N147,(M147+4*N147+O147)/6))</f>
        <v>0</v>
      </c>
      <c r="Q147" s="14"/>
      <c r="R147" s="14"/>
      <c r="S147" s="14"/>
      <c r="T147" s="14"/>
      <c r="U147" s="16"/>
      <c r="V147" s="13"/>
      <c r="W147" s="16" t="s">
        <v>667</v>
      </c>
      <c r="X147" s="16"/>
      <c r="Y147" s="16"/>
      <c r="Z147" s="16"/>
      <c r="AA147" s="22" t="n">
        <f aca="false">IF(F147&lt;&gt;"Y",0,((SUMIF(Products!$E$5:$E$300,A147,Products!$F$5:$F$300)+SUMIF(RM_Lots!$A$5:$A$400,A147,RM_Lots!$D$5:$D$400))+IF(W147="Y",SUMIF(Products!$E$5:$E$300,A147,Products!$G$5:$G$300),0))*(1+N(V147)))</f>
        <v>0</v>
      </c>
      <c r="AB147" s="22" t="n">
        <f aca="false">IF(F147&lt;&gt;"Y",0,((SUMIF(Products!$E$5:$E$300,A147,Products!$K$5:$K$300)+SUMIF(RM_Lots!$A$5:$A$400,A147,RM_Lots!$F$5:$F$400))+IF(W147="Y",SUMIF(Products!$E$5:$E$300,A147,Products!$L$5:$L$300),0))*(1+N(V147)))</f>
        <v>0</v>
      </c>
      <c r="AC147" s="17" t="n">
        <f aca="false">IF(J147="",1,MAX(1,COUNTIFS($J$5:$J$863,J147,$F$5:$F$863,"Y")))</f>
        <v>1</v>
      </c>
      <c r="AD147" s="18" t="n">
        <f aca="false">(MAX(1,N(I147))*(P147+N(S147))+MAX(1,N(I147))*N(K147)/(MAX(1,N(U147))*AC147))*Settings!$B$9</f>
        <v>0</v>
      </c>
      <c r="AE147" s="18" t="n">
        <f aca="false">(MAX(1,N(I147))*N(Q147)+MAX(1,N(I147))*N(L147)/(MAX(1,N(U147))*AC147))*Settings!$B$8</f>
        <v>0</v>
      </c>
      <c r="AF147" s="18" t="n">
        <f aca="false">MAX(1,N(I147))*N(T147)</f>
        <v>0</v>
      </c>
      <c r="AG147" s="15" t="n">
        <f aca="false">AA147*N(AD147)</f>
        <v>0</v>
      </c>
      <c r="AH147" s="15" t="n">
        <f aca="false">AA147*N(AE147)</f>
        <v>0</v>
      </c>
      <c r="AI147" s="15" t="n">
        <f aca="false">AA147*N(AF147)</f>
        <v>0</v>
      </c>
      <c r="AJ147" s="15" t="n">
        <f aca="false">AA147*N(R147)</f>
        <v>0</v>
      </c>
      <c r="AK147" s="15" t="n">
        <f aca="false">AB147*N(AD147)</f>
        <v>0</v>
      </c>
      <c r="AL147" s="15" t="n">
        <f aca="false">AB147*N(AE147)</f>
        <v>0</v>
      </c>
      <c r="AM147" s="15" t="n">
        <f aca="false">AB147*N(AF147)</f>
        <v>0</v>
      </c>
      <c r="AN147" s="15" t="n">
        <f aca="false">AB147*N(R147)</f>
        <v>0</v>
      </c>
      <c r="AO147" s="21" t="str">
        <f aca="false">IF(F147&lt;&gt;"Y","n/a",IF(AND(N147&lt;&gt;"",OR(Q147&lt;&gt;"",G147="Other / bench",G147="None"),U147&lt;&gt;""),"OK","Missing"))</f>
        <v>Missing</v>
      </c>
    </row>
    <row r="148" customFormat="false" ht="15" hidden="false" customHeight="false" outlineLevel="0" collapsed="false">
      <c r="A148" s="10" t="s">
        <v>292</v>
      </c>
      <c r="B148" s="10" t="s">
        <v>659</v>
      </c>
      <c r="C148" s="10" t="s">
        <v>698</v>
      </c>
      <c r="D148" s="10" t="s">
        <v>668</v>
      </c>
      <c r="E148" s="21" t="str">
        <f aca="false">IF(A148="","",A148&amp;"|"&amp;D148)</f>
        <v>F24|Identification (if separate from assay)</v>
      </c>
      <c r="F148" s="16" t="s">
        <v>667</v>
      </c>
      <c r="G148" s="16" t="s">
        <v>147</v>
      </c>
      <c r="H148" s="16" t="s">
        <v>672</v>
      </c>
      <c r="I148" s="16" t="n">
        <v>1</v>
      </c>
      <c r="J148" s="16"/>
      <c r="K148" s="14"/>
      <c r="L148" s="14"/>
      <c r="M148" s="14"/>
      <c r="N148" s="14"/>
      <c r="O148" s="14"/>
      <c r="P148" s="18" t="n">
        <f aca="false">IF(N148="",0,IF(OR(M148="",O148=""),N148,(M148+4*N148+O148)/6))</f>
        <v>0</v>
      </c>
      <c r="Q148" s="14"/>
      <c r="R148" s="14"/>
      <c r="S148" s="14"/>
      <c r="T148" s="14"/>
      <c r="U148" s="16"/>
      <c r="V148" s="13"/>
      <c r="W148" s="16" t="s">
        <v>667</v>
      </c>
      <c r="X148" s="16"/>
      <c r="Y148" s="16"/>
      <c r="Z148" s="16"/>
      <c r="AA148" s="22" t="n">
        <f aca="false">IF(F148&lt;&gt;"Y",0,((SUMIF(Products!$E$5:$E$300,A148,Products!$F$5:$F$300)+SUMIF(RM_Lots!$A$5:$A$400,A148,RM_Lots!$D$5:$D$400))+IF(W148="Y",SUMIF(Products!$E$5:$E$300,A148,Products!$G$5:$G$300),0))*(1+N(V148)))</f>
        <v>0</v>
      </c>
      <c r="AB148" s="22" t="n">
        <f aca="false">IF(F148&lt;&gt;"Y",0,((SUMIF(Products!$E$5:$E$300,A148,Products!$K$5:$K$300)+SUMIF(RM_Lots!$A$5:$A$400,A148,RM_Lots!$F$5:$F$400))+IF(W148="Y",SUMIF(Products!$E$5:$E$300,A148,Products!$L$5:$L$300),0))*(1+N(V148)))</f>
        <v>0</v>
      </c>
      <c r="AC148" s="17" t="n">
        <f aca="false">IF(J148="",1,MAX(1,COUNTIFS($J$5:$J$863,J148,$F$5:$F$863,"Y")))</f>
        <v>1</v>
      </c>
      <c r="AD148" s="18" t="n">
        <f aca="false">(MAX(1,N(I148))*(P148+N(S148))+MAX(1,N(I148))*N(K148)/(MAX(1,N(U148))*AC148))*Settings!$B$9</f>
        <v>0</v>
      </c>
      <c r="AE148" s="18" t="n">
        <f aca="false">(MAX(1,N(I148))*N(Q148)+MAX(1,N(I148))*N(L148)/(MAX(1,N(U148))*AC148))*Settings!$B$8</f>
        <v>0</v>
      </c>
      <c r="AF148" s="18" t="n">
        <f aca="false">MAX(1,N(I148))*N(T148)</f>
        <v>0</v>
      </c>
      <c r="AG148" s="15" t="n">
        <f aca="false">AA148*N(AD148)</f>
        <v>0</v>
      </c>
      <c r="AH148" s="15" t="n">
        <f aca="false">AA148*N(AE148)</f>
        <v>0</v>
      </c>
      <c r="AI148" s="15" t="n">
        <f aca="false">AA148*N(AF148)</f>
        <v>0</v>
      </c>
      <c r="AJ148" s="15" t="n">
        <f aca="false">AA148*N(R148)</f>
        <v>0</v>
      </c>
      <c r="AK148" s="15" t="n">
        <f aca="false">AB148*N(AD148)</f>
        <v>0</v>
      </c>
      <c r="AL148" s="15" t="n">
        <f aca="false">AB148*N(AE148)</f>
        <v>0</v>
      </c>
      <c r="AM148" s="15" t="n">
        <f aca="false">AB148*N(AF148)</f>
        <v>0</v>
      </c>
      <c r="AN148" s="15" t="n">
        <f aca="false">AB148*N(R148)</f>
        <v>0</v>
      </c>
      <c r="AO148" s="21" t="str">
        <f aca="false">IF(F148&lt;&gt;"Y","n/a",IF(AND(N148&lt;&gt;"",OR(Q148&lt;&gt;"",G148="Other / bench",G148="None"),U148&lt;&gt;""),"OK","Missing"))</f>
        <v>n/a</v>
      </c>
    </row>
    <row r="149" customFormat="false" ht="15" hidden="false" customHeight="false" outlineLevel="0" collapsed="false">
      <c r="A149" s="10" t="s">
        <v>292</v>
      </c>
      <c r="B149" s="10" t="s">
        <v>659</v>
      </c>
      <c r="C149" s="10" t="s">
        <v>698</v>
      </c>
      <c r="D149" s="10" t="s">
        <v>669</v>
      </c>
      <c r="E149" s="21" t="str">
        <f aca="false">IF(A149="","",A149&amp;"|"&amp;D149)</f>
        <v>F24|Other tests (non-HPLC: physical, LOD/KF, disintegration, pH, micro...)</v>
      </c>
      <c r="F149" s="16" t="s">
        <v>662</v>
      </c>
      <c r="G149" s="16" t="s">
        <v>670</v>
      </c>
      <c r="H149" s="16" t="s">
        <v>672</v>
      </c>
      <c r="I149" s="16" t="n">
        <v>1</v>
      </c>
      <c r="J149" s="16"/>
      <c r="K149" s="14"/>
      <c r="L149" s="14"/>
      <c r="M149" s="14"/>
      <c r="N149" s="14"/>
      <c r="O149" s="14"/>
      <c r="P149" s="18" t="n">
        <f aca="false">IF(N149="",0,IF(OR(M149="",O149=""),N149,(M149+4*N149+O149)/6))</f>
        <v>0</v>
      </c>
      <c r="Q149" s="14"/>
      <c r="R149" s="14"/>
      <c r="S149" s="14"/>
      <c r="T149" s="14"/>
      <c r="U149" s="16"/>
      <c r="V149" s="13"/>
      <c r="W149" s="16" t="s">
        <v>662</v>
      </c>
      <c r="X149" s="16"/>
      <c r="Y149" s="16"/>
      <c r="Z149" s="16"/>
      <c r="AA149" s="22" t="n">
        <f aca="false">IF(F149&lt;&gt;"Y",0,((SUMIF(Products!$E$5:$E$300,A149,Products!$F$5:$F$300)+SUMIF(RM_Lots!$A$5:$A$400,A149,RM_Lots!$D$5:$D$400))+IF(W149="Y",SUMIF(Products!$E$5:$E$300,A149,Products!$G$5:$G$300),0))*(1+N(V149)))</f>
        <v>0</v>
      </c>
      <c r="AB149" s="22" t="n">
        <f aca="false">IF(F149&lt;&gt;"Y",0,((SUMIF(Products!$E$5:$E$300,A149,Products!$K$5:$K$300)+SUMIF(RM_Lots!$A$5:$A$400,A149,RM_Lots!$F$5:$F$400))+IF(W149="Y",SUMIF(Products!$E$5:$E$300,A149,Products!$L$5:$L$300),0))*(1+N(V149)))</f>
        <v>0</v>
      </c>
      <c r="AC149" s="17" t="n">
        <f aca="false">IF(J149="",1,MAX(1,COUNTIFS($J$5:$J$863,J149,$F$5:$F$863,"Y")))</f>
        <v>1</v>
      </c>
      <c r="AD149" s="18" t="n">
        <f aca="false">(MAX(1,N(I149))*(P149+N(S149))+MAX(1,N(I149))*N(K149)/(MAX(1,N(U149))*AC149))*Settings!$B$9</f>
        <v>0</v>
      </c>
      <c r="AE149" s="18" t="n">
        <f aca="false">(MAX(1,N(I149))*N(Q149)+MAX(1,N(I149))*N(L149)/(MAX(1,N(U149))*AC149))*Settings!$B$8</f>
        <v>0</v>
      </c>
      <c r="AF149" s="18" t="n">
        <f aca="false">MAX(1,N(I149))*N(T149)</f>
        <v>0</v>
      </c>
      <c r="AG149" s="15" t="n">
        <f aca="false">AA149*N(AD149)</f>
        <v>0</v>
      </c>
      <c r="AH149" s="15" t="n">
        <f aca="false">AA149*N(AE149)</f>
        <v>0</v>
      </c>
      <c r="AI149" s="15" t="n">
        <f aca="false">AA149*N(AF149)</f>
        <v>0</v>
      </c>
      <c r="AJ149" s="15" t="n">
        <f aca="false">AA149*N(R149)</f>
        <v>0</v>
      </c>
      <c r="AK149" s="15" t="n">
        <f aca="false">AB149*N(AD149)</f>
        <v>0</v>
      </c>
      <c r="AL149" s="15" t="n">
        <f aca="false">AB149*N(AE149)</f>
        <v>0</v>
      </c>
      <c r="AM149" s="15" t="n">
        <f aca="false">AB149*N(AF149)</f>
        <v>0</v>
      </c>
      <c r="AN149" s="15" t="n">
        <f aca="false">AB149*N(R149)</f>
        <v>0</v>
      </c>
      <c r="AO149" s="21" t="str">
        <f aca="false">IF(F149&lt;&gt;"Y","n/a",IF(AND(N149&lt;&gt;"",OR(Q149&lt;&gt;"",G149="Other / bench",G149="None"),U149&lt;&gt;""),"OK","Missing"))</f>
        <v>Missing</v>
      </c>
    </row>
    <row r="150" customFormat="false" ht="15" hidden="false" customHeight="false" outlineLevel="0" collapsed="false">
      <c r="A150" s="10" t="s">
        <v>296</v>
      </c>
      <c r="B150" s="10" t="s">
        <v>659</v>
      </c>
      <c r="C150" s="10" t="s">
        <v>699</v>
      </c>
      <c r="D150" s="10" t="s">
        <v>661</v>
      </c>
      <c r="E150" s="21" t="str">
        <f aca="false">IF(A150="","",A150&amp;"|"&amp;D150)</f>
        <v>F25|Assay</v>
      </c>
      <c r="F150" s="16" t="s">
        <v>662</v>
      </c>
      <c r="G150" s="16" t="s">
        <v>147</v>
      </c>
      <c r="H150" s="16" t="s">
        <v>663</v>
      </c>
      <c r="I150" s="16" t="n">
        <v>1</v>
      </c>
      <c r="J150" s="16"/>
      <c r="K150" s="14"/>
      <c r="L150" s="14"/>
      <c r="M150" s="14"/>
      <c r="N150" s="14"/>
      <c r="O150" s="14"/>
      <c r="P150" s="18" t="n">
        <f aca="false">IF(N150="",0,IF(OR(M150="",O150=""),N150,(M150+4*N150+O150)/6))</f>
        <v>0</v>
      </c>
      <c r="Q150" s="14"/>
      <c r="R150" s="14"/>
      <c r="S150" s="14"/>
      <c r="T150" s="14"/>
      <c r="U150" s="16"/>
      <c r="V150" s="13"/>
      <c r="W150" s="16" t="s">
        <v>662</v>
      </c>
      <c r="X150" s="16"/>
      <c r="Y150" s="16"/>
      <c r="Z150" s="16"/>
      <c r="AA150" s="22" t="n">
        <f aca="false">IF(F150&lt;&gt;"Y",0,((SUMIF(Products!$E$5:$E$300,A150,Products!$F$5:$F$300)+SUMIF(RM_Lots!$A$5:$A$400,A150,RM_Lots!$D$5:$D$400))+IF(W150="Y",SUMIF(Products!$E$5:$E$300,A150,Products!$G$5:$G$300),0))*(1+N(V150)))</f>
        <v>0</v>
      </c>
      <c r="AB150" s="22" t="n">
        <f aca="false">IF(F150&lt;&gt;"Y",0,((SUMIF(Products!$E$5:$E$300,A150,Products!$K$5:$K$300)+SUMIF(RM_Lots!$A$5:$A$400,A150,RM_Lots!$F$5:$F$400))+IF(W150="Y",SUMIF(Products!$E$5:$E$300,A150,Products!$L$5:$L$300),0))*(1+N(V150)))</f>
        <v>0</v>
      </c>
      <c r="AC150" s="17" t="n">
        <f aca="false">IF(J150="",1,MAX(1,COUNTIFS($J$5:$J$863,J150,$F$5:$F$863,"Y")))</f>
        <v>1</v>
      </c>
      <c r="AD150" s="18" t="n">
        <f aca="false">(MAX(1,N(I150))*(P150+N(S150))+MAX(1,N(I150))*N(K150)/(MAX(1,N(U150))*AC150))*Settings!$B$9</f>
        <v>0</v>
      </c>
      <c r="AE150" s="18" t="n">
        <f aca="false">(MAX(1,N(I150))*N(Q150)+MAX(1,N(I150))*N(L150)/(MAX(1,N(U150))*AC150))*Settings!$B$8</f>
        <v>0</v>
      </c>
      <c r="AF150" s="18" t="n">
        <f aca="false">MAX(1,N(I150))*N(T150)</f>
        <v>0</v>
      </c>
      <c r="AG150" s="15" t="n">
        <f aca="false">AA150*N(AD150)</f>
        <v>0</v>
      </c>
      <c r="AH150" s="15" t="n">
        <f aca="false">AA150*N(AE150)</f>
        <v>0</v>
      </c>
      <c r="AI150" s="15" t="n">
        <f aca="false">AA150*N(AF150)</f>
        <v>0</v>
      </c>
      <c r="AJ150" s="15" t="n">
        <f aca="false">AA150*N(R150)</f>
        <v>0</v>
      </c>
      <c r="AK150" s="15" t="n">
        <f aca="false">AB150*N(AD150)</f>
        <v>0</v>
      </c>
      <c r="AL150" s="15" t="n">
        <f aca="false">AB150*N(AE150)</f>
        <v>0</v>
      </c>
      <c r="AM150" s="15" t="n">
        <f aca="false">AB150*N(AF150)</f>
        <v>0</v>
      </c>
      <c r="AN150" s="15" t="n">
        <f aca="false">AB150*N(R150)</f>
        <v>0</v>
      </c>
      <c r="AO150" s="21" t="str">
        <f aca="false">IF(F150&lt;&gt;"Y","n/a",IF(AND(N150&lt;&gt;"",OR(Q150&lt;&gt;"",G150="Other / bench",G150="None"),U150&lt;&gt;""),"OK","Missing"))</f>
        <v>Missing</v>
      </c>
    </row>
    <row r="151" customFormat="false" ht="15" hidden="false" customHeight="false" outlineLevel="0" collapsed="false">
      <c r="A151" s="10" t="s">
        <v>296</v>
      </c>
      <c r="B151" s="10" t="s">
        <v>659</v>
      </c>
      <c r="C151" s="10" t="s">
        <v>699</v>
      </c>
      <c r="D151" s="10" t="s">
        <v>664</v>
      </c>
      <c r="E151" s="21" t="str">
        <f aca="false">IF(A151="","",A151&amp;"|"&amp;D151)</f>
        <v>F25|Related substances / impurities</v>
      </c>
      <c r="F151" s="16" t="s">
        <v>662</v>
      </c>
      <c r="G151" s="16" t="s">
        <v>147</v>
      </c>
      <c r="H151" s="16" t="s">
        <v>663</v>
      </c>
      <c r="I151" s="16" t="n">
        <v>1</v>
      </c>
      <c r="J151" s="16"/>
      <c r="K151" s="14"/>
      <c r="L151" s="14"/>
      <c r="M151" s="14"/>
      <c r="N151" s="14"/>
      <c r="O151" s="14"/>
      <c r="P151" s="18" t="n">
        <f aca="false">IF(N151="",0,IF(OR(M151="",O151=""),N151,(M151+4*N151+O151)/6))</f>
        <v>0</v>
      </c>
      <c r="Q151" s="14"/>
      <c r="R151" s="14"/>
      <c r="S151" s="14"/>
      <c r="T151" s="14"/>
      <c r="U151" s="16"/>
      <c r="V151" s="13"/>
      <c r="W151" s="16" t="s">
        <v>662</v>
      </c>
      <c r="X151" s="16"/>
      <c r="Y151" s="16"/>
      <c r="Z151" s="16"/>
      <c r="AA151" s="22" t="n">
        <f aca="false">IF(F151&lt;&gt;"Y",0,((SUMIF(Products!$E$5:$E$300,A151,Products!$F$5:$F$300)+SUMIF(RM_Lots!$A$5:$A$400,A151,RM_Lots!$D$5:$D$400))+IF(W151="Y",SUMIF(Products!$E$5:$E$300,A151,Products!$G$5:$G$300),0))*(1+N(V151)))</f>
        <v>0</v>
      </c>
      <c r="AB151" s="22" t="n">
        <f aca="false">IF(F151&lt;&gt;"Y",0,((SUMIF(Products!$E$5:$E$300,A151,Products!$K$5:$K$300)+SUMIF(RM_Lots!$A$5:$A$400,A151,RM_Lots!$F$5:$F$400))+IF(W151="Y",SUMIF(Products!$E$5:$E$300,A151,Products!$L$5:$L$300),0))*(1+N(V151)))</f>
        <v>0</v>
      </c>
      <c r="AC151" s="17" t="n">
        <f aca="false">IF(J151="",1,MAX(1,COUNTIFS($J$5:$J$863,J151,$F$5:$F$863,"Y")))</f>
        <v>1</v>
      </c>
      <c r="AD151" s="18" t="n">
        <f aca="false">(MAX(1,N(I151))*(P151+N(S151))+MAX(1,N(I151))*N(K151)/(MAX(1,N(U151))*AC151))*Settings!$B$9</f>
        <v>0</v>
      </c>
      <c r="AE151" s="18" t="n">
        <f aca="false">(MAX(1,N(I151))*N(Q151)+MAX(1,N(I151))*N(L151)/(MAX(1,N(U151))*AC151))*Settings!$B$8</f>
        <v>0</v>
      </c>
      <c r="AF151" s="18" t="n">
        <f aca="false">MAX(1,N(I151))*N(T151)</f>
        <v>0</v>
      </c>
      <c r="AG151" s="15" t="n">
        <f aca="false">AA151*N(AD151)</f>
        <v>0</v>
      </c>
      <c r="AH151" s="15" t="n">
        <f aca="false">AA151*N(AE151)</f>
        <v>0</v>
      </c>
      <c r="AI151" s="15" t="n">
        <f aca="false">AA151*N(AF151)</f>
        <v>0</v>
      </c>
      <c r="AJ151" s="15" t="n">
        <f aca="false">AA151*N(R151)</f>
        <v>0</v>
      </c>
      <c r="AK151" s="15" t="n">
        <f aca="false">AB151*N(AD151)</f>
        <v>0</v>
      </c>
      <c r="AL151" s="15" t="n">
        <f aca="false">AB151*N(AE151)</f>
        <v>0</v>
      </c>
      <c r="AM151" s="15" t="n">
        <f aca="false">AB151*N(AF151)</f>
        <v>0</v>
      </c>
      <c r="AN151" s="15" t="n">
        <f aca="false">AB151*N(R151)</f>
        <v>0</v>
      </c>
      <c r="AO151" s="21" t="str">
        <f aca="false">IF(F151&lt;&gt;"Y","n/a",IF(AND(N151&lt;&gt;"",OR(Q151&lt;&gt;"",G151="Other / bench",G151="None"),U151&lt;&gt;""),"OK","Missing"))</f>
        <v>Missing</v>
      </c>
    </row>
    <row r="152" customFormat="false" ht="15" hidden="false" customHeight="false" outlineLevel="0" collapsed="false">
      <c r="A152" s="10" t="s">
        <v>296</v>
      </c>
      <c r="B152" s="10" t="s">
        <v>659</v>
      </c>
      <c r="C152" s="10" t="s">
        <v>699</v>
      </c>
      <c r="D152" s="10" t="s">
        <v>665</v>
      </c>
      <c r="E152" s="21" t="str">
        <f aca="false">IF(A152="","",A152&amp;"|"&amp;D152)</f>
        <v>F25|Dissolution</v>
      </c>
      <c r="F152" s="16" t="s">
        <v>662</v>
      </c>
      <c r="G152" s="16" t="s">
        <v>147</v>
      </c>
      <c r="H152" s="16" t="s">
        <v>663</v>
      </c>
      <c r="I152" s="16" t="n">
        <v>1</v>
      </c>
      <c r="J152" s="16"/>
      <c r="K152" s="14"/>
      <c r="L152" s="14"/>
      <c r="M152" s="14"/>
      <c r="N152" s="14"/>
      <c r="O152" s="14"/>
      <c r="P152" s="18" t="n">
        <f aca="false">IF(N152="",0,IF(OR(M152="",O152=""),N152,(M152+4*N152+O152)/6))</f>
        <v>0</v>
      </c>
      <c r="Q152" s="14"/>
      <c r="R152" s="14"/>
      <c r="S152" s="14"/>
      <c r="T152" s="14"/>
      <c r="U152" s="16"/>
      <c r="V152" s="13"/>
      <c r="W152" s="16" t="s">
        <v>662</v>
      </c>
      <c r="X152" s="16"/>
      <c r="Y152" s="16"/>
      <c r="Z152" s="16"/>
      <c r="AA152" s="22" t="n">
        <f aca="false">IF(F152&lt;&gt;"Y",0,((SUMIF(Products!$E$5:$E$300,A152,Products!$F$5:$F$300)+SUMIF(RM_Lots!$A$5:$A$400,A152,RM_Lots!$D$5:$D$400))+IF(W152="Y",SUMIF(Products!$E$5:$E$300,A152,Products!$G$5:$G$300),0))*(1+N(V152)))</f>
        <v>0</v>
      </c>
      <c r="AB152" s="22" t="n">
        <f aca="false">IF(F152&lt;&gt;"Y",0,((SUMIF(Products!$E$5:$E$300,A152,Products!$K$5:$K$300)+SUMIF(RM_Lots!$A$5:$A$400,A152,RM_Lots!$F$5:$F$400))+IF(W152="Y",SUMIF(Products!$E$5:$E$300,A152,Products!$L$5:$L$300),0))*(1+N(V152)))</f>
        <v>0</v>
      </c>
      <c r="AC152" s="17" t="n">
        <f aca="false">IF(J152="",1,MAX(1,COUNTIFS($J$5:$J$863,J152,$F$5:$F$863,"Y")))</f>
        <v>1</v>
      </c>
      <c r="AD152" s="18" t="n">
        <f aca="false">(MAX(1,N(I152))*(P152+N(S152))+MAX(1,N(I152))*N(K152)/(MAX(1,N(U152))*AC152))*Settings!$B$9</f>
        <v>0</v>
      </c>
      <c r="AE152" s="18" t="n">
        <f aca="false">(MAX(1,N(I152))*N(Q152)+MAX(1,N(I152))*N(L152)/(MAX(1,N(U152))*AC152))*Settings!$B$8</f>
        <v>0</v>
      </c>
      <c r="AF152" s="18" t="n">
        <f aca="false">MAX(1,N(I152))*N(T152)</f>
        <v>0</v>
      </c>
      <c r="AG152" s="15" t="n">
        <f aca="false">AA152*N(AD152)</f>
        <v>0</v>
      </c>
      <c r="AH152" s="15" t="n">
        <f aca="false">AA152*N(AE152)</f>
        <v>0</v>
      </c>
      <c r="AI152" s="15" t="n">
        <f aca="false">AA152*N(AF152)</f>
        <v>0</v>
      </c>
      <c r="AJ152" s="15" t="n">
        <f aca="false">AA152*N(R152)</f>
        <v>0</v>
      </c>
      <c r="AK152" s="15" t="n">
        <f aca="false">AB152*N(AD152)</f>
        <v>0</v>
      </c>
      <c r="AL152" s="15" t="n">
        <f aca="false">AB152*N(AE152)</f>
        <v>0</v>
      </c>
      <c r="AM152" s="15" t="n">
        <f aca="false">AB152*N(AF152)</f>
        <v>0</v>
      </c>
      <c r="AN152" s="15" t="n">
        <f aca="false">AB152*N(R152)</f>
        <v>0</v>
      </c>
      <c r="AO152" s="21" t="str">
        <f aca="false">IF(F152&lt;&gt;"Y","n/a",IF(AND(N152&lt;&gt;"",OR(Q152&lt;&gt;"",G152="Other / bench",G152="None"),U152&lt;&gt;""),"OK","Missing"))</f>
        <v>Missing</v>
      </c>
    </row>
    <row r="153" customFormat="false" ht="15" hidden="false" customHeight="false" outlineLevel="0" collapsed="false">
      <c r="A153" s="10" t="s">
        <v>296</v>
      </c>
      <c r="B153" s="10" t="s">
        <v>659</v>
      </c>
      <c r="C153" s="10" t="s">
        <v>699</v>
      </c>
      <c r="D153" s="10" t="s">
        <v>666</v>
      </c>
      <c r="E153" s="21" t="str">
        <f aca="false">IF(A153="","",A153&amp;"|"&amp;D153)</f>
        <v>F25|Content uniformity</v>
      </c>
      <c r="F153" s="16" t="s">
        <v>662</v>
      </c>
      <c r="G153" s="16" t="s">
        <v>147</v>
      </c>
      <c r="H153" s="16" t="s">
        <v>663</v>
      </c>
      <c r="I153" s="16" t="n">
        <v>1</v>
      </c>
      <c r="J153" s="16"/>
      <c r="K153" s="14"/>
      <c r="L153" s="14"/>
      <c r="M153" s="14"/>
      <c r="N153" s="14"/>
      <c r="O153" s="14"/>
      <c r="P153" s="18" t="n">
        <f aca="false">IF(N153="",0,IF(OR(M153="",O153=""),N153,(M153+4*N153+O153)/6))</f>
        <v>0</v>
      </c>
      <c r="Q153" s="14"/>
      <c r="R153" s="14"/>
      <c r="S153" s="14"/>
      <c r="T153" s="14"/>
      <c r="U153" s="16"/>
      <c r="V153" s="13"/>
      <c r="W153" s="16" t="s">
        <v>667</v>
      </c>
      <c r="X153" s="16"/>
      <c r="Y153" s="16"/>
      <c r="Z153" s="16"/>
      <c r="AA153" s="22" t="n">
        <f aca="false">IF(F153&lt;&gt;"Y",0,((SUMIF(Products!$E$5:$E$300,A153,Products!$F$5:$F$300)+SUMIF(RM_Lots!$A$5:$A$400,A153,RM_Lots!$D$5:$D$400))+IF(W153="Y",SUMIF(Products!$E$5:$E$300,A153,Products!$G$5:$G$300),0))*(1+N(V153)))</f>
        <v>0</v>
      </c>
      <c r="AB153" s="22" t="n">
        <f aca="false">IF(F153&lt;&gt;"Y",0,((SUMIF(Products!$E$5:$E$300,A153,Products!$K$5:$K$300)+SUMIF(RM_Lots!$A$5:$A$400,A153,RM_Lots!$F$5:$F$400))+IF(W153="Y",SUMIF(Products!$E$5:$E$300,A153,Products!$L$5:$L$300),0))*(1+N(V153)))</f>
        <v>0</v>
      </c>
      <c r="AC153" s="17" t="n">
        <f aca="false">IF(J153="",1,MAX(1,COUNTIFS($J$5:$J$863,J153,$F$5:$F$863,"Y")))</f>
        <v>1</v>
      </c>
      <c r="AD153" s="18" t="n">
        <f aca="false">(MAX(1,N(I153))*(P153+N(S153))+MAX(1,N(I153))*N(K153)/(MAX(1,N(U153))*AC153))*Settings!$B$9</f>
        <v>0</v>
      </c>
      <c r="AE153" s="18" t="n">
        <f aca="false">(MAX(1,N(I153))*N(Q153)+MAX(1,N(I153))*N(L153)/(MAX(1,N(U153))*AC153))*Settings!$B$8</f>
        <v>0</v>
      </c>
      <c r="AF153" s="18" t="n">
        <f aca="false">MAX(1,N(I153))*N(T153)</f>
        <v>0</v>
      </c>
      <c r="AG153" s="15" t="n">
        <f aca="false">AA153*N(AD153)</f>
        <v>0</v>
      </c>
      <c r="AH153" s="15" t="n">
        <f aca="false">AA153*N(AE153)</f>
        <v>0</v>
      </c>
      <c r="AI153" s="15" t="n">
        <f aca="false">AA153*N(AF153)</f>
        <v>0</v>
      </c>
      <c r="AJ153" s="15" t="n">
        <f aca="false">AA153*N(R153)</f>
        <v>0</v>
      </c>
      <c r="AK153" s="15" t="n">
        <f aca="false">AB153*N(AD153)</f>
        <v>0</v>
      </c>
      <c r="AL153" s="15" t="n">
        <f aca="false">AB153*N(AE153)</f>
        <v>0</v>
      </c>
      <c r="AM153" s="15" t="n">
        <f aca="false">AB153*N(AF153)</f>
        <v>0</v>
      </c>
      <c r="AN153" s="15" t="n">
        <f aca="false">AB153*N(R153)</f>
        <v>0</v>
      </c>
      <c r="AO153" s="21" t="str">
        <f aca="false">IF(F153&lt;&gt;"Y","n/a",IF(AND(N153&lt;&gt;"",OR(Q153&lt;&gt;"",G153="Other / bench",G153="None"),U153&lt;&gt;""),"OK","Missing"))</f>
        <v>Missing</v>
      </c>
    </row>
    <row r="154" customFormat="false" ht="15" hidden="false" customHeight="false" outlineLevel="0" collapsed="false">
      <c r="A154" s="10" t="s">
        <v>296</v>
      </c>
      <c r="B154" s="10" t="s">
        <v>659</v>
      </c>
      <c r="C154" s="10" t="s">
        <v>699</v>
      </c>
      <c r="D154" s="10" t="s">
        <v>668</v>
      </c>
      <c r="E154" s="21" t="str">
        <f aca="false">IF(A154="","",A154&amp;"|"&amp;D154)</f>
        <v>F25|Identification (if separate from assay)</v>
      </c>
      <c r="F154" s="16" t="s">
        <v>667</v>
      </c>
      <c r="G154" s="16" t="s">
        <v>147</v>
      </c>
      <c r="H154" s="16" t="s">
        <v>663</v>
      </c>
      <c r="I154" s="16" t="n">
        <v>1</v>
      </c>
      <c r="J154" s="16"/>
      <c r="K154" s="14"/>
      <c r="L154" s="14"/>
      <c r="M154" s="14"/>
      <c r="N154" s="14"/>
      <c r="O154" s="14"/>
      <c r="P154" s="18" t="n">
        <f aca="false">IF(N154="",0,IF(OR(M154="",O154=""),N154,(M154+4*N154+O154)/6))</f>
        <v>0</v>
      </c>
      <c r="Q154" s="14"/>
      <c r="R154" s="14"/>
      <c r="S154" s="14"/>
      <c r="T154" s="14"/>
      <c r="U154" s="16"/>
      <c r="V154" s="13"/>
      <c r="W154" s="16" t="s">
        <v>667</v>
      </c>
      <c r="X154" s="16"/>
      <c r="Y154" s="16"/>
      <c r="Z154" s="16"/>
      <c r="AA154" s="22" t="n">
        <f aca="false">IF(F154&lt;&gt;"Y",0,((SUMIF(Products!$E$5:$E$300,A154,Products!$F$5:$F$300)+SUMIF(RM_Lots!$A$5:$A$400,A154,RM_Lots!$D$5:$D$400))+IF(W154="Y",SUMIF(Products!$E$5:$E$300,A154,Products!$G$5:$G$300),0))*(1+N(V154)))</f>
        <v>0</v>
      </c>
      <c r="AB154" s="22" t="n">
        <f aca="false">IF(F154&lt;&gt;"Y",0,((SUMIF(Products!$E$5:$E$300,A154,Products!$K$5:$K$300)+SUMIF(RM_Lots!$A$5:$A$400,A154,RM_Lots!$F$5:$F$400))+IF(W154="Y",SUMIF(Products!$E$5:$E$300,A154,Products!$L$5:$L$300),0))*(1+N(V154)))</f>
        <v>0</v>
      </c>
      <c r="AC154" s="17" t="n">
        <f aca="false">IF(J154="",1,MAX(1,COUNTIFS($J$5:$J$863,J154,$F$5:$F$863,"Y")))</f>
        <v>1</v>
      </c>
      <c r="AD154" s="18" t="n">
        <f aca="false">(MAX(1,N(I154))*(P154+N(S154))+MAX(1,N(I154))*N(K154)/(MAX(1,N(U154))*AC154))*Settings!$B$9</f>
        <v>0</v>
      </c>
      <c r="AE154" s="18" t="n">
        <f aca="false">(MAX(1,N(I154))*N(Q154)+MAX(1,N(I154))*N(L154)/(MAX(1,N(U154))*AC154))*Settings!$B$8</f>
        <v>0</v>
      </c>
      <c r="AF154" s="18" t="n">
        <f aca="false">MAX(1,N(I154))*N(T154)</f>
        <v>0</v>
      </c>
      <c r="AG154" s="15" t="n">
        <f aca="false">AA154*N(AD154)</f>
        <v>0</v>
      </c>
      <c r="AH154" s="15" t="n">
        <f aca="false">AA154*N(AE154)</f>
        <v>0</v>
      </c>
      <c r="AI154" s="15" t="n">
        <f aca="false">AA154*N(AF154)</f>
        <v>0</v>
      </c>
      <c r="AJ154" s="15" t="n">
        <f aca="false">AA154*N(R154)</f>
        <v>0</v>
      </c>
      <c r="AK154" s="15" t="n">
        <f aca="false">AB154*N(AD154)</f>
        <v>0</v>
      </c>
      <c r="AL154" s="15" t="n">
        <f aca="false">AB154*N(AE154)</f>
        <v>0</v>
      </c>
      <c r="AM154" s="15" t="n">
        <f aca="false">AB154*N(AF154)</f>
        <v>0</v>
      </c>
      <c r="AN154" s="15" t="n">
        <f aca="false">AB154*N(R154)</f>
        <v>0</v>
      </c>
      <c r="AO154" s="21" t="str">
        <f aca="false">IF(F154&lt;&gt;"Y","n/a",IF(AND(N154&lt;&gt;"",OR(Q154&lt;&gt;"",G154="Other / bench",G154="None"),U154&lt;&gt;""),"OK","Missing"))</f>
        <v>n/a</v>
      </c>
    </row>
    <row r="155" customFormat="false" ht="15" hidden="false" customHeight="false" outlineLevel="0" collapsed="false">
      <c r="A155" s="10" t="s">
        <v>296</v>
      </c>
      <c r="B155" s="10" t="s">
        <v>659</v>
      </c>
      <c r="C155" s="10" t="s">
        <v>699</v>
      </c>
      <c r="D155" s="10" t="s">
        <v>669</v>
      </c>
      <c r="E155" s="21" t="str">
        <f aca="false">IF(A155="","",A155&amp;"|"&amp;D155)</f>
        <v>F25|Other tests (non-HPLC: physical, LOD/KF, disintegration, pH, micro...)</v>
      </c>
      <c r="F155" s="16" t="s">
        <v>662</v>
      </c>
      <c r="G155" s="16" t="s">
        <v>670</v>
      </c>
      <c r="H155" s="16" t="s">
        <v>663</v>
      </c>
      <c r="I155" s="16" t="n">
        <v>1</v>
      </c>
      <c r="J155" s="16"/>
      <c r="K155" s="14"/>
      <c r="L155" s="14"/>
      <c r="M155" s="14"/>
      <c r="N155" s="14"/>
      <c r="O155" s="14"/>
      <c r="P155" s="18" t="n">
        <f aca="false">IF(N155="",0,IF(OR(M155="",O155=""),N155,(M155+4*N155+O155)/6))</f>
        <v>0</v>
      </c>
      <c r="Q155" s="14"/>
      <c r="R155" s="14"/>
      <c r="S155" s="14"/>
      <c r="T155" s="14"/>
      <c r="U155" s="16"/>
      <c r="V155" s="13"/>
      <c r="W155" s="16" t="s">
        <v>662</v>
      </c>
      <c r="X155" s="16"/>
      <c r="Y155" s="16"/>
      <c r="Z155" s="16"/>
      <c r="AA155" s="22" t="n">
        <f aca="false">IF(F155&lt;&gt;"Y",0,((SUMIF(Products!$E$5:$E$300,A155,Products!$F$5:$F$300)+SUMIF(RM_Lots!$A$5:$A$400,A155,RM_Lots!$D$5:$D$400))+IF(W155="Y",SUMIF(Products!$E$5:$E$300,A155,Products!$G$5:$G$300),0))*(1+N(V155)))</f>
        <v>0</v>
      </c>
      <c r="AB155" s="22" t="n">
        <f aca="false">IF(F155&lt;&gt;"Y",0,((SUMIF(Products!$E$5:$E$300,A155,Products!$K$5:$K$300)+SUMIF(RM_Lots!$A$5:$A$400,A155,RM_Lots!$F$5:$F$400))+IF(W155="Y",SUMIF(Products!$E$5:$E$300,A155,Products!$L$5:$L$300),0))*(1+N(V155)))</f>
        <v>0</v>
      </c>
      <c r="AC155" s="17" t="n">
        <f aca="false">IF(J155="",1,MAX(1,COUNTIFS($J$5:$J$863,J155,$F$5:$F$863,"Y")))</f>
        <v>1</v>
      </c>
      <c r="AD155" s="18" t="n">
        <f aca="false">(MAX(1,N(I155))*(P155+N(S155))+MAX(1,N(I155))*N(K155)/(MAX(1,N(U155))*AC155))*Settings!$B$9</f>
        <v>0</v>
      </c>
      <c r="AE155" s="18" t="n">
        <f aca="false">(MAX(1,N(I155))*N(Q155)+MAX(1,N(I155))*N(L155)/(MAX(1,N(U155))*AC155))*Settings!$B$8</f>
        <v>0</v>
      </c>
      <c r="AF155" s="18" t="n">
        <f aca="false">MAX(1,N(I155))*N(T155)</f>
        <v>0</v>
      </c>
      <c r="AG155" s="15" t="n">
        <f aca="false">AA155*N(AD155)</f>
        <v>0</v>
      </c>
      <c r="AH155" s="15" t="n">
        <f aca="false">AA155*N(AE155)</f>
        <v>0</v>
      </c>
      <c r="AI155" s="15" t="n">
        <f aca="false">AA155*N(AF155)</f>
        <v>0</v>
      </c>
      <c r="AJ155" s="15" t="n">
        <f aca="false">AA155*N(R155)</f>
        <v>0</v>
      </c>
      <c r="AK155" s="15" t="n">
        <f aca="false">AB155*N(AD155)</f>
        <v>0</v>
      </c>
      <c r="AL155" s="15" t="n">
        <f aca="false">AB155*N(AE155)</f>
        <v>0</v>
      </c>
      <c r="AM155" s="15" t="n">
        <f aca="false">AB155*N(AF155)</f>
        <v>0</v>
      </c>
      <c r="AN155" s="15" t="n">
        <f aca="false">AB155*N(R155)</f>
        <v>0</v>
      </c>
      <c r="AO155" s="21" t="str">
        <f aca="false">IF(F155&lt;&gt;"Y","n/a",IF(AND(N155&lt;&gt;"",OR(Q155&lt;&gt;"",G155="Other / bench",G155="None"),U155&lt;&gt;""),"OK","Missing"))</f>
        <v>Missing</v>
      </c>
    </row>
    <row r="156" customFormat="false" ht="15" hidden="false" customHeight="false" outlineLevel="0" collapsed="false">
      <c r="A156" s="10" t="s">
        <v>300</v>
      </c>
      <c r="B156" s="10" t="s">
        <v>659</v>
      </c>
      <c r="C156" s="10" t="s">
        <v>700</v>
      </c>
      <c r="D156" s="10" t="s">
        <v>661</v>
      </c>
      <c r="E156" s="21" t="str">
        <f aca="false">IF(A156="","",A156&amp;"|"&amp;D156)</f>
        <v>F26|Assay</v>
      </c>
      <c r="F156" s="16" t="s">
        <v>662</v>
      </c>
      <c r="G156" s="16" t="s">
        <v>147</v>
      </c>
      <c r="H156" s="16" t="s">
        <v>685</v>
      </c>
      <c r="I156" s="16" t="n">
        <v>1</v>
      </c>
      <c r="J156" s="16"/>
      <c r="K156" s="14"/>
      <c r="L156" s="14"/>
      <c r="M156" s="14"/>
      <c r="N156" s="14"/>
      <c r="O156" s="14"/>
      <c r="P156" s="18" t="n">
        <f aca="false">IF(N156="",0,IF(OR(M156="",O156=""),N156,(M156+4*N156+O156)/6))</f>
        <v>0</v>
      </c>
      <c r="Q156" s="14"/>
      <c r="R156" s="14"/>
      <c r="S156" s="14"/>
      <c r="T156" s="14"/>
      <c r="U156" s="16"/>
      <c r="V156" s="13"/>
      <c r="W156" s="16" t="s">
        <v>662</v>
      </c>
      <c r="X156" s="16"/>
      <c r="Y156" s="16"/>
      <c r="Z156" s="16"/>
      <c r="AA156" s="22" t="n">
        <f aca="false">IF(F156&lt;&gt;"Y",0,((SUMIF(Products!$E$5:$E$300,A156,Products!$F$5:$F$300)+SUMIF(RM_Lots!$A$5:$A$400,A156,RM_Lots!$D$5:$D$400))+IF(W156="Y",SUMIF(Products!$E$5:$E$300,A156,Products!$G$5:$G$300),0))*(1+N(V156)))</f>
        <v>0</v>
      </c>
      <c r="AB156" s="22" t="n">
        <f aca="false">IF(F156&lt;&gt;"Y",0,((SUMIF(Products!$E$5:$E$300,A156,Products!$K$5:$K$300)+SUMIF(RM_Lots!$A$5:$A$400,A156,RM_Lots!$F$5:$F$400))+IF(W156="Y",SUMIF(Products!$E$5:$E$300,A156,Products!$L$5:$L$300),0))*(1+N(V156)))</f>
        <v>0</v>
      </c>
      <c r="AC156" s="17" t="n">
        <f aca="false">IF(J156="",1,MAX(1,COUNTIFS($J$5:$J$863,J156,$F$5:$F$863,"Y")))</f>
        <v>1</v>
      </c>
      <c r="AD156" s="18" t="n">
        <f aca="false">(MAX(1,N(I156))*(P156+N(S156))+MAX(1,N(I156))*N(K156)/(MAX(1,N(U156))*AC156))*Settings!$B$9</f>
        <v>0</v>
      </c>
      <c r="AE156" s="18" t="n">
        <f aca="false">(MAX(1,N(I156))*N(Q156)+MAX(1,N(I156))*N(L156)/(MAX(1,N(U156))*AC156))*Settings!$B$8</f>
        <v>0</v>
      </c>
      <c r="AF156" s="18" t="n">
        <f aca="false">MAX(1,N(I156))*N(T156)</f>
        <v>0</v>
      </c>
      <c r="AG156" s="15" t="n">
        <f aca="false">AA156*N(AD156)</f>
        <v>0</v>
      </c>
      <c r="AH156" s="15" t="n">
        <f aca="false">AA156*N(AE156)</f>
        <v>0</v>
      </c>
      <c r="AI156" s="15" t="n">
        <f aca="false">AA156*N(AF156)</f>
        <v>0</v>
      </c>
      <c r="AJ156" s="15" t="n">
        <f aca="false">AA156*N(R156)</f>
        <v>0</v>
      </c>
      <c r="AK156" s="15" t="n">
        <f aca="false">AB156*N(AD156)</f>
        <v>0</v>
      </c>
      <c r="AL156" s="15" t="n">
        <f aca="false">AB156*N(AE156)</f>
        <v>0</v>
      </c>
      <c r="AM156" s="15" t="n">
        <f aca="false">AB156*N(AF156)</f>
        <v>0</v>
      </c>
      <c r="AN156" s="15" t="n">
        <f aca="false">AB156*N(R156)</f>
        <v>0</v>
      </c>
      <c r="AO156" s="21" t="str">
        <f aca="false">IF(F156&lt;&gt;"Y","n/a",IF(AND(N156&lt;&gt;"",OR(Q156&lt;&gt;"",G156="Other / bench",G156="None"),U156&lt;&gt;""),"OK","Missing"))</f>
        <v>Missing</v>
      </c>
    </row>
    <row r="157" customFormat="false" ht="15" hidden="false" customHeight="false" outlineLevel="0" collapsed="false">
      <c r="A157" s="10" t="s">
        <v>300</v>
      </c>
      <c r="B157" s="10" t="s">
        <v>659</v>
      </c>
      <c r="C157" s="10" t="s">
        <v>700</v>
      </c>
      <c r="D157" s="10" t="s">
        <v>664</v>
      </c>
      <c r="E157" s="21" t="str">
        <f aca="false">IF(A157="","",A157&amp;"|"&amp;D157)</f>
        <v>F26|Related substances / impurities</v>
      </c>
      <c r="F157" s="16" t="s">
        <v>662</v>
      </c>
      <c r="G157" s="16" t="s">
        <v>147</v>
      </c>
      <c r="H157" s="16" t="s">
        <v>685</v>
      </c>
      <c r="I157" s="16" t="n">
        <v>1</v>
      </c>
      <c r="J157" s="16"/>
      <c r="K157" s="14"/>
      <c r="L157" s="14"/>
      <c r="M157" s="14"/>
      <c r="N157" s="14"/>
      <c r="O157" s="14"/>
      <c r="P157" s="18" t="n">
        <f aca="false">IF(N157="",0,IF(OR(M157="",O157=""),N157,(M157+4*N157+O157)/6))</f>
        <v>0</v>
      </c>
      <c r="Q157" s="14"/>
      <c r="R157" s="14"/>
      <c r="S157" s="14"/>
      <c r="T157" s="14"/>
      <c r="U157" s="16"/>
      <c r="V157" s="13"/>
      <c r="W157" s="16" t="s">
        <v>662</v>
      </c>
      <c r="X157" s="16"/>
      <c r="Y157" s="16"/>
      <c r="Z157" s="16"/>
      <c r="AA157" s="22" t="n">
        <f aca="false">IF(F157&lt;&gt;"Y",0,((SUMIF(Products!$E$5:$E$300,A157,Products!$F$5:$F$300)+SUMIF(RM_Lots!$A$5:$A$400,A157,RM_Lots!$D$5:$D$400))+IF(W157="Y",SUMIF(Products!$E$5:$E$300,A157,Products!$G$5:$G$300),0))*(1+N(V157)))</f>
        <v>0</v>
      </c>
      <c r="AB157" s="22" t="n">
        <f aca="false">IF(F157&lt;&gt;"Y",0,((SUMIF(Products!$E$5:$E$300,A157,Products!$K$5:$K$300)+SUMIF(RM_Lots!$A$5:$A$400,A157,RM_Lots!$F$5:$F$400))+IF(W157="Y",SUMIF(Products!$E$5:$E$300,A157,Products!$L$5:$L$300),0))*(1+N(V157)))</f>
        <v>0</v>
      </c>
      <c r="AC157" s="17" t="n">
        <f aca="false">IF(J157="",1,MAX(1,COUNTIFS($J$5:$J$863,J157,$F$5:$F$863,"Y")))</f>
        <v>1</v>
      </c>
      <c r="AD157" s="18" t="n">
        <f aca="false">(MAX(1,N(I157))*(P157+N(S157))+MAX(1,N(I157))*N(K157)/(MAX(1,N(U157))*AC157))*Settings!$B$9</f>
        <v>0</v>
      </c>
      <c r="AE157" s="18" t="n">
        <f aca="false">(MAX(1,N(I157))*N(Q157)+MAX(1,N(I157))*N(L157)/(MAX(1,N(U157))*AC157))*Settings!$B$8</f>
        <v>0</v>
      </c>
      <c r="AF157" s="18" t="n">
        <f aca="false">MAX(1,N(I157))*N(T157)</f>
        <v>0</v>
      </c>
      <c r="AG157" s="15" t="n">
        <f aca="false">AA157*N(AD157)</f>
        <v>0</v>
      </c>
      <c r="AH157" s="15" t="n">
        <f aca="false">AA157*N(AE157)</f>
        <v>0</v>
      </c>
      <c r="AI157" s="15" t="n">
        <f aca="false">AA157*N(AF157)</f>
        <v>0</v>
      </c>
      <c r="AJ157" s="15" t="n">
        <f aca="false">AA157*N(R157)</f>
        <v>0</v>
      </c>
      <c r="AK157" s="15" t="n">
        <f aca="false">AB157*N(AD157)</f>
        <v>0</v>
      </c>
      <c r="AL157" s="15" t="n">
        <f aca="false">AB157*N(AE157)</f>
        <v>0</v>
      </c>
      <c r="AM157" s="15" t="n">
        <f aca="false">AB157*N(AF157)</f>
        <v>0</v>
      </c>
      <c r="AN157" s="15" t="n">
        <f aca="false">AB157*N(R157)</f>
        <v>0</v>
      </c>
      <c r="AO157" s="21" t="str">
        <f aca="false">IF(F157&lt;&gt;"Y","n/a",IF(AND(N157&lt;&gt;"",OR(Q157&lt;&gt;"",G157="Other / bench",G157="None"),U157&lt;&gt;""),"OK","Missing"))</f>
        <v>Missing</v>
      </c>
    </row>
    <row r="158" customFormat="false" ht="15" hidden="false" customHeight="false" outlineLevel="0" collapsed="false">
      <c r="A158" s="10" t="s">
        <v>300</v>
      </c>
      <c r="B158" s="10" t="s">
        <v>659</v>
      </c>
      <c r="C158" s="10" t="s">
        <v>700</v>
      </c>
      <c r="D158" s="10" t="s">
        <v>701</v>
      </c>
      <c r="E158" s="21" t="str">
        <f aca="false">IF(A158="","",A158&amp;"|"&amp;D158)</f>
        <v>F26|Dissolution (multi-point, ER)</v>
      </c>
      <c r="F158" s="16" t="s">
        <v>662</v>
      </c>
      <c r="G158" s="16" t="s">
        <v>147</v>
      </c>
      <c r="H158" s="16" t="s">
        <v>685</v>
      </c>
      <c r="I158" s="16" t="n">
        <v>1</v>
      </c>
      <c r="J158" s="16"/>
      <c r="K158" s="14"/>
      <c r="L158" s="14"/>
      <c r="M158" s="14"/>
      <c r="N158" s="14"/>
      <c r="O158" s="14"/>
      <c r="P158" s="18" t="n">
        <f aca="false">IF(N158="",0,IF(OR(M158="",O158=""),N158,(M158+4*N158+O158)/6))</f>
        <v>0</v>
      </c>
      <c r="Q158" s="14"/>
      <c r="R158" s="14"/>
      <c r="S158" s="14"/>
      <c r="T158" s="14"/>
      <c r="U158" s="16"/>
      <c r="V158" s="13"/>
      <c r="W158" s="16" t="s">
        <v>662</v>
      </c>
      <c r="X158" s="16"/>
      <c r="Y158" s="16"/>
      <c r="Z158" s="16"/>
      <c r="AA158" s="22" t="n">
        <f aca="false">IF(F158&lt;&gt;"Y",0,((SUMIF(Products!$E$5:$E$300,A158,Products!$F$5:$F$300)+SUMIF(RM_Lots!$A$5:$A$400,A158,RM_Lots!$D$5:$D$400))+IF(W158="Y",SUMIF(Products!$E$5:$E$300,A158,Products!$G$5:$G$300),0))*(1+N(V158)))</f>
        <v>0</v>
      </c>
      <c r="AB158" s="22" t="n">
        <f aca="false">IF(F158&lt;&gt;"Y",0,((SUMIF(Products!$E$5:$E$300,A158,Products!$K$5:$K$300)+SUMIF(RM_Lots!$A$5:$A$400,A158,RM_Lots!$F$5:$F$400))+IF(W158="Y",SUMIF(Products!$E$5:$E$300,A158,Products!$L$5:$L$300),0))*(1+N(V158)))</f>
        <v>0</v>
      </c>
      <c r="AC158" s="17" t="n">
        <f aca="false">IF(J158="",1,MAX(1,COUNTIFS($J$5:$J$863,J158,$F$5:$F$863,"Y")))</f>
        <v>1</v>
      </c>
      <c r="AD158" s="18" t="n">
        <f aca="false">(MAX(1,N(I158))*(P158+N(S158))+MAX(1,N(I158))*N(K158)/(MAX(1,N(U158))*AC158))*Settings!$B$9</f>
        <v>0</v>
      </c>
      <c r="AE158" s="18" t="n">
        <f aca="false">(MAX(1,N(I158))*N(Q158)+MAX(1,N(I158))*N(L158)/(MAX(1,N(U158))*AC158))*Settings!$B$8</f>
        <v>0</v>
      </c>
      <c r="AF158" s="18" t="n">
        <f aca="false">MAX(1,N(I158))*N(T158)</f>
        <v>0</v>
      </c>
      <c r="AG158" s="15" t="n">
        <f aca="false">AA158*N(AD158)</f>
        <v>0</v>
      </c>
      <c r="AH158" s="15" t="n">
        <f aca="false">AA158*N(AE158)</f>
        <v>0</v>
      </c>
      <c r="AI158" s="15" t="n">
        <f aca="false">AA158*N(AF158)</f>
        <v>0</v>
      </c>
      <c r="AJ158" s="15" t="n">
        <f aca="false">AA158*N(R158)</f>
        <v>0</v>
      </c>
      <c r="AK158" s="15" t="n">
        <f aca="false">AB158*N(AD158)</f>
        <v>0</v>
      </c>
      <c r="AL158" s="15" t="n">
        <f aca="false">AB158*N(AE158)</f>
        <v>0</v>
      </c>
      <c r="AM158" s="15" t="n">
        <f aca="false">AB158*N(AF158)</f>
        <v>0</v>
      </c>
      <c r="AN158" s="15" t="n">
        <f aca="false">AB158*N(R158)</f>
        <v>0</v>
      </c>
      <c r="AO158" s="21" t="str">
        <f aca="false">IF(F158&lt;&gt;"Y","n/a",IF(AND(N158&lt;&gt;"",OR(Q158&lt;&gt;"",G158="Other / bench",G158="None"),U158&lt;&gt;""),"OK","Missing"))</f>
        <v>Missing</v>
      </c>
    </row>
    <row r="159" customFormat="false" ht="15" hidden="false" customHeight="false" outlineLevel="0" collapsed="false">
      <c r="A159" s="10" t="s">
        <v>300</v>
      </c>
      <c r="B159" s="10" t="s">
        <v>659</v>
      </c>
      <c r="C159" s="10" t="s">
        <v>700</v>
      </c>
      <c r="D159" s="10" t="s">
        <v>666</v>
      </c>
      <c r="E159" s="21" t="str">
        <f aca="false">IF(A159="","",A159&amp;"|"&amp;D159)</f>
        <v>F26|Content uniformity</v>
      </c>
      <c r="F159" s="16" t="s">
        <v>662</v>
      </c>
      <c r="G159" s="16" t="s">
        <v>147</v>
      </c>
      <c r="H159" s="16" t="s">
        <v>685</v>
      </c>
      <c r="I159" s="16" t="n">
        <v>1</v>
      </c>
      <c r="J159" s="16"/>
      <c r="K159" s="14"/>
      <c r="L159" s="14"/>
      <c r="M159" s="14"/>
      <c r="N159" s="14"/>
      <c r="O159" s="14"/>
      <c r="P159" s="18" t="n">
        <f aca="false">IF(N159="",0,IF(OR(M159="",O159=""),N159,(M159+4*N159+O159)/6))</f>
        <v>0</v>
      </c>
      <c r="Q159" s="14"/>
      <c r="R159" s="14"/>
      <c r="S159" s="14"/>
      <c r="T159" s="14"/>
      <c r="U159" s="16"/>
      <c r="V159" s="13"/>
      <c r="W159" s="16" t="s">
        <v>667</v>
      </c>
      <c r="X159" s="16"/>
      <c r="Y159" s="16"/>
      <c r="Z159" s="16"/>
      <c r="AA159" s="22" t="n">
        <f aca="false">IF(F159&lt;&gt;"Y",0,((SUMIF(Products!$E$5:$E$300,A159,Products!$F$5:$F$300)+SUMIF(RM_Lots!$A$5:$A$400,A159,RM_Lots!$D$5:$D$400))+IF(W159="Y",SUMIF(Products!$E$5:$E$300,A159,Products!$G$5:$G$300),0))*(1+N(V159)))</f>
        <v>0</v>
      </c>
      <c r="AB159" s="22" t="n">
        <f aca="false">IF(F159&lt;&gt;"Y",0,((SUMIF(Products!$E$5:$E$300,A159,Products!$K$5:$K$300)+SUMIF(RM_Lots!$A$5:$A$400,A159,RM_Lots!$F$5:$F$400))+IF(W159="Y",SUMIF(Products!$E$5:$E$300,A159,Products!$L$5:$L$300),0))*(1+N(V159)))</f>
        <v>0</v>
      </c>
      <c r="AC159" s="17" t="n">
        <f aca="false">IF(J159="",1,MAX(1,COUNTIFS($J$5:$J$863,J159,$F$5:$F$863,"Y")))</f>
        <v>1</v>
      </c>
      <c r="AD159" s="18" t="n">
        <f aca="false">(MAX(1,N(I159))*(P159+N(S159))+MAX(1,N(I159))*N(K159)/(MAX(1,N(U159))*AC159))*Settings!$B$9</f>
        <v>0</v>
      </c>
      <c r="AE159" s="18" t="n">
        <f aca="false">(MAX(1,N(I159))*N(Q159)+MAX(1,N(I159))*N(L159)/(MAX(1,N(U159))*AC159))*Settings!$B$8</f>
        <v>0</v>
      </c>
      <c r="AF159" s="18" t="n">
        <f aca="false">MAX(1,N(I159))*N(T159)</f>
        <v>0</v>
      </c>
      <c r="AG159" s="15" t="n">
        <f aca="false">AA159*N(AD159)</f>
        <v>0</v>
      </c>
      <c r="AH159" s="15" t="n">
        <f aca="false">AA159*N(AE159)</f>
        <v>0</v>
      </c>
      <c r="AI159" s="15" t="n">
        <f aca="false">AA159*N(AF159)</f>
        <v>0</v>
      </c>
      <c r="AJ159" s="15" t="n">
        <f aca="false">AA159*N(R159)</f>
        <v>0</v>
      </c>
      <c r="AK159" s="15" t="n">
        <f aca="false">AB159*N(AD159)</f>
        <v>0</v>
      </c>
      <c r="AL159" s="15" t="n">
        <f aca="false">AB159*N(AE159)</f>
        <v>0</v>
      </c>
      <c r="AM159" s="15" t="n">
        <f aca="false">AB159*N(AF159)</f>
        <v>0</v>
      </c>
      <c r="AN159" s="15" t="n">
        <f aca="false">AB159*N(R159)</f>
        <v>0</v>
      </c>
      <c r="AO159" s="21" t="str">
        <f aca="false">IF(F159&lt;&gt;"Y","n/a",IF(AND(N159&lt;&gt;"",OR(Q159&lt;&gt;"",G159="Other / bench",G159="None"),U159&lt;&gt;""),"OK","Missing"))</f>
        <v>Missing</v>
      </c>
    </row>
    <row r="160" customFormat="false" ht="15" hidden="false" customHeight="false" outlineLevel="0" collapsed="false">
      <c r="A160" s="10" t="s">
        <v>300</v>
      </c>
      <c r="B160" s="10" t="s">
        <v>659</v>
      </c>
      <c r="C160" s="10" t="s">
        <v>700</v>
      </c>
      <c r="D160" s="10" t="s">
        <v>668</v>
      </c>
      <c r="E160" s="21" t="str">
        <f aca="false">IF(A160="","",A160&amp;"|"&amp;D160)</f>
        <v>F26|Identification (if separate from assay)</v>
      </c>
      <c r="F160" s="16" t="s">
        <v>667</v>
      </c>
      <c r="G160" s="16" t="s">
        <v>147</v>
      </c>
      <c r="H160" s="16" t="s">
        <v>685</v>
      </c>
      <c r="I160" s="16" t="n">
        <v>1</v>
      </c>
      <c r="J160" s="16"/>
      <c r="K160" s="14"/>
      <c r="L160" s="14"/>
      <c r="M160" s="14"/>
      <c r="N160" s="14"/>
      <c r="O160" s="14"/>
      <c r="P160" s="18" t="n">
        <f aca="false">IF(N160="",0,IF(OR(M160="",O160=""),N160,(M160+4*N160+O160)/6))</f>
        <v>0</v>
      </c>
      <c r="Q160" s="14"/>
      <c r="R160" s="14"/>
      <c r="S160" s="14"/>
      <c r="T160" s="14"/>
      <c r="U160" s="16"/>
      <c r="V160" s="13"/>
      <c r="W160" s="16" t="s">
        <v>667</v>
      </c>
      <c r="X160" s="16"/>
      <c r="Y160" s="16"/>
      <c r="Z160" s="16"/>
      <c r="AA160" s="22" t="n">
        <f aca="false">IF(F160&lt;&gt;"Y",0,((SUMIF(Products!$E$5:$E$300,A160,Products!$F$5:$F$300)+SUMIF(RM_Lots!$A$5:$A$400,A160,RM_Lots!$D$5:$D$400))+IF(W160="Y",SUMIF(Products!$E$5:$E$300,A160,Products!$G$5:$G$300),0))*(1+N(V160)))</f>
        <v>0</v>
      </c>
      <c r="AB160" s="22" t="n">
        <f aca="false">IF(F160&lt;&gt;"Y",0,((SUMIF(Products!$E$5:$E$300,A160,Products!$K$5:$K$300)+SUMIF(RM_Lots!$A$5:$A$400,A160,RM_Lots!$F$5:$F$400))+IF(W160="Y",SUMIF(Products!$E$5:$E$300,A160,Products!$L$5:$L$300),0))*(1+N(V160)))</f>
        <v>0</v>
      </c>
      <c r="AC160" s="17" t="n">
        <f aca="false">IF(J160="",1,MAX(1,COUNTIFS($J$5:$J$863,J160,$F$5:$F$863,"Y")))</f>
        <v>1</v>
      </c>
      <c r="AD160" s="18" t="n">
        <f aca="false">(MAX(1,N(I160))*(P160+N(S160))+MAX(1,N(I160))*N(K160)/(MAX(1,N(U160))*AC160))*Settings!$B$9</f>
        <v>0</v>
      </c>
      <c r="AE160" s="18" t="n">
        <f aca="false">(MAX(1,N(I160))*N(Q160)+MAX(1,N(I160))*N(L160)/(MAX(1,N(U160))*AC160))*Settings!$B$8</f>
        <v>0</v>
      </c>
      <c r="AF160" s="18" t="n">
        <f aca="false">MAX(1,N(I160))*N(T160)</f>
        <v>0</v>
      </c>
      <c r="AG160" s="15" t="n">
        <f aca="false">AA160*N(AD160)</f>
        <v>0</v>
      </c>
      <c r="AH160" s="15" t="n">
        <f aca="false">AA160*N(AE160)</f>
        <v>0</v>
      </c>
      <c r="AI160" s="15" t="n">
        <f aca="false">AA160*N(AF160)</f>
        <v>0</v>
      </c>
      <c r="AJ160" s="15" t="n">
        <f aca="false">AA160*N(R160)</f>
        <v>0</v>
      </c>
      <c r="AK160" s="15" t="n">
        <f aca="false">AB160*N(AD160)</f>
        <v>0</v>
      </c>
      <c r="AL160" s="15" t="n">
        <f aca="false">AB160*N(AE160)</f>
        <v>0</v>
      </c>
      <c r="AM160" s="15" t="n">
        <f aca="false">AB160*N(AF160)</f>
        <v>0</v>
      </c>
      <c r="AN160" s="15" t="n">
        <f aca="false">AB160*N(R160)</f>
        <v>0</v>
      </c>
      <c r="AO160" s="21" t="str">
        <f aca="false">IF(F160&lt;&gt;"Y","n/a",IF(AND(N160&lt;&gt;"",OR(Q160&lt;&gt;"",G160="Other / bench",G160="None"),U160&lt;&gt;""),"OK","Missing"))</f>
        <v>n/a</v>
      </c>
    </row>
    <row r="161" customFormat="false" ht="15" hidden="false" customHeight="false" outlineLevel="0" collapsed="false">
      <c r="A161" s="10" t="s">
        <v>300</v>
      </c>
      <c r="B161" s="10" t="s">
        <v>659</v>
      </c>
      <c r="C161" s="10" t="s">
        <v>700</v>
      </c>
      <c r="D161" s="10" t="s">
        <v>669</v>
      </c>
      <c r="E161" s="21" t="str">
        <f aca="false">IF(A161="","",A161&amp;"|"&amp;D161)</f>
        <v>F26|Other tests (non-HPLC: physical, LOD/KF, disintegration, pH, micro...)</v>
      </c>
      <c r="F161" s="16" t="s">
        <v>662</v>
      </c>
      <c r="G161" s="16" t="s">
        <v>670</v>
      </c>
      <c r="H161" s="16" t="s">
        <v>685</v>
      </c>
      <c r="I161" s="16" t="n">
        <v>1</v>
      </c>
      <c r="J161" s="16"/>
      <c r="K161" s="14"/>
      <c r="L161" s="14"/>
      <c r="M161" s="14"/>
      <c r="N161" s="14"/>
      <c r="O161" s="14"/>
      <c r="P161" s="18" t="n">
        <f aca="false">IF(N161="",0,IF(OR(M161="",O161=""),N161,(M161+4*N161+O161)/6))</f>
        <v>0</v>
      </c>
      <c r="Q161" s="14"/>
      <c r="R161" s="14"/>
      <c r="S161" s="14"/>
      <c r="T161" s="14"/>
      <c r="U161" s="16"/>
      <c r="V161" s="13"/>
      <c r="W161" s="16" t="s">
        <v>662</v>
      </c>
      <c r="X161" s="16"/>
      <c r="Y161" s="16"/>
      <c r="Z161" s="16"/>
      <c r="AA161" s="22" t="n">
        <f aca="false">IF(F161&lt;&gt;"Y",0,((SUMIF(Products!$E$5:$E$300,A161,Products!$F$5:$F$300)+SUMIF(RM_Lots!$A$5:$A$400,A161,RM_Lots!$D$5:$D$400))+IF(W161="Y",SUMIF(Products!$E$5:$E$300,A161,Products!$G$5:$G$300),0))*(1+N(V161)))</f>
        <v>0</v>
      </c>
      <c r="AB161" s="22" t="n">
        <f aca="false">IF(F161&lt;&gt;"Y",0,((SUMIF(Products!$E$5:$E$300,A161,Products!$K$5:$K$300)+SUMIF(RM_Lots!$A$5:$A$400,A161,RM_Lots!$F$5:$F$400))+IF(W161="Y",SUMIF(Products!$E$5:$E$300,A161,Products!$L$5:$L$300),0))*(1+N(V161)))</f>
        <v>0</v>
      </c>
      <c r="AC161" s="17" t="n">
        <f aca="false">IF(J161="",1,MAX(1,COUNTIFS($J$5:$J$863,J161,$F$5:$F$863,"Y")))</f>
        <v>1</v>
      </c>
      <c r="AD161" s="18" t="n">
        <f aca="false">(MAX(1,N(I161))*(P161+N(S161))+MAX(1,N(I161))*N(K161)/(MAX(1,N(U161))*AC161))*Settings!$B$9</f>
        <v>0</v>
      </c>
      <c r="AE161" s="18" t="n">
        <f aca="false">(MAX(1,N(I161))*N(Q161)+MAX(1,N(I161))*N(L161)/(MAX(1,N(U161))*AC161))*Settings!$B$8</f>
        <v>0</v>
      </c>
      <c r="AF161" s="18" t="n">
        <f aca="false">MAX(1,N(I161))*N(T161)</f>
        <v>0</v>
      </c>
      <c r="AG161" s="15" t="n">
        <f aca="false">AA161*N(AD161)</f>
        <v>0</v>
      </c>
      <c r="AH161" s="15" t="n">
        <f aca="false">AA161*N(AE161)</f>
        <v>0</v>
      </c>
      <c r="AI161" s="15" t="n">
        <f aca="false">AA161*N(AF161)</f>
        <v>0</v>
      </c>
      <c r="AJ161" s="15" t="n">
        <f aca="false">AA161*N(R161)</f>
        <v>0</v>
      </c>
      <c r="AK161" s="15" t="n">
        <f aca="false">AB161*N(AD161)</f>
        <v>0</v>
      </c>
      <c r="AL161" s="15" t="n">
        <f aca="false">AB161*N(AE161)</f>
        <v>0</v>
      </c>
      <c r="AM161" s="15" t="n">
        <f aca="false">AB161*N(AF161)</f>
        <v>0</v>
      </c>
      <c r="AN161" s="15" t="n">
        <f aca="false">AB161*N(R161)</f>
        <v>0</v>
      </c>
      <c r="AO161" s="21" t="str">
        <f aca="false">IF(F161&lt;&gt;"Y","n/a",IF(AND(N161&lt;&gt;"",OR(Q161&lt;&gt;"",G161="Other / bench",G161="None"),U161&lt;&gt;""),"OK","Missing"))</f>
        <v>Missing</v>
      </c>
    </row>
    <row r="162" customFormat="false" ht="15" hidden="false" customHeight="false" outlineLevel="0" collapsed="false">
      <c r="A162" s="10" t="s">
        <v>306</v>
      </c>
      <c r="B162" s="10" t="s">
        <v>659</v>
      </c>
      <c r="C162" s="10" t="s">
        <v>702</v>
      </c>
      <c r="D162" s="10" t="s">
        <v>661</v>
      </c>
      <c r="E162" s="21" t="str">
        <f aca="false">IF(A162="","",A162&amp;"|"&amp;D162)</f>
        <v>F27|Assay</v>
      </c>
      <c r="F162" s="16" t="s">
        <v>662</v>
      </c>
      <c r="G162" s="16" t="s">
        <v>147</v>
      </c>
      <c r="H162" s="16" t="s">
        <v>685</v>
      </c>
      <c r="I162" s="16" t="n">
        <v>1</v>
      </c>
      <c r="J162" s="16"/>
      <c r="K162" s="14"/>
      <c r="L162" s="14"/>
      <c r="M162" s="14"/>
      <c r="N162" s="14"/>
      <c r="O162" s="14"/>
      <c r="P162" s="18" t="n">
        <f aca="false">IF(N162="",0,IF(OR(M162="",O162=""),N162,(M162+4*N162+O162)/6))</f>
        <v>0</v>
      </c>
      <c r="Q162" s="14"/>
      <c r="R162" s="14"/>
      <c r="S162" s="14"/>
      <c r="T162" s="14"/>
      <c r="U162" s="16"/>
      <c r="V162" s="13"/>
      <c r="W162" s="16" t="s">
        <v>662</v>
      </c>
      <c r="X162" s="16"/>
      <c r="Y162" s="16"/>
      <c r="Z162" s="16"/>
      <c r="AA162" s="22" t="n">
        <f aca="false">IF(F162&lt;&gt;"Y",0,((SUMIF(Products!$E$5:$E$300,A162,Products!$F$5:$F$300)+SUMIF(RM_Lots!$A$5:$A$400,A162,RM_Lots!$D$5:$D$400))+IF(W162="Y",SUMIF(Products!$E$5:$E$300,A162,Products!$G$5:$G$300),0))*(1+N(V162)))</f>
        <v>0</v>
      </c>
      <c r="AB162" s="22" t="n">
        <f aca="false">IF(F162&lt;&gt;"Y",0,((SUMIF(Products!$E$5:$E$300,A162,Products!$K$5:$K$300)+SUMIF(RM_Lots!$A$5:$A$400,A162,RM_Lots!$F$5:$F$400))+IF(W162="Y",SUMIF(Products!$E$5:$E$300,A162,Products!$L$5:$L$300),0))*(1+N(V162)))</f>
        <v>0</v>
      </c>
      <c r="AC162" s="17" t="n">
        <f aca="false">IF(J162="",1,MAX(1,COUNTIFS($J$5:$J$863,J162,$F$5:$F$863,"Y")))</f>
        <v>1</v>
      </c>
      <c r="AD162" s="18" t="n">
        <f aca="false">(MAX(1,N(I162))*(P162+N(S162))+MAX(1,N(I162))*N(K162)/(MAX(1,N(U162))*AC162))*Settings!$B$9</f>
        <v>0</v>
      </c>
      <c r="AE162" s="18" t="n">
        <f aca="false">(MAX(1,N(I162))*N(Q162)+MAX(1,N(I162))*N(L162)/(MAX(1,N(U162))*AC162))*Settings!$B$8</f>
        <v>0</v>
      </c>
      <c r="AF162" s="18" t="n">
        <f aca="false">MAX(1,N(I162))*N(T162)</f>
        <v>0</v>
      </c>
      <c r="AG162" s="15" t="n">
        <f aca="false">AA162*N(AD162)</f>
        <v>0</v>
      </c>
      <c r="AH162" s="15" t="n">
        <f aca="false">AA162*N(AE162)</f>
        <v>0</v>
      </c>
      <c r="AI162" s="15" t="n">
        <f aca="false">AA162*N(AF162)</f>
        <v>0</v>
      </c>
      <c r="AJ162" s="15" t="n">
        <f aca="false">AA162*N(R162)</f>
        <v>0</v>
      </c>
      <c r="AK162" s="15" t="n">
        <f aca="false">AB162*N(AD162)</f>
        <v>0</v>
      </c>
      <c r="AL162" s="15" t="n">
        <f aca="false">AB162*N(AE162)</f>
        <v>0</v>
      </c>
      <c r="AM162" s="15" t="n">
        <f aca="false">AB162*N(AF162)</f>
        <v>0</v>
      </c>
      <c r="AN162" s="15" t="n">
        <f aca="false">AB162*N(R162)</f>
        <v>0</v>
      </c>
      <c r="AO162" s="21" t="str">
        <f aca="false">IF(F162&lt;&gt;"Y","n/a",IF(AND(N162&lt;&gt;"",OR(Q162&lt;&gt;"",G162="Other / bench",G162="None"),U162&lt;&gt;""),"OK","Missing"))</f>
        <v>Missing</v>
      </c>
    </row>
    <row r="163" customFormat="false" ht="15" hidden="false" customHeight="false" outlineLevel="0" collapsed="false">
      <c r="A163" s="10" t="s">
        <v>306</v>
      </c>
      <c r="B163" s="10" t="s">
        <v>659</v>
      </c>
      <c r="C163" s="10" t="s">
        <v>702</v>
      </c>
      <c r="D163" s="10" t="s">
        <v>664</v>
      </c>
      <c r="E163" s="21" t="str">
        <f aca="false">IF(A163="","",A163&amp;"|"&amp;D163)</f>
        <v>F27|Related substances / impurities</v>
      </c>
      <c r="F163" s="16" t="s">
        <v>662</v>
      </c>
      <c r="G163" s="16" t="s">
        <v>147</v>
      </c>
      <c r="H163" s="16" t="s">
        <v>685</v>
      </c>
      <c r="I163" s="16" t="n">
        <v>1</v>
      </c>
      <c r="J163" s="16"/>
      <c r="K163" s="14"/>
      <c r="L163" s="14"/>
      <c r="M163" s="14"/>
      <c r="N163" s="14"/>
      <c r="O163" s="14"/>
      <c r="P163" s="18" t="n">
        <f aca="false">IF(N163="",0,IF(OR(M163="",O163=""),N163,(M163+4*N163+O163)/6))</f>
        <v>0</v>
      </c>
      <c r="Q163" s="14"/>
      <c r="R163" s="14"/>
      <c r="S163" s="14"/>
      <c r="T163" s="14"/>
      <c r="U163" s="16"/>
      <c r="V163" s="13"/>
      <c r="W163" s="16" t="s">
        <v>662</v>
      </c>
      <c r="X163" s="16"/>
      <c r="Y163" s="16"/>
      <c r="Z163" s="16"/>
      <c r="AA163" s="22" t="n">
        <f aca="false">IF(F163&lt;&gt;"Y",0,((SUMIF(Products!$E$5:$E$300,A163,Products!$F$5:$F$300)+SUMIF(RM_Lots!$A$5:$A$400,A163,RM_Lots!$D$5:$D$400))+IF(W163="Y",SUMIF(Products!$E$5:$E$300,A163,Products!$G$5:$G$300),0))*(1+N(V163)))</f>
        <v>0</v>
      </c>
      <c r="AB163" s="22" t="n">
        <f aca="false">IF(F163&lt;&gt;"Y",0,((SUMIF(Products!$E$5:$E$300,A163,Products!$K$5:$K$300)+SUMIF(RM_Lots!$A$5:$A$400,A163,RM_Lots!$F$5:$F$400))+IF(W163="Y",SUMIF(Products!$E$5:$E$300,A163,Products!$L$5:$L$300),0))*(1+N(V163)))</f>
        <v>0</v>
      </c>
      <c r="AC163" s="17" t="n">
        <f aca="false">IF(J163="",1,MAX(1,COUNTIFS($J$5:$J$863,J163,$F$5:$F$863,"Y")))</f>
        <v>1</v>
      </c>
      <c r="AD163" s="18" t="n">
        <f aca="false">(MAX(1,N(I163))*(P163+N(S163))+MAX(1,N(I163))*N(K163)/(MAX(1,N(U163))*AC163))*Settings!$B$9</f>
        <v>0</v>
      </c>
      <c r="AE163" s="18" t="n">
        <f aca="false">(MAX(1,N(I163))*N(Q163)+MAX(1,N(I163))*N(L163)/(MAX(1,N(U163))*AC163))*Settings!$B$8</f>
        <v>0</v>
      </c>
      <c r="AF163" s="18" t="n">
        <f aca="false">MAX(1,N(I163))*N(T163)</f>
        <v>0</v>
      </c>
      <c r="AG163" s="15" t="n">
        <f aca="false">AA163*N(AD163)</f>
        <v>0</v>
      </c>
      <c r="AH163" s="15" t="n">
        <f aca="false">AA163*N(AE163)</f>
        <v>0</v>
      </c>
      <c r="AI163" s="15" t="n">
        <f aca="false">AA163*N(AF163)</f>
        <v>0</v>
      </c>
      <c r="AJ163" s="15" t="n">
        <f aca="false">AA163*N(R163)</f>
        <v>0</v>
      </c>
      <c r="AK163" s="15" t="n">
        <f aca="false">AB163*N(AD163)</f>
        <v>0</v>
      </c>
      <c r="AL163" s="15" t="n">
        <f aca="false">AB163*N(AE163)</f>
        <v>0</v>
      </c>
      <c r="AM163" s="15" t="n">
        <f aca="false">AB163*N(AF163)</f>
        <v>0</v>
      </c>
      <c r="AN163" s="15" t="n">
        <f aca="false">AB163*N(R163)</f>
        <v>0</v>
      </c>
      <c r="AO163" s="21" t="str">
        <f aca="false">IF(F163&lt;&gt;"Y","n/a",IF(AND(N163&lt;&gt;"",OR(Q163&lt;&gt;"",G163="Other / bench",G163="None"),U163&lt;&gt;""),"OK","Missing"))</f>
        <v>Missing</v>
      </c>
    </row>
    <row r="164" customFormat="false" ht="15" hidden="false" customHeight="false" outlineLevel="0" collapsed="false">
      <c r="A164" s="10" t="s">
        <v>306</v>
      </c>
      <c r="B164" s="10" t="s">
        <v>659</v>
      </c>
      <c r="C164" s="10" t="s">
        <v>702</v>
      </c>
      <c r="D164" s="10" t="s">
        <v>701</v>
      </c>
      <c r="E164" s="21" t="str">
        <f aca="false">IF(A164="","",A164&amp;"|"&amp;D164)</f>
        <v>F27|Dissolution (multi-point, ER)</v>
      </c>
      <c r="F164" s="16" t="s">
        <v>662</v>
      </c>
      <c r="G164" s="16" t="s">
        <v>147</v>
      </c>
      <c r="H164" s="16" t="s">
        <v>685</v>
      </c>
      <c r="I164" s="16" t="n">
        <v>1</v>
      </c>
      <c r="J164" s="16"/>
      <c r="K164" s="14"/>
      <c r="L164" s="14"/>
      <c r="M164" s="14"/>
      <c r="N164" s="14"/>
      <c r="O164" s="14"/>
      <c r="P164" s="18" t="n">
        <f aca="false">IF(N164="",0,IF(OR(M164="",O164=""),N164,(M164+4*N164+O164)/6))</f>
        <v>0</v>
      </c>
      <c r="Q164" s="14"/>
      <c r="R164" s="14"/>
      <c r="S164" s="14"/>
      <c r="T164" s="14"/>
      <c r="U164" s="16"/>
      <c r="V164" s="13"/>
      <c r="W164" s="16" t="s">
        <v>662</v>
      </c>
      <c r="X164" s="16"/>
      <c r="Y164" s="16"/>
      <c r="Z164" s="16"/>
      <c r="AA164" s="22" t="n">
        <f aca="false">IF(F164&lt;&gt;"Y",0,((SUMIF(Products!$E$5:$E$300,A164,Products!$F$5:$F$300)+SUMIF(RM_Lots!$A$5:$A$400,A164,RM_Lots!$D$5:$D$400))+IF(W164="Y",SUMIF(Products!$E$5:$E$300,A164,Products!$G$5:$G$300),0))*(1+N(V164)))</f>
        <v>0</v>
      </c>
      <c r="AB164" s="22" t="n">
        <f aca="false">IF(F164&lt;&gt;"Y",0,((SUMIF(Products!$E$5:$E$300,A164,Products!$K$5:$K$300)+SUMIF(RM_Lots!$A$5:$A$400,A164,RM_Lots!$F$5:$F$400))+IF(W164="Y",SUMIF(Products!$E$5:$E$300,A164,Products!$L$5:$L$300),0))*(1+N(V164)))</f>
        <v>0</v>
      </c>
      <c r="AC164" s="17" t="n">
        <f aca="false">IF(J164="",1,MAX(1,COUNTIFS($J$5:$J$863,J164,$F$5:$F$863,"Y")))</f>
        <v>1</v>
      </c>
      <c r="AD164" s="18" t="n">
        <f aca="false">(MAX(1,N(I164))*(P164+N(S164))+MAX(1,N(I164))*N(K164)/(MAX(1,N(U164))*AC164))*Settings!$B$9</f>
        <v>0</v>
      </c>
      <c r="AE164" s="18" t="n">
        <f aca="false">(MAX(1,N(I164))*N(Q164)+MAX(1,N(I164))*N(L164)/(MAX(1,N(U164))*AC164))*Settings!$B$8</f>
        <v>0</v>
      </c>
      <c r="AF164" s="18" t="n">
        <f aca="false">MAX(1,N(I164))*N(T164)</f>
        <v>0</v>
      </c>
      <c r="AG164" s="15" t="n">
        <f aca="false">AA164*N(AD164)</f>
        <v>0</v>
      </c>
      <c r="AH164" s="15" t="n">
        <f aca="false">AA164*N(AE164)</f>
        <v>0</v>
      </c>
      <c r="AI164" s="15" t="n">
        <f aca="false">AA164*N(AF164)</f>
        <v>0</v>
      </c>
      <c r="AJ164" s="15" t="n">
        <f aca="false">AA164*N(R164)</f>
        <v>0</v>
      </c>
      <c r="AK164" s="15" t="n">
        <f aca="false">AB164*N(AD164)</f>
        <v>0</v>
      </c>
      <c r="AL164" s="15" t="n">
        <f aca="false">AB164*N(AE164)</f>
        <v>0</v>
      </c>
      <c r="AM164" s="15" t="n">
        <f aca="false">AB164*N(AF164)</f>
        <v>0</v>
      </c>
      <c r="AN164" s="15" t="n">
        <f aca="false">AB164*N(R164)</f>
        <v>0</v>
      </c>
      <c r="AO164" s="21" t="str">
        <f aca="false">IF(F164&lt;&gt;"Y","n/a",IF(AND(N164&lt;&gt;"",OR(Q164&lt;&gt;"",G164="Other / bench",G164="None"),U164&lt;&gt;""),"OK","Missing"))</f>
        <v>Missing</v>
      </c>
    </row>
    <row r="165" customFormat="false" ht="15" hidden="false" customHeight="false" outlineLevel="0" collapsed="false">
      <c r="A165" s="10" t="s">
        <v>306</v>
      </c>
      <c r="B165" s="10" t="s">
        <v>659</v>
      </c>
      <c r="C165" s="10" t="s">
        <v>702</v>
      </c>
      <c r="D165" s="10" t="s">
        <v>666</v>
      </c>
      <c r="E165" s="21" t="str">
        <f aca="false">IF(A165="","",A165&amp;"|"&amp;D165)</f>
        <v>F27|Content uniformity</v>
      </c>
      <c r="F165" s="16" t="s">
        <v>662</v>
      </c>
      <c r="G165" s="16" t="s">
        <v>147</v>
      </c>
      <c r="H165" s="16" t="s">
        <v>685</v>
      </c>
      <c r="I165" s="16" t="n">
        <v>1</v>
      </c>
      <c r="J165" s="16"/>
      <c r="K165" s="14"/>
      <c r="L165" s="14"/>
      <c r="M165" s="14"/>
      <c r="N165" s="14"/>
      <c r="O165" s="14"/>
      <c r="P165" s="18" t="n">
        <f aca="false">IF(N165="",0,IF(OR(M165="",O165=""),N165,(M165+4*N165+O165)/6))</f>
        <v>0</v>
      </c>
      <c r="Q165" s="14"/>
      <c r="R165" s="14"/>
      <c r="S165" s="14"/>
      <c r="T165" s="14"/>
      <c r="U165" s="16"/>
      <c r="V165" s="13"/>
      <c r="W165" s="16" t="s">
        <v>667</v>
      </c>
      <c r="X165" s="16"/>
      <c r="Y165" s="16"/>
      <c r="Z165" s="16"/>
      <c r="AA165" s="22" t="n">
        <f aca="false">IF(F165&lt;&gt;"Y",0,((SUMIF(Products!$E$5:$E$300,A165,Products!$F$5:$F$300)+SUMIF(RM_Lots!$A$5:$A$400,A165,RM_Lots!$D$5:$D$400))+IF(W165="Y",SUMIF(Products!$E$5:$E$300,A165,Products!$G$5:$G$300),0))*(1+N(V165)))</f>
        <v>0</v>
      </c>
      <c r="AB165" s="22" t="n">
        <f aca="false">IF(F165&lt;&gt;"Y",0,((SUMIF(Products!$E$5:$E$300,A165,Products!$K$5:$K$300)+SUMIF(RM_Lots!$A$5:$A$400,A165,RM_Lots!$F$5:$F$400))+IF(W165="Y",SUMIF(Products!$E$5:$E$300,A165,Products!$L$5:$L$300),0))*(1+N(V165)))</f>
        <v>0</v>
      </c>
      <c r="AC165" s="17" t="n">
        <f aca="false">IF(J165="",1,MAX(1,COUNTIFS($J$5:$J$863,J165,$F$5:$F$863,"Y")))</f>
        <v>1</v>
      </c>
      <c r="AD165" s="18" t="n">
        <f aca="false">(MAX(1,N(I165))*(P165+N(S165))+MAX(1,N(I165))*N(K165)/(MAX(1,N(U165))*AC165))*Settings!$B$9</f>
        <v>0</v>
      </c>
      <c r="AE165" s="18" t="n">
        <f aca="false">(MAX(1,N(I165))*N(Q165)+MAX(1,N(I165))*N(L165)/(MAX(1,N(U165))*AC165))*Settings!$B$8</f>
        <v>0</v>
      </c>
      <c r="AF165" s="18" t="n">
        <f aca="false">MAX(1,N(I165))*N(T165)</f>
        <v>0</v>
      </c>
      <c r="AG165" s="15" t="n">
        <f aca="false">AA165*N(AD165)</f>
        <v>0</v>
      </c>
      <c r="AH165" s="15" t="n">
        <f aca="false">AA165*N(AE165)</f>
        <v>0</v>
      </c>
      <c r="AI165" s="15" t="n">
        <f aca="false">AA165*N(AF165)</f>
        <v>0</v>
      </c>
      <c r="AJ165" s="15" t="n">
        <f aca="false">AA165*N(R165)</f>
        <v>0</v>
      </c>
      <c r="AK165" s="15" t="n">
        <f aca="false">AB165*N(AD165)</f>
        <v>0</v>
      </c>
      <c r="AL165" s="15" t="n">
        <f aca="false">AB165*N(AE165)</f>
        <v>0</v>
      </c>
      <c r="AM165" s="15" t="n">
        <f aca="false">AB165*N(AF165)</f>
        <v>0</v>
      </c>
      <c r="AN165" s="15" t="n">
        <f aca="false">AB165*N(R165)</f>
        <v>0</v>
      </c>
      <c r="AO165" s="21" t="str">
        <f aca="false">IF(F165&lt;&gt;"Y","n/a",IF(AND(N165&lt;&gt;"",OR(Q165&lt;&gt;"",G165="Other / bench",G165="None"),U165&lt;&gt;""),"OK","Missing"))</f>
        <v>Missing</v>
      </c>
    </row>
    <row r="166" customFormat="false" ht="15" hidden="false" customHeight="false" outlineLevel="0" collapsed="false">
      <c r="A166" s="10" t="s">
        <v>306</v>
      </c>
      <c r="B166" s="10" t="s">
        <v>659</v>
      </c>
      <c r="C166" s="10" t="s">
        <v>702</v>
      </c>
      <c r="D166" s="10" t="s">
        <v>668</v>
      </c>
      <c r="E166" s="21" t="str">
        <f aca="false">IF(A166="","",A166&amp;"|"&amp;D166)</f>
        <v>F27|Identification (if separate from assay)</v>
      </c>
      <c r="F166" s="16" t="s">
        <v>667</v>
      </c>
      <c r="G166" s="16" t="s">
        <v>147</v>
      </c>
      <c r="H166" s="16" t="s">
        <v>685</v>
      </c>
      <c r="I166" s="16" t="n">
        <v>1</v>
      </c>
      <c r="J166" s="16"/>
      <c r="K166" s="14"/>
      <c r="L166" s="14"/>
      <c r="M166" s="14"/>
      <c r="N166" s="14"/>
      <c r="O166" s="14"/>
      <c r="P166" s="18" t="n">
        <f aca="false">IF(N166="",0,IF(OR(M166="",O166=""),N166,(M166+4*N166+O166)/6))</f>
        <v>0</v>
      </c>
      <c r="Q166" s="14"/>
      <c r="R166" s="14"/>
      <c r="S166" s="14"/>
      <c r="T166" s="14"/>
      <c r="U166" s="16"/>
      <c r="V166" s="13"/>
      <c r="W166" s="16" t="s">
        <v>667</v>
      </c>
      <c r="X166" s="16"/>
      <c r="Y166" s="16"/>
      <c r="Z166" s="16"/>
      <c r="AA166" s="22" t="n">
        <f aca="false">IF(F166&lt;&gt;"Y",0,((SUMIF(Products!$E$5:$E$300,A166,Products!$F$5:$F$300)+SUMIF(RM_Lots!$A$5:$A$400,A166,RM_Lots!$D$5:$D$400))+IF(W166="Y",SUMIF(Products!$E$5:$E$300,A166,Products!$G$5:$G$300),0))*(1+N(V166)))</f>
        <v>0</v>
      </c>
      <c r="AB166" s="22" t="n">
        <f aca="false">IF(F166&lt;&gt;"Y",0,((SUMIF(Products!$E$5:$E$300,A166,Products!$K$5:$K$300)+SUMIF(RM_Lots!$A$5:$A$400,A166,RM_Lots!$F$5:$F$400))+IF(W166="Y",SUMIF(Products!$E$5:$E$300,A166,Products!$L$5:$L$300),0))*(1+N(V166)))</f>
        <v>0</v>
      </c>
      <c r="AC166" s="17" t="n">
        <f aca="false">IF(J166="",1,MAX(1,COUNTIFS($J$5:$J$863,J166,$F$5:$F$863,"Y")))</f>
        <v>1</v>
      </c>
      <c r="AD166" s="18" t="n">
        <f aca="false">(MAX(1,N(I166))*(P166+N(S166))+MAX(1,N(I166))*N(K166)/(MAX(1,N(U166))*AC166))*Settings!$B$9</f>
        <v>0</v>
      </c>
      <c r="AE166" s="18" t="n">
        <f aca="false">(MAX(1,N(I166))*N(Q166)+MAX(1,N(I166))*N(L166)/(MAX(1,N(U166))*AC166))*Settings!$B$8</f>
        <v>0</v>
      </c>
      <c r="AF166" s="18" t="n">
        <f aca="false">MAX(1,N(I166))*N(T166)</f>
        <v>0</v>
      </c>
      <c r="AG166" s="15" t="n">
        <f aca="false">AA166*N(AD166)</f>
        <v>0</v>
      </c>
      <c r="AH166" s="15" t="n">
        <f aca="false">AA166*N(AE166)</f>
        <v>0</v>
      </c>
      <c r="AI166" s="15" t="n">
        <f aca="false">AA166*N(AF166)</f>
        <v>0</v>
      </c>
      <c r="AJ166" s="15" t="n">
        <f aca="false">AA166*N(R166)</f>
        <v>0</v>
      </c>
      <c r="AK166" s="15" t="n">
        <f aca="false">AB166*N(AD166)</f>
        <v>0</v>
      </c>
      <c r="AL166" s="15" t="n">
        <f aca="false">AB166*N(AE166)</f>
        <v>0</v>
      </c>
      <c r="AM166" s="15" t="n">
        <f aca="false">AB166*N(AF166)</f>
        <v>0</v>
      </c>
      <c r="AN166" s="15" t="n">
        <f aca="false">AB166*N(R166)</f>
        <v>0</v>
      </c>
      <c r="AO166" s="21" t="str">
        <f aca="false">IF(F166&lt;&gt;"Y","n/a",IF(AND(N166&lt;&gt;"",OR(Q166&lt;&gt;"",G166="Other / bench",G166="None"),U166&lt;&gt;""),"OK","Missing"))</f>
        <v>n/a</v>
      </c>
    </row>
    <row r="167" customFormat="false" ht="15" hidden="false" customHeight="false" outlineLevel="0" collapsed="false">
      <c r="A167" s="10" t="s">
        <v>306</v>
      </c>
      <c r="B167" s="10" t="s">
        <v>659</v>
      </c>
      <c r="C167" s="10" t="s">
        <v>702</v>
      </c>
      <c r="D167" s="10" t="s">
        <v>669</v>
      </c>
      <c r="E167" s="21" t="str">
        <f aca="false">IF(A167="","",A167&amp;"|"&amp;D167)</f>
        <v>F27|Other tests (non-HPLC: physical, LOD/KF, disintegration, pH, micro...)</v>
      </c>
      <c r="F167" s="16" t="s">
        <v>662</v>
      </c>
      <c r="G167" s="16" t="s">
        <v>670</v>
      </c>
      <c r="H167" s="16" t="s">
        <v>685</v>
      </c>
      <c r="I167" s="16" t="n">
        <v>1</v>
      </c>
      <c r="J167" s="16"/>
      <c r="K167" s="14"/>
      <c r="L167" s="14"/>
      <c r="M167" s="14"/>
      <c r="N167" s="14"/>
      <c r="O167" s="14"/>
      <c r="P167" s="18" t="n">
        <f aca="false">IF(N167="",0,IF(OR(M167="",O167=""),N167,(M167+4*N167+O167)/6))</f>
        <v>0</v>
      </c>
      <c r="Q167" s="14"/>
      <c r="R167" s="14"/>
      <c r="S167" s="14"/>
      <c r="T167" s="14"/>
      <c r="U167" s="16"/>
      <c r="V167" s="13"/>
      <c r="W167" s="16" t="s">
        <v>662</v>
      </c>
      <c r="X167" s="16"/>
      <c r="Y167" s="16"/>
      <c r="Z167" s="16"/>
      <c r="AA167" s="22" t="n">
        <f aca="false">IF(F167&lt;&gt;"Y",0,((SUMIF(Products!$E$5:$E$300,A167,Products!$F$5:$F$300)+SUMIF(RM_Lots!$A$5:$A$400,A167,RM_Lots!$D$5:$D$400))+IF(W167="Y",SUMIF(Products!$E$5:$E$300,A167,Products!$G$5:$G$300),0))*(1+N(V167)))</f>
        <v>0</v>
      </c>
      <c r="AB167" s="22" t="n">
        <f aca="false">IF(F167&lt;&gt;"Y",0,((SUMIF(Products!$E$5:$E$300,A167,Products!$K$5:$K$300)+SUMIF(RM_Lots!$A$5:$A$400,A167,RM_Lots!$F$5:$F$400))+IF(W167="Y",SUMIF(Products!$E$5:$E$300,A167,Products!$L$5:$L$300),0))*(1+N(V167)))</f>
        <v>0</v>
      </c>
      <c r="AC167" s="17" t="n">
        <f aca="false">IF(J167="",1,MAX(1,COUNTIFS($J$5:$J$863,J167,$F$5:$F$863,"Y")))</f>
        <v>1</v>
      </c>
      <c r="AD167" s="18" t="n">
        <f aca="false">(MAX(1,N(I167))*(P167+N(S167))+MAX(1,N(I167))*N(K167)/(MAX(1,N(U167))*AC167))*Settings!$B$9</f>
        <v>0</v>
      </c>
      <c r="AE167" s="18" t="n">
        <f aca="false">(MAX(1,N(I167))*N(Q167)+MAX(1,N(I167))*N(L167)/(MAX(1,N(U167))*AC167))*Settings!$B$8</f>
        <v>0</v>
      </c>
      <c r="AF167" s="18" t="n">
        <f aca="false">MAX(1,N(I167))*N(T167)</f>
        <v>0</v>
      </c>
      <c r="AG167" s="15" t="n">
        <f aca="false">AA167*N(AD167)</f>
        <v>0</v>
      </c>
      <c r="AH167" s="15" t="n">
        <f aca="false">AA167*N(AE167)</f>
        <v>0</v>
      </c>
      <c r="AI167" s="15" t="n">
        <f aca="false">AA167*N(AF167)</f>
        <v>0</v>
      </c>
      <c r="AJ167" s="15" t="n">
        <f aca="false">AA167*N(R167)</f>
        <v>0</v>
      </c>
      <c r="AK167" s="15" t="n">
        <f aca="false">AB167*N(AD167)</f>
        <v>0</v>
      </c>
      <c r="AL167" s="15" t="n">
        <f aca="false">AB167*N(AE167)</f>
        <v>0</v>
      </c>
      <c r="AM167" s="15" t="n">
        <f aca="false">AB167*N(AF167)</f>
        <v>0</v>
      </c>
      <c r="AN167" s="15" t="n">
        <f aca="false">AB167*N(R167)</f>
        <v>0</v>
      </c>
      <c r="AO167" s="21" t="str">
        <f aca="false">IF(F167&lt;&gt;"Y","n/a",IF(AND(N167&lt;&gt;"",OR(Q167&lt;&gt;"",G167="Other / bench",G167="None"),U167&lt;&gt;""),"OK","Missing"))</f>
        <v>Missing</v>
      </c>
    </row>
    <row r="168" customFormat="false" ht="15" hidden="false" customHeight="false" outlineLevel="0" collapsed="false">
      <c r="A168" s="10" t="s">
        <v>311</v>
      </c>
      <c r="B168" s="10" t="s">
        <v>659</v>
      </c>
      <c r="C168" s="10" t="s">
        <v>703</v>
      </c>
      <c r="D168" s="10" t="s">
        <v>661</v>
      </c>
      <c r="E168" s="21" t="str">
        <f aca="false">IF(A168="","",A168&amp;"|"&amp;D168)</f>
        <v>F28|Assay</v>
      </c>
      <c r="F168" s="16" t="s">
        <v>662</v>
      </c>
      <c r="G168" s="16" t="s">
        <v>147</v>
      </c>
      <c r="H168" s="16" t="s">
        <v>663</v>
      </c>
      <c r="I168" s="16" t="n">
        <v>1</v>
      </c>
      <c r="J168" s="16"/>
      <c r="K168" s="14"/>
      <c r="L168" s="14"/>
      <c r="M168" s="14"/>
      <c r="N168" s="14"/>
      <c r="O168" s="14"/>
      <c r="P168" s="18" t="n">
        <f aca="false">IF(N168="",0,IF(OR(M168="",O168=""),N168,(M168+4*N168+O168)/6))</f>
        <v>0</v>
      </c>
      <c r="Q168" s="14"/>
      <c r="R168" s="14"/>
      <c r="S168" s="14"/>
      <c r="T168" s="14"/>
      <c r="U168" s="16"/>
      <c r="V168" s="13"/>
      <c r="W168" s="16" t="s">
        <v>662</v>
      </c>
      <c r="X168" s="16"/>
      <c r="Y168" s="16"/>
      <c r="Z168" s="16"/>
      <c r="AA168" s="22" t="n">
        <f aca="false">IF(F168&lt;&gt;"Y",0,((SUMIF(Products!$E$5:$E$300,A168,Products!$F$5:$F$300)+SUMIF(RM_Lots!$A$5:$A$400,A168,RM_Lots!$D$5:$D$400))+IF(W168="Y",SUMIF(Products!$E$5:$E$300,A168,Products!$G$5:$G$300),0))*(1+N(V168)))</f>
        <v>0</v>
      </c>
      <c r="AB168" s="22" t="n">
        <f aca="false">IF(F168&lt;&gt;"Y",0,((SUMIF(Products!$E$5:$E$300,A168,Products!$K$5:$K$300)+SUMIF(RM_Lots!$A$5:$A$400,A168,RM_Lots!$F$5:$F$400))+IF(W168="Y",SUMIF(Products!$E$5:$E$300,A168,Products!$L$5:$L$300),0))*(1+N(V168)))</f>
        <v>0</v>
      </c>
      <c r="AC168" s="17" t="n">
        <f aca="false">IF(J168="",1,MAX(1,COUNTIFS($J$5:$J$863,J168,$F$5:$F$863,"Y")))</f>
        <v>1</v>
      </c>
      <c r="AD168" s="18" t="n">
        <f aca="false">(MAX(1,N(I168))*(P168+N(S168))+MAX(1,N(I168))*N(K168)/(MAX(1,N(U168))*AC168))*Settings!$B$9</f>
        <v>0</v>
      </c>
      <c r="AE168" s="18" t="n">
        <f aca="false">(MAX(1,N(I168))*N(Q168)+MAX(1,N(I168))*N(L168)/(MAX(1,N(U168))*AC168))*Settings!$B$8</f>
        <v>0</v>
      </c>
      <c r="AF168" s="18" t="n">
        <f aca="false">MAX(1,N(I168))*N(T168)</f>
        <v>0</v>
      </c>
      <c r="AG168" s="15" t="n">
        <f aca="false">AA168*N(AD168)</f>
        <v>0</v>
      </c>
      <c r="AH168" s="15" t="n">
        <f aca="false">AA168*N(AE168)</f>
        <v>0</v>
      </c>
      <c r="AI168" s="15" t="n">
        <f aca="false">AA168*N(AF168)</f>
        <v>0</v>
      </c>
      <c r="AJ168" s="15" t="n">
        <f aca="false">AA168*N(R168)</f>
        <v>0</v>
      </c>
      <c r="AK168" s="15" t="n">
        <f aca="false">AB168*N(AD168)</f>
        <v>0</v>
      </c>
      <c r="AL168" s="15" t="n">
        <f aca="false">AB168*N(AE168)</f>
        <v>0</v>
      </c>
      <c r="AM168" s="15" t="n">
        <f aca="false">AB168*N(AF168)</f>
        <v>0</v>
      </c>
      <c r="AN168" s="15" t="n">
        <f aca="false">AB168*N(R168)</f>
        <v>0</v>
      </c>
      <c r="AO168" s="21" t="str">
        <f aca="false">IF(F168&lt;&gt;"Y","n/a",IF(AND(N168&lt;&gt;"",OR(Q168&lt;&gt;"",G168="Other / bench",G168="None"),U168&lt;&gt;""),"OK","Missing"))</f>
        <v>Missing</v>
      </c>
    </row>
    <row r="169" customFormat="false" ht="15" hidden="false" customHeight="false" outlineLevel="0" collapsed="false">
      <c r="A169" s="10" t="s">
        <v>311</v>
      </c>
      <c r="B169" s="10" t="s">
        <v>659</v>
      </c>
      <c r="C169" s="10" t="s">
        <v>703</v>
      </c>
      <c r="D169" s="10" t="s">
        <v>664</v>
      </c>
      <c r="E169" s="21" t="str">
        <f aca="false">IF(A169="","",A169&amp;"|"&amp;D169)</f>
        <v>F28|Related substances / impurities</v>
      </c>
      <c r="F169" s="16" t="s">
        <v>662</v>
      </c>
      <c r="G169" s="16" t="s">
        <v>147</v>
      </c>
      <c r="H169" s="16" t="s">
        <v>663</v>
      </c>
      <c r="I169" s="16" t="n">
        <v>1</v>
      </c>
      <c r="J169" s="16"/>
      <c r="K169" s="14"/>
      <c r="L169" s="14"/>
      <c r="M169" s="14"/>
      <c r="N169" s="14"/>
      <c r="O169" s="14"/>
      <c r="P169" s="18" t="n">
        <f aca="false">IF(N169="",0,IF(OR(M169="",O169=""),N169,(M169+4*N169+O169)/6))</f>
        <v>0</v>
      </c>
      <c r="Q169" s="14"/>
      <c r="R169" s="14"/>
      <c r="S169" s="14"/>
      <c r="T169" s="14"/>
      <c r="U169" s="16"/>
      <c r="V169" s="13"/>
      <c r="W169" s="16" t="s">
        <v>662</v>
      </c>
      <c r="X169" s="16"/>
      <c r="Y169" s="16"/>
      <c r="Z169" s="16"/>
      <c r="AA169" s="22" t="n">
        <f aca="false">IF(F169&lt;&gt;"Y",0,((SUMIF(Products!$E$5:$E$300,A169,Products!$F$5:$F$300)+SUMIF(RM_Lots!$A$5:$A$400,A169,RM_Lots!$D$5:$D$400))+IF(W169="Y",SUMIF(Products!$E$5:$E$300,A169,Products!$G$5:$G$300),0))*(1+N(V169)))</f>
        <v>0</v>
      </c>
      <c r="AB169" s="22" t="n">
        <f aca="false">IF(F169&lt;&gt;"Y",0,((SUMIF(Products!$E$5:$E$300,A169,Products!$K$5:$K$300)+SUMIF(RM_Lots!$A$5:$A$400,A169,RM_Lots!$F$5:$F$400))+IF(W169="Y",SUMIF(Products!$E$5:$E$300,A169,Products!$L$5:$L$300),0))*(1+N(V169)))</f>
        <v>0</v>
      </c>
      <c r="AC169" s="17" t="n">
        <f aca="false">IF(J169="",1,MAX(1,COUNTIFS($J$5:$J$863,J169,$F$5:$F$863,"Y")))</f>
        <v>1</v>
      </c>
      <c r="AD169" s="18" t="n">
        <f aca="false">(MAX(1,N(I169))*(P169+N(S169))+MAX(1,N(I169))*N(K169)/(MAX(1,N(U169))*AC169))*Settings!$B$9</f>
        <v>0</v>
      </c>
      <c r="AE169" s="18" t="n">
        <f aca="false">(MAX(1,N(I169))*N(Q169)+MAX(1,N(I169))*N(L169)/(MAX(1,N(U169))*AC169))*Settings!$B$8</f>
        <v>0</v>
      </c>
      <c r="AF169" s="18" t="n">
        <f aca="false">MAX(1,N(I169))*N(T169)</f>
        <v>0</v>
      </c>
      <c r="AG169" s="15" t="n">
        <f aca="false">AA169*N(AD169)</f>
        <v>0</v>
      </c>
      <c r="AH169" s="15" t="n">
        <f aca="false">AA169*N(AE169)</f>
        <v>0</v>
      </c>
      <c r="AI169" s="15" t="n">
        <f aca="false">AA169*N(AF169)</f>
        <v>0</v>
      </c>
      <c r="AJ169" s="15" t="n">
        <f aca="false">AA169*N(R169)</f>
        <v>0</v>
      </c>
      <c r="AK169" s="15" t="n">
        <f aca="false">AB169*N(AD169)</f>
        <v>0</v>
      </c>
      <c r="AL169" s="15" t="n">
        <f aca="false">AB169*N(AE169)</f>
        <v>0</v>
      </c>
      <c r="AM169" s="15" t="n">
        <f aca="false">AB169*N(AF169)</f>
        <v>0</v>
      </c>
      <c r="AN169" s="15" t="n">
        <f aca="false">AB169*N(R169)</f>
        <v>0</v>
      </c>
      <c r="AO169" s="21" t="str">
        <f aca="false">IF(F169&lt;&gt;"Y","n/a",IF(AND(N169&lt;&gt;"",OR(Q169&lt;&gt;"",G169="Other / bench",G169="None"),U169&lt;&gt;""),"OK","Missing"))</f>
        <v>Missing</v>
      </c>
    </row>
    <row r="170" customFormat="false" ht="15" hidden="false" customHeight="false" outlineLevel="0" collapsed="false">
      <c r="A170" s="10" t="s">
        <v>311</v>
      </c>
      <c r="B170" s="10" t="s">
        <v>659</v>
      </c>
      <c r="C170" s="10" t="s">
        <v>703</v>
      </c>
      <c r="D170" s="10" t="s">
        <v>665</v>
      </c>
      <c r="E170" s="21" t="str">
        <f aca="false">IF(A170="","",A170&amp;"|"&amp;D170)</f>
        <v>F28|Dissolution</v>
      </c>
      <c r="F170" s="16" t="s">
        <v>662</v>
      </c>
      <c r="G170" s="16" t="s">
        <v>147</v>
      </c>
      <c r="H170" s="16" t="s">
        <v>663</v>
      </c>
      <c r="I170" s="16" t="n">
        <v>1</v>
      </c>
      <c r="J170" s="16"/>
      <c r="K170" s="14"/>
      <c r="L170" s="14"/>
      <c r="M170" s="14"/>
      <c r="N170" s="14"/>
      <c r="O170" s="14"/>
      <c r="P170" s="18" t="n">
        <f aca="false">IF(N170="",0,IF(OR(M170="",O170=""),N170,(M170+4*N170+O170)/6))</f>
        <v>0</v>
      </c>
      <c r="Q170" s="14"/>
      <c r="R170" s="14"/>
      <c r="S170" s="14"/>
      <c r="T170" s="14"/>
      <c r="U170" s="16"/>
      <c r="V170" s="13"/>
      <c r="W170" s="16" t="s">
        <v>662</v>
      </c>
      <c r="X170" s="16"/>
      <c r="Y170" s="16"/>
      <c r="Z170" s="16"/>
      <c r="AA170" s="22" t="n">
        <f aca="false">IF(F170&lt;&gt;"Y",0,((SUMIF(Products!$E$5:$E$300,A170,Products!$F$5:$F$300)+SUMIF(RM_Lots!$A$5:$A$400,A170,RM_Lots!$D$5:$D$400))+IF(W170="Y",SUMIF(Products!$E$5:$E$300,A170,Products!$G$5:$G$300),0))*(1+N(V170)))</f>
        <v>0</v>
      </c>
      <c r="AB170" s="22" t="n">
        <f aca="false">IF(F170&lt;&gt;"Y",0,((SUMIF(Products!$E$5:$E$300,A170,Products!$K$5:$K$300)+SUMIF(RM_Lots!$A$5:$A$400,A170,RM_Lots!$F$5:$F$400))+IF(W170="Y",SUMIF(Products!$E$5:$E$300,A170,Products!$L$5:$L$300),0))*(1+N(V170)))</f>
        <v>0</v>
      </c>
      <c r="AC170" s="17" t="n">
        <f aca="false">IF(J170="",1,MAX(1,COUNTIFS($J$5:$J$863,J170,$F$5:$F$863,"Y")))</f>
        <v>1</v>
      </c>
      <c r="AD170" s="18" t="n">
        <f aca="false">(MAX(1,N(I170))*(P170+N(S170))+MAX(1,N(I170))*N(K170)/(MAX(1,N(U170))*AC170))*Settings!$B$9</f>
        <v>0</v>
      </c>
      <c r="AE170" s="18" t="n">
        <f aca="false">(MAX(1,N(I170))*N(Q170)+MAX(1,N(I170))*N(L170)/(MAX(1,N(U170))*AC170))*Settings!$B$8</f>
        <v>0</v>
      </c>
      <c r="AF170" s="18" t="n">
        <f aca="false">MAX(1,N(I170))*N(T170)</f>
        <v>0</v>
      </c>
      <c r="AG170" s="15" t="n">
        <f aca="false">AA170*N(AD170)</f>
        <v>0</v>
      </c>
      <c r="AH170" s="15" t="n">
        <f aca="false">AA170*N(AE170)</f>
        <v>0</v>
      </c>
      <c r="AI170" s="15" t="n">
        <f aca="false">AA170*N(AF170)</f>
        <v>0</v>
      </c>
      <c r="AJ170" s="15" t="n">
        <f aca="false">AA170*N(R170)</f>
        <v>0</v>
      </c>
      <c r="AK170" s="15" t="n">
        <f aca="false">AB170*N(AD170)</f>
        <v>0</v>
      </c>
      <c r="AL170" s="15" t="n">
        <f aca="false">AB170*N(AE170)</f>
        <v>0</v>
      </c>
      <c r="AM170" s="15" t="n">
        <f aca="false">AB170*N(AF170)</f>
        <v>0</v>
      </c>
      <c r="AN170" s="15" t="n">
        <f aca="false">AB170*N(R170)</f>
        <v>0</v>
      </c>
      <c r="AO170" s="21" t="str">
        <f aca="false">IF(F170&lt;&gt;"Y","n/a",IF(AND(N170&lt;&gt;"",OR(Q170&lt;&gt;"",G170="Other / bench",G170="None"),U170&lt;&gt;""),"OK","Missing"))</f>
        <v>Missing</v>
      </c>
    </row>
    <row r="171" customFormat="false" ht="15" hidden="false" customHeight="false" outlineLevel="0" collapsed="false">
      <c r="A171" s="10" t="s">
        <v>311</v>
      </c>
      <c r="B171" s="10" t="s">
        <v>659</v>
      </c>
      <c r="C171" s="10" t="s">
        <v>703</v>
      </c>
      <c r="D171" s="10" t="s">
        <v>666</v>
      </c>
      <c r="E171" s="21" t="str">
        <f aca="false">IF(A171="","",A171&amp;"|"&amp;D171)</f>
        <v>F28|Content uniformity</v>
      </c>
      <c r="F171" s="16" t="s">
        <v>662</v>
      </c>
      <c r="G171" s="16" t="s">
        <v>147</v>
      </c>
      <c r="H171" s="16" t="s">
        <v>663</v>
      </c>
      <c r="I171" s="16" t="n">
        <v>1</v>
      </c>
      <c r="J171" s="16"/>
      <c r="K171" s="14"/>
      <c r="L171" s="14"/>
      <c r="M171" s="14"/>
      <c r="N171" s="14"/>
      <c r="O171" s="14"/>
      <c r="P171" s="18" t="n">
        <f aca="false">IF(N171="",0,IF(OR(M171="",O171=""),N171,(M171+4*N171+O171)/6))</f>
        <v>0</v>
      </c>
      <c r="Q171" s="14"/>
      <c r="R171" s="14"/>
      <c r="S171" s="14"/>
      <c r="T171" s="14"/>
      <c r="U171" s="16"/>
      <c r="V171" s="13"/>
      <c r="W171" s="16" t="s">
        <v>667</v>
      </c>
      <c r="X171" s="16"/>
      <c r="Y171" s="16"/>
      <c r="Z171" s="16"/>
      <c r="AA171" s="22" t="n">
        <f aca="false">IF(F171&lt;&gt;"Y",0,((SUMIF(Products!$E$5:$E$300,A171,Products!$F$5:$F$300)+SUMIF(RM_Lots!$A$5:$A$400,A171,RM_Lots!$D$5:$D$400))+IF(W171="Y",SUMIF(Products!$E$5:$E$300,A171,Products!$G$5:$G$300),0))*(1+N(V171)))</f>
        <v>0</v>
      </c>
      <c r="AB171" s="22" t="n">
        <f aca="false">IF(F171&lt;&gt;"Y",0,((SUMIF(Products!$E$5:$E$300,A171,Products!$K$5:$K$300)+SUMIF(RM_Lots!$A$5:$A$400,A171,RM_Lots!$F$5:$F$400))+IF(W171="Y",SUMIF(Products!$E$5:$E$300,A171,Products!$L$5:$L$300),0))*(1+N(V171)))</f>
        <v>0</v>
      </c>
      <c r="AC171" s="17" t="n">
        <f aca="false">IF(J171="",1,MAX(1,COUNTIFS($J$5:$J$863,J171,$F$5:$F$863,"Y")))</f>
        <v>1</v>
      </c>
      <c r="AD171" s="18" t="n">
        <f aca="false">(MAX(1,N(I171))*(P171+N(S171))+MAX(1,N(I171))*N(K171)/(MAX(1,N(U171))*AC171))*Settings!$B$9</f>
        <v>0</v>
      </c>
      <c r="AE171" s="18" t="n">
        <f aca="false">(MAX(1,N(I171))*N(Q171)+MAX(1,N(I171))*N(L171)/(MAX(1,N(U171))*AC171))*Settings!$B$8</f>
        <v>0</v>
      </c>
      <c r="AF171" s="18" t="n">
        <f aca="false">MAX(1,N(I171))*N(T171)</f>
        <v>0</v>
      </c>
      <c r="AG171" s="15" t="n">
        <f aca="false">AA171*N(AD171)</f>
        <v>0</v>
      </c>
      <c r="AH171" s="15" t="n">
        <f aca="false">AA171*N(AE171)</f>
        <v>0</v>
      </c>
      <c r="AI171" s="15" t="n">
        <f aca="false">AA171*N(AF171)</f>
        <v>0</v>
      </c>
      <c r="AJ171" s="15" t="n">
        <f aca="false">AA171*N(R171)</f>
        <v>0</v>
      </c>
      <c r="AK171" s="15" t="n">
        <f aca="false">AB171*N(AD171)</f>
        <v>0</v>
      </c>
      <c r="AL171" s="15" t="n">
        <f aca="false">AB171*N(AE171)</f>
        <v>0</v>
      </c>
      <c r="AM171" s="15" t="n">
        <f aca="false">AB171*N(AF171)</f>
        <v>0</v>
      </c>
      <c r="AN171" s="15" t="n">
        <f aca="false">AB171*N(R171)</f>
        <v>0</v>
      </c>
      <c r="AO171" s="21" t="str">
        <f aca="false">IF(F171&lt;&gt;"Y","n/a",IF(AND(N171&lt;&gt;"",OR(Q171&lt;&gt;"",G171="Other / bench",G171="None"),U171&lt;&gt;""),"OK","Missing"))</f>
        <v>Missing</v>
      </c>
    </row>
    <row r="172" customFormat="false" ht="15" hidden="false" customHeight="false" outlineLevel="0" collapsed="false">
      <c r="A172" s="10" t="s">
        <v>311</v>
      </c>
      <c r="B172" s="10" t="s">
        <v>659</v>
      </c>
      <c r="C172" s="10" t="s">
        <v>703</v>
      </c>
      <c r="D172" s="10" t="s">
        <v>668</v>
      </c>
      <c r="E172" s="21" t="str">
        <f aca="false">IF(A172="","",A172&amp;"|"&amp;D172)</f>
        <v>F28|Identification (if separate from assay)</v>
      </c>
      <c r="F172" s="16" t="s">
        <v>667</v>
      </c>
      <c r="G172" s="16" t="s">
        <v>147</v>
      </c>
      <c r="H172" s="16" t="s">
        <v>663</v>
      </c>
      <c r="I172" s="16" t="n">
        <v>1</v>
      </c>
      <c r="J172" s="16"/>
      <c r="K172" s="14"/>
      <c r="L172" s="14"/>
      <c r="M172" s="14"/>
      <c r="N172" s="14"/>
      <c r="O172" s="14"/>
      <c r="P172" s="18" t="n">
        <f aca="false">IF(N172="",0,IF(OR(M172="",O172=""),N172,(M172+4*N172+O172)/6))</f>
        <v>0</v>
      </c>
      <c r="Q172" s="14"/>
      <c r="R172" s="14"/>
      <c r="S172" s="14"/>
      <c r="T172" s="14"/>
      <c r="U172" s="16"/>
      <c r="V172" s="13"/>
      <c r="W172" s="16" t="s">
        <v>667</v>
      </c>
      <c r="X172" s="16"/>
      <c r="Y172" s="16"/>
      <c r="Z172" s="16"/>
      <c r="AA172" s="22" t="n">
        <f aca="false">IF(F172&lt;&gt;"Y",0,((SUMIF(Products!$E$5:$E$300,A172,Products!$F$5:$F$300)+SUMIF(RM_Lots!$A$5:$A$400,A172,RM_Lots!$D$5:$D$400))+IF(W172="Y",SUMIF(Products!$E$5:$E$300,A172,Products!$G$5:$G$300),0))*(1+N(V172)))</f>
        <v>0</v>
      </c>
      <c r="AB172" s="22" t="n">
        <f aca="false">IF(F172&lt;&gt;"Y",0,((SUMIF(Products!$E$5:$E$300,A172,Products!$K$5:$K$300)+SUMIF(RM_Lots!$A$5:$A$400,A172,RM_Lots!$F$5:$F$400))+IF(W172="Y",SUMIF(Products!$E$5:$E$300,A172,Products!$L$5:$L$300),0))*(1+N(V172)))</f>
        <v>0</v>
      </c>
      <c r="AC172" s="17" t="n">
        <f aca="false">IF(J172="",1,MAX(1,COUNTIFS($J$5:$J$863,J172,$F$5:$F$863,"Y")))</f>
        <v>1</v>
      </c>
      <c r="AD172" s="18" t="n">
        <f aca="false">(MAX(1,N(I172))*(P172+N(S172))+MAX(1,N(I172))*N(K172)/(MAX(1,N(U172))*AC172))*Settings!$B$9</f>
        <v>0</v>
      </c>
      <c r="AE172" s="18" t="n">
        <f aca="false">(MAX(1,N(I172))*N(Q172)+MAX(1,N(I172))*N(L172)/(MAX(1,N(U172))*AC172))*Settings!$B$8</f>
        <v>0</v>
      </c>
      <c r="AF172" s="18" t="n">
        <f aca="false">MAX(1,N(I172))*N(T172)</f>
        <v>0</v>
      </c>
      <c r="AG172" s="15" t="n">
        <f aca="false">AA172*N(AD172)</f>
        <v>0</v>
      </c>
      <c r="AH172" s="15" t="n">
        <f aca="false">AA172*N(AE172)</f>
        <v>0</v>
      </c>
      <c r="AI172" s="15" t="n">
        <f aca="false">AA172*N(AF172)</f>
        <v>0</v>
      </c>
      <c r="AJ172" s="15" t="n">
        <f aca="false">AA172*N(R172)</f>
        <v>0</v>
      </c>
      <c r="AK172" s="15" t="n">
        <f aca="false">AB172*N(AD172)</f>
        <v>0</v>
      </c>
      <c r="AL172" s="15" t="n">
        <f aca="false">AB172*N(AE172)</f>
        <v>0</v>
      </c>
      <c r="AM172" s="15" t="n">
        <f aca="false">AB172*N(AF172)</f>
        <v>0</v>
      </c>
      <c r="AN172" s="15" t="n">
        <f aca="false">AB172*N(R172)</f>
        <v>0</v>
      </c>
      <c r="AO172" s="21" t="str">
        <f aca="false">IF(F172&lt;&gt;"Y","n/a",IF(AND(N172&lt;&gt;"",OR(Q172&lt;&gt;"",G172="Other / bench",G172="None"),U172&lt;&gt;""),"OK","Missing"))</f>
        <v>n/a</v>
      </c>
    </row>
    <row r="173" customFormat="false" ht="15" hidden="false" customHeight="false" outlineLevel="0" collapsed="false">
      <c r="A173" s="10" t="s">
        <v>311</v>
      </c>
      <c r="B173" s="10" t="s">
        <v>659</v>
      </c>
      <c r="C173" s="10" t="s">
        <v>703</v>
      </c>
      <c r="D173" s="10" t="s">
        <v>669</v>
      </c>
      <c r="E173" s="21" t="str">
        <f aca="false">IF(A173="","",A173&amp;"|"&amp;D173)</f>
        <v>F28|Other tests (non-HPLC: physical, LOD/KF, disintegration, pH, micro...)</v>
      </c>
      <c r="F173" s="16" t="s">
        <v>662</v>
      </c>
      <c r="G173" s="16" t="s">
        <v>670</v>
      </c>
      <c r="H173" s="16" t="s">
        <v>663</v>
      </c>
      <c r="I173" s="16" t="n">
        <v>1</v>
      </c>
      <c r="J173" s="16"/>
      <c r="K173" s="14"/>
      <c r="L173" s="14"/>
      <c r="M173" s="14"/>
      <c r="N173" s="14"/>
      <c r="O173" s="14"/>
      <c r="P173" s="18" t="n">
        <f aca="false">IF(N173="",0,IF(OR(M173="",O173=""),N173,(M173+4*N173+O173)/6))</f>
        <v>0</v>
      </c>
      <c r="Q173" s="14"/>
      <c r="R173" s="14"/>
      <c r="S173" s="14"/>
      <c r="T173" s="14"/>
      <c r="U173" s="16"/>
      <c r="V173" s="13"/>
      <c r="W173" s="16" t="s">
        <v>662</v>
      </c>
      <c r="X173" s="16"/>
      <c r="Y173" s="16"/>
      <c r="Z173" s="16"/>
      <c r="AA173" s="22" t="n">
        <f aca="false">IF(F173&lt;&gt;"Y",0,((SUMIF(Products!$E$5:$E$300,A173,Products!$F$5:$F$300)+SUMIF(RM_Lots!$A$5:$A$400,A173,RM_Lots!$D$5:$D$400))+IF(W173="Y",SUMIF(Products!$E$5:$E$300,A173,Products!$G$5:$G$300),0))*(1+N(V173)))</f>
        <v>0</v>
      </c>
      <c r="AB173" s="22" t="n">
        <f aca="false">IF(F173&lt;&gt;"Y",0,((SUMIF(Products!$E$5:$E$300,A173,Products!$K$5:$K$300)+SUMIF(RM_Lots!$A$5:$A$400,A173,RM_Lots!$F$5:$F$400))+IF(W173="Y",SUMIF(Products!$E$5:$E$300,A173,Products!$L$5:$L$300),0))*(1+N(V173)))</f>
        <v>0</v>
      </c>
      <c r="AC173" s="17" t="n">
        <f aca="false">IF(J173="",1,MAX(1,COUNTIFS($J$5:$J$863,J173,$F$5:$F$863,"Y")))</f>
        <v>1</v>
      </c>
      <c r="AD173" s="18" t="n">
        <f aca="false">(MAX(1,N(I173))*(P173+N(S173))+MAX(1,N(I173))*N(K173)/(MAX(1,N(U173))*AC173))*Settings!$B$9</f>
        <v>0</v>
      </c>
      <c r="AE173" s="18" t="n">
        <f aca="false">(MAX(1,N(I173))*N(Q173)+MAX(1,N(I173))*N(L173)/(MAX(1,N(U173))*AC173))*Settings!$B$8</f>
        <v>0</v>
      </c>
      <c r="AF173" s="18" t="n">
        <f aca="false">MAX(1,N(I173))*N(T173)</f>
        <v>0</v>
      </c>
      <c r="AG173" s="15" t="n">
        <f aca="false">AA173*N(AD173)</f>
        <v>0</v>
      </c>
      <c r="AH173" s="15" t="n">
        <f aca="false">AA173*N(AE173)</f>
        <v>0</v>
      </c>
      <c r="AI173" s="15" t="n">
        <f aca="false">AA173*N(AF173)</f>
        <v>0</v>
      </c>
      <c r="AJ173" s="15" t="n">
        <f aca="false">AA173*N(R173)</f>
        <v>0</v>
      </c>
      <c r="AK173" s="15" t="n">
        <f aca="false">AB173*N(AD173)</f>
        <v>0</v>
      </c>
      <c r="AL173" s="15" t="n">
        <f aca="false">AB173*N(AE173)</f>
        <v>0</v>
      </c>
      <c r="AM173" s="15" t="n">
        <f aca="false">AB173*N(AF173)</f>
        <v>0</v>
      </c>
      <c r="AN173" s="15" t="n">
        <f aca="false">AB173*N(R173)</f>
        <v>0</v>
      </c>
      <c r="AO173" s="21" t="str">
        <f aca="false">IF(F173&lt;&gt;"Y","n/a",IF(AND(N173&lt;&gt;"",OR(Q173&lt;&gt;"",G173="Other / bench",G173="None"),U173&lt;&gt;""),"OK","Missing"))</f>
        <v>Missing</v>
      </c>
    </row>
    <row r="174" customFormat="false" ht="15" hidden="false" customHeight="false" outlineLevel="0" collapsed="false">
      <c r="A174" s="10" t="s">
        <v>318</v>
      </c>
      <c r="B174" s="10" t="s">
        <v>659</v>
      </c>
      <c r="C174" s="10" t="s">
        <v>704</v>
      </c>
      <c r="D174" s="10" t="s">
        <v>661</v>
      </c>
      <c r="E174" s="21" t="str">
        <f aca="false">IF(A174="","",A174&amp;"|"&amp;D174)</f>
        <v>F29|Assay</v>
      </c>
      <c r="F174" s="16" t="s">
        <v>662</v>
      </c>
      <c r="G174" s="16" t="s">
        <v>147</v>
      </c>
      <c r="H174" s="16" t="s">
        <v>672</v>
      </c>
      <c r="I174" s="16" t="n">
        <v>1</v>
      </c>
      <c r="J174" s="16"/>
      <c r="K174" s="14"/>
      <c r="L174" s="14"/>
      <c r="M174" s="14"/>
      <c r="N174" s="14"/>
      <c r="O174" s="14"/>
      <c r="P174" s="18" t="n">
        <f aca="false">IF(N174="",0,IF(OR(M174="",O174=""),N174,(M174+4*N174+O174)/6))</f>
        <v>0</v>
      </c>
      <c r="Q174" s="14"/>
      <c r="R174" s="14"/>
      <c r="S174" s="14"/>
      <c r="T174" s="14"/>
      <c r="U174" s="16"/>
      <c r="V174" s="13"/>
      <c r="W174" s="16" t="s">
        <v>662</v>
      </c>
      <c r="X174" s="16"/>
      <c r="Y174" s="16"/>
      <c r="Z174" s="16"/>
      <c r="AA174" s="22" t="n">
        <f aca="false">IF(F174&lt;&gt;"Y",0,((SUMIF(Products!$E$5:$E$300,A174,Products!$F$5:$F$300)+SUMIF(RM_Lots!$A$5:$A$400,A174,RM_Lots!$D$5:$D$400))+IF(W174="Y",SUMIF(Products!$E$5:$E$300,A174,Products!$G$5:$G$300),0))*(1+N(V174)))</f>
        <v>0</v>
      </c>
      <c r="AB174" s="22" t="n">
        <f aca="false">IF(F174&lt;&gt;"Y",0,((SUMIF(Products!$E$5:$E$300,A174,Products!$K$5:$K$300)+SUMIF(RM_Lots!$A$5:$A$400,A174,RM_Lots!$F$5:$F$400))+IF(W174="Y",SUMIF(Products!$E$5:$E$300,A174,Products!$L$5:$L$300),0))*(1+N(V174)))</f>
        <v>0</v>
      </c>
      <c r="AC174" s="17" t="n">
        <f aca="false">IF(J174="",1,MAX(1,COUNTIFS($J$5:$J$863,J174,$F$5:$F$863,"Y")))</f>
        <v>1</v>
      </c>
      <c r="AD174" s="18" t="n">
        <f aca="false">(MAX(1,N(I174))*(P174+N(S174))+MAX(1,N(I174))*N(K174)/(MAX(1,N(U174))*AC174))*Settings!$B$9</f>
        <v>0</v>
      </c>
      <c r="AE174" s="18" t="n">
        <f aca="false">(MAX(1,N(I174))*N(Q174)+MAX(1,N(I174))*N(L174)/(MAX(1,N(U174))*AC174))*Settings!$B$8</f>
        <v>0</v>
      </c>
      <c r="AF174" s="18" t="n">
        <f aca="false">MAX(1,N(I174))*N(T174)</f>
        <v>0</v>
      </c>
      <c r="AG174" s="15" t="n">
        <f aca="false">AA174*N(AD174)</f>
        <v>0</v>
      </c>
      <c r="AH174" s="15" t="n">
        <f aca="false">AA174*N(AE174)</f>
        <v>0</v>
      </c>
      <c r="AI174" s="15" t="n">
        <f aca="false">AA174*N(AF174)</f>
        <v>0</v>
      </c>
      <c r="AJ174" s="15" t="n">
        <f aca="false">AA174*N(R174)</f>
        <v>0</v>
      </c>
      <c r="AK174" s="15" t="n">
        <f aca="false">AB174*N(AD174)</f>
        <v>0</v>
      </c>
      <c r="AL174" s="15" t="n">
        <f aca="false">AB174*N(AE174)</f>
        <v>0</v>
      </c>
      <c r="AM174" s="15" t="n">
        <f aca="false">AB174*N(AF174)</f>
        <v>0</v>
      </c>
      <c r="AN174" s="15" t="n">
        <f aca="false">AB174*N(R174)</f>
        <v>0</v>
      </c>
      <c r="AO174" s="21" t="str">
        <f aca="false">IF(F174&lt;&gt;"Y","n/a",IF(AND(N174&lt;&gt;"",OR(Q174&lt;&gt;"",G174="Other / bench",G174="None"),U174&lt;&gt;""),"OK","Missing"))</f>
        <v>Missing</v>
      </c>
    </row>
    <row r="175" customFormat="false" ht="15" hidden="false" customHeight="false" outlineLevel="0" collapsed="false">
      <c r="A175" s="10" t="s">
        <v>318</v>
      </c>
      <c r="B175" s="10" t="s">
        <v>659</v>
      </c>
      <c r="C175" s="10" t="s">
        <v>704</v>
      </c>
      <c r="D175" s="10" t="s">
        <v>664</v>
      </c>
      <c r="E175" s="21" t="str">
        <f aca="false">IF(A175="","",A175&amp;"|"&amp;D175)</f>
        <v>F29|Related substances / impurities</v>
      </c>
      <c r="F175" s="16" t="s">
        <v>662</v>
      </c>
      <c r="G175" s="16" t="s">
        <v>147</v>
      </c>
      <c r="H175" s="16" t="s">
        <v>672</v>
      </c>
      <c r="I175" s="16" t="n">
        <v>1</v>
      </c>
      <c r="J175" s="16"/>
      <c r="K175" s="14"/>
      <c r="L175" s="14"/>
      <c r="M175" s="14"/>
      <c r="N175" s="14"/>
      <c r="O175" s="14"/>
      <c r="P175" s="18" t="n">
        <f aca="false">IF(N175="",0,IF(OR(M175="",O175=""),N175,(M175+4*N175+O175)/6))</f>
        <v>0</v>
      </c>
      <c r="Q175" s="14"/>
      <c r="R175" s="14"/>
      <c r="S175" s="14"/>
      <c r="T175" s="14"/>
      <c r="U175" s="16"/>
      <c r="V175" s="13"/>
      <c r="W175" s="16" t="s">
        <v>662</v>
      </c>
      <c r="X175" s="16"/>
      <c r="Y175" s="16"/>
      <c r="Z175" s="16"/>
      <c r="AA175" s="22" t="n">
        <f aca="false">IF(F175&lt;&gt;"Y",0,((SUMIF(Products!$E$5:$E$300,A175,Products!$F$5:$F$300)+SUMIF(RM_Lots!$A$5:$A$400,A175,RM_Lots!$D$5:$D$400))+IF(W175="Y",SUMIF(Products!$E$5:$E$300,A175,Products!$G$5:$G$300),0))*(1+N(V175)))</f>
        <v>0</v>
      </c>
      <c r="AB175" s="22" t="n">
        <f aca="false">IF(F175&lt;&gt;"Y",0,((SUMIF(Products!$E$5:$E$300,A175,Products!$K$5:$K$300)+SUMIF(RM_Lots!$A$5:$A$400,A175,RM_Lots!$F$5:$F$400))+IF(W175="Y",SUMIF(Products!$E$5:$E$300,A175,Products!$L$5:$L$300),0))*(1+N(V175)))</f>
        <v>0</v>
      </c>
      <c r="AC175" s="17" t="n">
        <f aca="false">IF(J175="",1,MAX(1,COUNTIFS($J$5:$J$863,J175,$F$5:$F$863,"Y")))</f>
        <v>1</v>
      </c>
      <c r="AD175" s="18" t="n">
        <f aca="false">(MAX(1,N(I175))*(P175+N(S175))+MAX(1,N(I175))*N(K175)/(MAX(1,N(U175))*AC175))*Settings!$B$9</f>
        <v>0</v>
      </c>
      <c r="AE175" s="18" t="n">
        <f aca="false">(MAX(1,N(I175))*N(Q175)+MAX(1,N(I175))*N(L175)/(MAX(1,N(U175))*AC175))*Settings!$B$8</f>
        <v>0</v>
      </c>
      <c r="AF175" s="18" t="n">
        <f aca="false">MAX(1,N(I175))*N(T175)</f>
        <v>0</v>
      </c>
      <c r="AG175" s="15" t="n">
        <f aca="false">AA175*N(AD175)</f>
        <v>0</v>
      </c>
      <c r="AH175" s="15" t="n">
        <f aca="false">AA175*N(AE175)</f>
        <v>0</v>
      </c>
      <c r="AI175" s="15" t="n">
        <f aca="false">AA175*N(AF175)</f>
        <v>0</v>
      </c>
      <c r="AJ175" s="15" t="n">
        <f aca="false">AA175*N(R175)</f>
        <v>0</v>
      </c>
      <c r="AK175" s="15" t="n">
        <f aca="false">AB175*N(AD175)</f>
        <v>0</v>
      </c>
      <c r="AL175" s="15" t="n">
        <f aca="false">AB175*N(AE175)</f>
        <v>0</v>
      </c>
      <c r="AM175" s="15" t="n">
        <f aca="false">AB175*N(AF175)</f>
        <v>0</v>
      </c>
      <c r="AN175" s="15" t="n">
        <f aca="false">AB175*N(R175)</f>
        <v>0</v>
      </c>
      <c r="AO175" s="21" t="str">
        <f aca="false">IF(F175&lt;&gt;"Y","n/a",IF(AND(N175&lt;&gt;"",OR(Q175&lt;&gt;"",G175="Other / bench",G175="None"),U175&lt;&gt;""),"OK","Missing"))</f>
        <v>Missing</v>
      </c>
    </row>
    <row r="176" customFormat="false" ht="15" hidden="false" customHeight="false" outlineLevel="0" collapsed="false">
      <c r="A176" s="10" t="s">
        <v>318</v>
      </c>
      <c r="B176" s="10" t="s">
        <v>659</v>
      </c>
      <c r="C176" s="10" t="s">
        <v>704</v>
      </c>
      <c r="D176" s="10" t="s">
        <v>665</v>
      </c>
      <c r="E176" s="21" t="str">
        <f aca="false">IF(A176="","",A176&amp;"|"&amp;D176)</f>
        <v>F29|Dissolution</v>
      </c>
      <c r="F176" s="16" t="s">
        <v>662</v>
      </c>
      <c r="G176" s="16" t="s">
        <v>147</v>
      </c>
      <c r="H176" s="16" t="s">
        <v>672</v>
      </c>
      <c r="I176" s="16" t="n">
        <v>1</v>
      </c>
      <c r="J176" s="16"/>
      <c r="K176" s="14"/>
      <c r="L176" s="14"/>
      <c r="M176" s="14"/>
      <c r="N176" s="14"/>
      <c r="O176" s="14"/>
      <c r="P176" s="18" t="n">
        <f aca="false">IF(N176="",0,IF(OR(M176="",O176=""),N176,(M176+4*N176+O176)/6))</f>
        <v>0</v>
      </c>
      <c r="Q176" s="14"/>
      <c r="R176" s="14"/>
      <c r="S176" s="14"/>
      <c r="T176" s="14"/>
      <c r="U176" s="16"/>
      <c r="V176" s="13"/>
      <c r="W176" s="16" t="s">
        <v>662</v>
      </c>
      <c r="X176" s="16"/>
      <c r="Y176" s="16"/>
      <c r="Z176" s="16"/>
      <c r="AA176" s="22" t="n">
        <f aca="false">IF(F176&lt;&gt;"Y",0,((SUMIF(Products!$E$5:$E$300,A176,Products!$F$5:$F$300)+SUMIF(RM_Lots!$A$5:$A$400,A176,RM_Lots!$D$5:$D$400))+IF(W176="Y",SUMIF(Products!$E$5:$E$300,A176,Products!$G$5:$G$300),0))*(1+N(V176)))</f>
        <v>0</v>
      </c>
      <c r="AB176" s="22" t="n">
        <f aca="false">IF(F176&lt;&gt;"Y",0,((SUMIF(Products!$E$5:$E$300,A176,Products!$K$5:$K$300)+SUMIF(RM_Lots!$A$5:$A$400,A176,RM_Lots!$F$5:$F$400))+IF(W176="Y",SUMIF(Products!$E$5:$E$300,A176,Products!$L$5:$L$300),0))*(1+N(V176)))</f>
        <v>0</v>
      </c>
      <c r="AC176" s="17" t="n">
        <f aca="false">IF(J176="",1,MAX(1,COUNTIFS($J$5:$J$863,J176,$F$5:$F$863,"Y")))</f>
        <v>1</v>
      </c>
      <c r="AD176" s="18" t="n">
        <f aca="false">(MAX(1,N(I176))*(P176+N(S176))+MAX(1,N(I176))*N(K176)/(MAX(1,N(U176))*AC176))*Settings!$B$9</f>
        <v>0</v>
      </c>
      <c r="AE176" s="18" t="n">
        <f aca="false">(MAX(1,N(I176))*N(Q176)+MAX(1,N(I176))*N(L176)/(MAX(1,N(U176))*AC176))*Settings!$B$8</f>
        <v>0</v>
      </c>
      <c r="AF176" s="18" t="n">
        <f aca="false">MAX(1,N(I176))*N(T176)</f>
        <v>0</v>
      </c>
      <c r="AG176" s="15" t="n">
        <f aca="false">AA176*N(AD176)</f>
        <v>0</v>
      </c>
      <c r="AH176" s="15" t="n">
        <f aca="false">AA176*N(AE176)</f>
        <v>0</v>
      </c>
      <c r="AI176" s="15" t="n">
        <f aca="false">AA176*N(AF176)</f>
        <v>0</v>
      </c>
      <c r="AJ176" s="15" t="n">
        <f aca="false">AA176*N(R176)</f>
        <v>0</v>
      </c>
      <c r="AK176" s="15" t="n">
        <f aca="false">AB176*N(AD176)</f>
        <v>0</v>
      </c>
      <c r="AL176" s="15" t="n">
        <f aca="false">AB176*N(AE176)</f>
        <v>0</v>
      </c>
      <c r="AM176" s="15" t="n">
        <f aca="false">AB176*N(AF176)</f>
        <v>0</v>
      </c>
      <c r="AN176" s="15" t="n">
        <f aca="false">AB176*N(R176)</f>
        <v>0</v>
      </c>
      <c r="AO176" s="21" t="str">
        <f aca="false">IF(F176&lt;&gt;"Y","n/a",IF(AND(N176&lt;&gt;"",OR(Q176&lt;&gt;"",G176="Other / bench",G176="None"),U176&lt;&gt;""),"OK","Missing"))</f>
        <v>Missing</v>
      </c>
    </row>
    <row r="177" customFormat="false" ht="15" hidden="false" customHeight="false" outlineLevel="0" collapsed="false">
      <c r="A177" s="10" t="s">
        <v>318</v>
      </c>
      <c r="B177" s="10" t="s">
        <v>659</v>
      </c>
      <c r="C177" s="10" t="s">
        <v>704</v>
      </c>
      <c r="D177" s="10" t="s">
        <v>666</v>
      </c>
      <c r="E177" s="21" t="str">
        <f aca="false">IF(A177="","",A177&amp;"|"&amp;D177)</f>
        <v>F29|Content uniformity</v>
      </c>
      <c r="F177" s="16" t="s">
        <v>662</v>
      </c>
      <c r="G177" s="16" t="s">
        <v>147</v>
      </c>
      <c r="H177" s="16" t="s">
        <v>672</v>
      </c>
      <c r="I177" s="16" t="n">
        <v>1</v>
      </c>
      <c r="J177" s="16"/>
      <c r="K177" s="14"/>
      <c r="L177" s="14"/>
      <c r="M177" s="14"/>
      <c r="N177" s="14"/>
      <c r="O177" s="14"/>
      <c r="P177" s="18" t="n">
        <f aca="false">IF(N177="",0,IF(OR(M177="",O177=""),N177,(M177+4*N177+O177)/6))</f>
        <v>0</v>
      </c>
      <c r="Q177" s="14"/>
      <c r="R177" s="14"/>
      <c r="S177" s="14"/>
      <c r="T177" s="14"/>
      <c r="U177" s="16"/>
      <c r="V177" s="13"/>
      <c r="W177" s="16" t="s">
        <v>667</v>
      </c>
      <c r="X177" s="16"/>
      <c r="Y177" s="16"/>
      <c r="Z177" s="16"/>
      <c r="AA177" s="22" t="n">
        <f aca="false">IF(F177&lt;&gt;"Y",0,((SUMIF(Products!$E$5:$E$300,A177,Products!$F$5:$F$300)+SUMIF(RM_Lots!$A$5:$A$400,A177,RM_Lots!$D$5:$D$400))+IF(W177="Y",SUMIF(Products!$E$5:$E$300,A177,Products!$G$5:$G$300),0))*(1+N(V177)))</f>
        <v>0</v>
      </c>
      <c r="AB177" s="22" t="n">
        <f aca="false">IF(F177&lt;&gt;"Y",0,((SUMIF(Products!$E$5:$E$300,A177,Products!$K$5:$K$300)+SUMIF(RM_Lots!$A$5:$A$400,A177,RM_Lots!$F$5:$F$400))+IF(W177="Y",SUMIF(Products!$E$5:$E$300,A177,Products!$L$5:$L$300),0))*(1+N(V177)))</f>
        <v>0</v>
      </c>
      <c r="AC177" s="17" t="n">
        <f aca="false">IF(J177="",1,MAX(1,COUNTIFS($J$5:$J$863,J177,$F$5:$F$863,"Y")))</f>
        <v>1</v>
      </c>
      <c r="AD177" s="18" t="n">
        <f aca="false">(MAX(1,N(I177))*(P177+N(S177))+MAX(1,N(I177))*N(K177)/(MAX(1,N(U177))*AC177))*Settings!$B$9</f>
        <v>0</v>
      </c>
      <c r="AE177" s="18" t="n">
        <f aca="false">(MAX(1,N(I177))*N(Q177)+MAX(1,N(I177))*N(L177)/(MAX(1,N(U177))*AC177))*Settings!$B$8</f>
        <v>0</v>
      </c>
      <c r="AF177" s="18" t="n">
        <f aca="false">MAX(1,N(I177))*N(T177)</f>
        <v>0</v>
      </c>
      <c r="AG177" s="15" t="n">
        <f aca="false">AA177*N(AD177)</f>
        <v>0</v>
      </c>
      <c r="AH177" s="15" t="n">
        <f aca="false">AA177*N(AE177)</f>
        <v>0</v>
      </c>
      <c r="AI177" s="15" t="n">
        <f aca="false">AA177*N(AF177)</f>
        <v>0</v>
      </c>
      <c r="AJ177" s="15" t="n">
        <f aca="false">AA177*N(R177)</f>
        <v>0</v>
      </c>
      <c r="AK177" s="15" t="n">
        <f aca="false">AB177*N(AD177)</f>
        <v>0</v>
      </c>
      <c r="AL177" s="15" t="n">
        <f aca="false">AB177*N(AE177)</f>
        <v>0</v>
      </c>
      <c r="AM177" s="15" t="n">
        <f aca="false">AB177*N(AF177)</f>
        <v>0</v>
      </c>
      <c r="AN177" s="15" t="n">
        <f aca="false">AB177*N(R177)</f>
        <v>0</v>
      </c>
      <c r="AO177" s="21" t="str">
        <f aca="false">IF(F177&lt;&gt;"Y","n/a",IF(AND(N177&lt;&gt;"",OR(Q177&lt;&gt;"",G177="Other / bench",G177="None"),U177&lt;&gt;""),"OK","Missing"))</f>
        <v>Missing</v>
      </c>
    </row>
    <row r="178" customFormat="false" ht="15" hidden="false" customHeight="false" outlineLevel="0" collapsed="false">
      <c r="A178" s="10" t="s">
        <v>318</v>
      </c>
      <c r="B178" s="10" t="s">
        <v>659</v>
      </c>
      <c r="C178" s="10" t="s">
        <v>704</v>
      </c>
      <c r="D178" s="10" t="s">
        <v>668</v>
      </c>
      <c r="E178" s="21" t="str">
        <f aca="false">IF(A178="","",A178&amp;"|"&amp;D178)</f>
        <v>F29|Identification (if separate from assay)</v>
      </c>
      <c r="F178" s="16" t="s">
        <v>667</v>
      </c>
      <c r="G178" s="16" t="s">
        <v>147</v>
      </c>
      <c r="H178" s="16" t="s">
        <v>672</v>
      </c>
      <c r="I178" s="16" t="n">
        <v>1</v>
      </c>
      <c r="J178" s="16"/>
      <c r="K178" s="14"/>
      <c r="L178" s="14"/>
      <c r="M178" s="14"/>
      <c r="N178" s="14"/>
      <c r="O178" s="14"/>
      <c r="P178" s="18" t="n">
        <f aca="false">IF(N178="",0,IF(OR(M178="",O178=""),N178,(M178+4*N178+O178)/6))</f>
        <v>0</v>
      </c>
      <c r="Q178" s="14"/>
      <c r="R178" s="14"/>
      <c r="S178" s="14"/>
      <c r="T178" s="14"/>
      <c r="U178" s="16"/>
      <c r="V178" s="13"/>
      <c r="W178" s="16" t="s">
        <v>667</v>
      </c>
      <c r="X178" s="16"/>
      <c r="Y178" s="16"/>
      <c r="Z178" s="16"/>
      <c r="AA178" s="22" t="n">
        <f aca="false">IF(F178&lt;&gt;"Y",0,((SUMIF(Products!$E$5:$E$300,A178,Products!$F$5:$F$300)+SUMIF(RM_Lots!$A$5:$A$400,A178,RM_Lots!$D$5:$D$400))+IF(W178="Y",SUMIF(Products!$E$5:$E$300,A178,Products!$G$5:$G$300),0))*(1+N(V178)))</f>
        <v>0</v>
      </c>
      <c r="AB178" s="22" t="n">
        <f aca="false">IF(F178&lt;&gt;"Y",0,((SUMIF(Products!$E$5:$E$300,A178,Products!$K$5:$K$300)+SUMIF(RM_Lots!$A$5:$A$400,A178,RM_Lots!$F$5:$F$400))+IF(W178="Y",SUMIF(Products!$E$5:$E$300,A178,Products!$L$5:$L$300),0))*(1+N(V178)))</f>
        <v>0</v>
      </c>
      <c r="AC178" s="17" t="n">
        <f aca="false">IF(J178="",1,MAX(1,COUNTIFS($J$5:$J$863,J178,$F$5:$F$863,"Y")))</f>
        <v>1</v>
      </c>
      <c r="AD178" s="18" t="n">
        <f aca="false">(MAX(1,N(I178))*(P178+N(S178))+MAX(1,N(I178))*N(K178)/(MAX(1,N(U178))*AC178))*Settings!$B$9</f>
        <v>0</v>
      </c>
      <c r="AE178" s="18" t="n">
        <f aca="false">(MAX(1,N(I178))*N(Q178)+MAX(1,N(I178))*N(L178)/(MAX(1,N(U178))*AC178))*Settings!$B$8</f>
        <v>0</v>
      </c>
      <c r="AF178" s="18" t="n">
        <f aca="false">MAX(1,N(I178))*N(T178)</f>
        <v>0</v>
      </c>
      <c r="AG178" s="15" t="n">
        <f aca="false">AA178*N(AD178)</f>
        <v>0</v>
      </c>
      <c r="AH178" s="15" t="n">
        <f aca="false">AA178*N(AE178)</f>
        <v>0</v>
      </c>
      <c r="AI178" s="15" t="n">
        <f aca="false">AA178*N(AF178)</f>
        <v>0</v>
      </c>
      <c r="AJ178" s="15" t="n">
        <f aca="false">AA178*N(R178)</f>
        <v>0</v>
      </c>
      <c r="AK178" s="15" t="n">
        <f aca="false">AB178*N(AD178)</f>
        <v>0</v>
      </c>
      <c r="AL178" s="15" t="n">
        <f aca="false">AB178*N(AE178)</f>
        <v>0</v>
      </c>
      <c r="AM178" s="15" t="n">
        <f aca="false">AB178*N(AF178)</f>
        <v>0</v>
      </c>
      <c r="AN178" s="15" t="n">
        <f aca="false">AB178*N(R178)</f>
        <v>0</v>
      </c>
      <c r="AO178" s="21" t="str">
        <f aca="false">IF(F178&lt;&gt;"Y","n/a",IF(AND(N178&lt;&gt;"",OR(Q178&lt;&gt;"",G178="Other / bench",G178="None"),U178&lt;&gt;""),"OK","Missing"))</f>
        <v>n/a</v>
      </c>
    </row>
    <row r="179" customFormat="false" ht="15" hidden="false" customHeight="false" outlineLevel="0" collapsed="false">
      <c r="A179" s="10" t="s">
        <v>318</v>
      </c>
      <c r="B179" s="10" t="s">
        <v>659</v>
      </c>
      <c r="C179" s="10" t="s">
        <v>704</v>
      </c>
      <c r="D179" s="10" t="s">
        <v>669</v>
      </c>
      <c r="E179" s="21" t="str">
        <f aca="false">IF(A179="","",A179&amp;"|"&amp;D179)</f>
        <v>F29|Other tests (non-HPLC: physical, LOD/KF, disintegration, pH, micro...)</v>
      </c>
      <c r="F179" s="16" t="s">
        <v>662</v>
      </c>
      <c r="G179" s="16" t="s">
        <v>670</v>
      </c>
      <c r="H179" s="16" t="s">
        <v>672</v>
      </c>
      <c r="I179" s="16" t="n">
        <v>1</v>
      </c>
      <c r="J179" s="16"/>
      <c r="K179" s="14"/>
      <c r="L179" s="14"/>
      <c r="M179" s="14"/>
      <c r="N179" s="14"/>
      <c r="O179" s="14"/>
      <c r="P179" s="18" t="n">
        <f aca="false">IF(N179="",0,IF(OR(M179="",O179=""),N179,(M179+4*N179+O179)/6))</f>
        <v>0</v>
      </c>
      <c r="Q179" s="14"/>
      <c r="R179" s="14"/>
      <c r="S179" s="14"/>
      <c r="T179" s="14"/>
      <c r="U179" s="16"/>
      <c r="V179" s="13"/>
      <c r="W179" s="16" t="s">
        <v>662</v>
      </c>
      <c r="X179" s="16"/>
      <c r="Y179" s="16"/>
      <c r="Z179" s="16"/>
      <c r="AA179" s="22" t="n">
        <f aca="false">IF(F179&lt;&gt;"Y",0,((SUMIF(Products!$E$5:$E$300,A179,Products!$F$5:$F$300)+SUMIF(RM_Lots!$A$5:$A$400,A179,RM_Lots!$D$5:$D$400))+IF(W179="Y",SUMIF(Products!$E$5:$E$300,A179,Products!$G$5:$G$300),0))*(1+N(V179)))</f>
        <v>0</v>
      </c>
      <c r="AB179" s="22" t="n">
        <f aca="false">IF(F179&lt;&gt;"Y",0,((SUMIF(Products!$E$5:$E$300,A179,Products!$K$5:$K$300)+SUMIF(RM_Lots!$A$5:$A$400,A179,RM_Lots!$F$5:$F$400))+IF(W179="Y",SUMIF(Products!$E$5:$E$300,A179,Products!$L$5:$L$300),0))*(1+N(V179)))</f>
        <v>0</v>
      </c>
      <c r="AC179" s="17" t="n">
        <f aca="false">IF(J179="",1,MAX(1,COUNTIFS($J$5:$J$863,J179,$F$5:$F$863,"Y")))</f>
        <v>1</v>
      </c>
      <c r="AD179" s="18" t="n">
        <f aca="false">(MAX(1,N(I179))*(P179+N(S179))+MAX(1,N(I179))*N(K179)/(MAX(1,N(U179))*AC179))*Settings!$B$9</f>
        <v>0</v>
      </c>
      <c r="AE179" s="18" t="n">
        <f aca="false">(MAX(1,N(I179))*N(Q179)+MAX(1,N(I179))*N(L179)/(MAX(1,N(U179))*AC179))*Settings!$B$8</f>
        <v>0</v>
      </c>
      <c r="AF179" s="18" t="n">
        <f aca="false">MAX(1,N(I179))*N(T179)</f>
        <v>0</v>
      </c>
      <c r="AG179" s="15" t="n">
        <f aca="false">AA179*N(AD179)</f>
        <v>0</v>
      </c>
      <c r="AH179" s="15" t="n">
        <f aca="false">AA179*N(AE179)</f>
        <v>0</v>
      </c>
      <c r="AI179" s="15" t="n">
        <f aca="false">AA179*N(AF179)</f>
        <v>0</v>
      </c>
      <c r="AJ179" s="15" t="n">
        <f aca="false">AA179*N(R179)</f>
        <v>0</v>
      </c>
      <c r="AK179" s="15" t="n">
        <f aca="false">AB179*N(AD179)</f>
        <v>0</v>
      </c>
      <c r="AL179" s="15" t="n">
        <f aca="false">AB179*N(AE179)</f>
        <v>0</v>
      </c>
      <c r="AM179" s="15" t="n">
        <f aca="false">AB179*N(AF179)</f>
        <v>0</v>
      </c>
      <c r="AN179" s="15" t="n">
        <f aca="false">AB179*N(R179)</f>
        <v>0</v>
      </c>
      <c r="AO179" s="21" t="str">
        <f aca="false">IF(F179&lt;&gt;"Y","n/a",IF(AND(N179&lt;&gt;"",OR(Q179&lt;&gt;"",G179="Other / bench",G179="None"),U179&lt;&gt;""),"OK","Missing"))</f>
        <v>Missing</v>
      </c>
    </row>
    <row r="180" customFormat="false" ht="15" hidden="false" customHeight="false" outlineLevel="0" collapsed="false">
      <c r="A180" s="10" t="s">
        <v>321</v>
      </c>
      <c r="B180" s="10" t="s">
        <v>659</v>
      </c>
      <c r="C180" s="10" t="s">
        <v>705</v>
      </c>
      <c r="D180" s="10" t="s">
        <v>661</v>
      </c>
      <c r="E180" s="21" t="str">
        <f aca="false">IF(A180="","",A180&amp;"|"&amp;D180)</f>
        <v>F30|Assay</v>
      </c>
      <c r="F180" s="16" t="s">
        <v>662</v>
      </c>
      <c r="G180" s="16" t="s">
        <v>147</v>
      </c>
      <c r="H180" s="16" t="s">
        <v>672</v>
      </c>
      <c r="I180" s="16" t="n">
        <v>1</v>
      </c>
      <c r="J180" s="16"/>
      <c r="K180" s="14"/>
      <c r="L180" s="14"/>
      <c r="M180" s="14"/>
      <c r="N180" s="14"/>
      <c r="O180" s="14"/>
      <c r="P180" s="18" t="n">
        <f aca="false">IF(N180="",0,IF(OR(M180="",O180=""),N180,(M180+4*N180+O180)/6))</f>
        <v>0</v>
      </c>
      <c r="Q180" s="14"/>
      <c r="R180" s="14"/>
      <c r="S180" s="14"/>
      <c r="T180" s="14"/>
      <c r="U180" s="16"/>
      <c r="V180" s="13"/>
      <c r="W180" s="16" t="s">
        <v>662</v>
      </c>
      <c r="X180" s="16"/>
      <c r="Y180" s="16"/>
      <c r="Z180" s="16"/>
      <c r="AA180" s="22" t="n">
        <f aca="false">IF(F180&lt;&gt;"Y",0,((SUMIF(Products!$E$5:$E$300,A180,Products!$F$5:$F$300)+SUMIF(RM_Lots!$A$5:$A$400,A180,RM_Lots!$D$5:$D$400))+IF(W180="Y",SUMIF(Products!$E$5:$E$300,A180,Products!$G$5:$G$300),0))*(1+N(V180)))</f>
        <v>0</v>
      </c>
      <c r="AB180" s="22" t="n">
        <f aca="false">IF(F180&lt;&gt;"Y",0,((SUMIF(Products!$E$5:$E$300,A180,Products!$K$5:$K$300)+SUMIF(RM_Lots!$A$5:$A$400,A180,RM_Lots!$F$5:$F$400))+IF(W180="Y",SUMIF(Products!$E$5:$E$300,A180,Products!$L$5:$L$300),0))*(1+N(V180)))</f>
        <v>0</v>
      </c>
      <c r="AC180" s="17" t="n">
        <f aca="false">IF(J180="",1,MAX(1,COUNTIFS($J$5:$J$863,J180,$F$5:$F$863,"Y")))</f>
        <v>1</v>
      </c>
      <c r="AD180" s="18" t="n">
        <f aca="false">(MAX(1,N(I180))*(P180+N(S180))+MAX(1,N(I180))*N(K180)/(MAX(1,N(U180))*AC180))*Settings!$B$9</f>
        <v>0</v>
      </c>
      <c r="AE180" s="18" t="n">
        <f aca="false">(MAX(1,N(I180))*N(Q180)+MAX(1,N(I180))*N(L180)/(MAX(1,N(U180))*AC180))*Settings!$B$8</f>
        <v>0</v>
      </c>
      <c r="AF180" s="18" t="n">
        <f aca="false">MAX(1,N(I180))*N(T180)</f>
        <v>0</v>
      </c>
      <c r="AG180" s="15" t="n">
        <f aca="false">AA180*N(AD180)</f>
        <v>0</v>
      </c>
      <c r="AH180" s="15" t="n">
        <f aca="false">AA180*N(AE180)</f>
        <v>0</v>
      </c>
      <c r="AI180" s="15" t="n">
        <f aca="false">AA180*N(AF180)</f>
        <v>0</v>
      </c>
      <c r="AJ180" s="15" t="n">
        <f aca="false">AA180*N(R180)</f>
        <v>0</v>
      </c>
      <c r="AK180" s="15" t="n">
        <f aca="false">AB180*N(AD180)</f>
        <v>0</v>
      </c>
      <c r="AL180" s="15" t="n">
        <f aca="false">AB180*N(AE180)</f>
        <v>0</v>
      </c>
      <c r="AM180" s="15" t="n">
        <f aca="false">AB180*N(AF180)</f>
        <v>0</v>
      </c>
      <c r="AN180" s="15" t="n">
        <f aca="false">AB180*N(R180)</f>
        <v>0</v>
      </c>
      <c r="AO180" s="21" t="str">
        <f aca="false">IF(F180&lt;&gt;"Y","n/a",IF(AND(N180&lt;&gt;"",OR(Q180&lt;&gt;"",G180="Other / bench",G180="None"),U180&lt;&gt;""),"OK","Missing"))</f>
        <v>Missing</v>
      </c>
    </row>
    <row r="181" customFormat="false" ht="15" hidden="false" customHeight="false" outlineLevel="0" collapsed="false">
      <c r="A181" s="10" t="s">
        <v>321</v>
      </c>
      <c r="B181" s="10" t="s">
        <v>659</v>
      </c>
      <c r="C181" s="10" t="s">
        <v>705</v>
      </c>
      <c r="D181" s="10" t="s">
        <v>664</v>
      </c>
      <c r="E181" s="21" t="str">
        <f aca="false">IF(A181="","",A181&amp;"|"&amp;D181)</f>
        <v>F30|Related substances / impurities</v>
      </c>
      <c r="F181" s="16" t="s">
        <v>662</v>
      </c>
      <c r="G181" s="16" t="s">
        <v>147</v>
      </c>
      <c r="H181" s="16" t="s">
        <v>672</v>
      </c>
      <c r="I181" s="16" t="n">
        <v>1</v>
      </c>
      <c r="J181" s="16"/>
      <c r="K181" s="14"/>
      <c r="L181" s="14"/>
      <c r="M181" s="14"/>
      <c r="N181" s="14"/>
      <c r="O181" s="14"/>
      <c r="P181" s="18" t="n">
        <f aca="false">IF(N181="",0,IF(OR(M181="",O181=""),N181,(M181+4*N181+O181)/6))</f>
        <v>0</v>
      </c>
      <c r="Q181" s="14"/>
      <c r="R181" s="14"/>
      <c r="S181" s="14"/>
      <c r="T181" s="14"/>
      <c r="U181" s="16"/>
      <c r="V181" s="13"/>
      <c r="W181" s="16" t="s">
        <v>662</v>
      </c>
      <c r="X181" s="16"/>
      <c r="Y181" s="16"/>
      <c r="Z181" s="16"/>
      <c r="AA181" s="22" t="n">
        <f aca="false">IF(F181&lt;&gt;"Y",0,((SUMIF(Products!$E$5:$E$300,A181,Products!$F$5:$F$300)+SUMIF(RM_Lots!$A$5:$A$400,A181,RM_Lots!$D$5:$D$400))+IF(W181="Y",SUMIF(Products!$E$5:$E$300,A181,Products!$G$5:$G$300),0))*(1+N(V181)))</f>
        <v>0</v>
      </c>
      <c r="AB181" s="22" t="n">
        <f aca="false">IF(F181&lt;&gt;"Y",0,((SUMIF(Products!$E$5:$E$300,A181,Products!$K$5:$K$300)+SUMIF(RM_Lots!$A$5:$A$400,A181,RM_Lots!$F$5:$F$400))+IF(W181="Y",SUMIF(Products!$E$5:$E$300,A181,Products!$L$5:$L$300),0))*(1+N(V181)))</f>
        <v>0</v>
      </c>
      <c r="AC181" s="17" t="n">
        <f aca="false">IF(J181="",1,MAX(1,COUNTIFS($J$5:$J$863,J181,$F$5:$F$863,"Y")))</f>
        <v>1</v>
      </c>
      <c r="AD181" s="18" t="n">
        <f aca="false">(MAX(1,N(I181))*(P181+N(S181))+MAX(1,N(I181))*N(K181)/(MAX(1,N(U181))*AC181))*Settings!$B$9</f>
        <v>0</v>
      </c>
      <c r="AE181" s="18" t="n">
        <f aca="false">(MAX(1,N(I181))*N(Q181)+MAX(1,N(I181))*N(L181)/(MAX(1,N(U181))*AC181))*Settings!$B$8</f>
        <v>0</v>
      </c>
      <c r="AF181" s="18" t="n">
        <f aca="false">MAX(1,N(I181))*N(T181)</f>
        <v>0</v>
      </c>
      <c r="AG181" s="15" t="n">
        <f aca="false">AA181*N(AD181)</f>
        <v>0</v>
      </c>
      <c r="AH181" s="15" t="n">
        <f aca="false">AA181*N(AE181)</f>
        <v>0</v>
      </c>
      <c r="AI181" s="15" t="n">
        <f aca="false">AA181*N(AF181)</f>
        <v>0</v>
      </c>
      <c r="AJ181" s="15" t="n">
        <f aca="false">AA181*N(R181)</f>
        <v>0</v>
      </c>
      <c r="AK181" s="15" t="n">
        <f aca="false">AB181*N(AD181)</f>
        <v>0</v>
      </c>
      <c r="AL181" s="15" t="n">
        <f aca="false">AB181*N(AE181)</f>
        <v>0</v>
      </c>
      <c r="AM181" s="15" t="n">
        <f aca="false">AB181*N(AF181)</f>
        <v>0</v>
      </c>
      <c r="AN181" s="15" t="n">
        <f aca="false">AB181*N(R181)</f>
        <v>0</v>
      </c>
      <c r="AO181" s="21" t="str">
        <f aca="false">IF(F181&lt;&gt;"Y","n/a",IF(AND(N181&lt;&gt;"",OR(Q181&lt;&gt;"",G181="Other / bench",G181="None"),U181&lt;&gt;""),"OK","Missing"))</f>
        <v>Missing</v>
      </c>
    </row>
    <row r="182" customFormat="false" ht="15" hidden="false" customHeight="false" outlineLevel="0" collapsed="false">
      <c r="A182" s="10" t="s">
        <v>321</v>
      </c>
      <c r="B182" s="10" t="s">
        <v>659</v>
      </c>
      <c r="C182" s="10" t="s">
        <v>705</v>
      </c>
      <c r="D182" s="10" t="s">
        <v>665</v>
      </c>
      <c r="E182" s="21" t="str">
        <f aca="false">IF(A182="","",A182&amp;"|"&amp;D182)</f>
        <v>F30|Dissolution</v>
      </c>
      <c r="F182" s="16" t="s">
        <v>662</v>
      </c>
      <c r="G182" s="16" t="s">
        <v>147</v>
      </c>
      <c r="H182" s="16" t="s">
        <v>672</v>
      </c>
      <c r="I182" s="16" t="n">
        <v>1</v>
      </c>
      <c r="J182" s="16"/>
      <c r="K182" s="14"/>
      <c r="L182" s="14"/>
      <c r="M182" s="14"/>
      <c r="N182" s="14"/>
      <c r="O182" s="14"/>
      <c r="P182" s="18" t="n">
        <f aca="false">IF(N182="",0,IF(OR(M182="",O182=""),N182,(M182+4*N182+O182)/6))</f>
        <v>0</v>
      </c>
      <c r="Q182" s="14"/>
      <c r="R182" s="14"/>
      <c r="S182" s="14"/>
      <c r="T182" s="14"/>
      <c r="U182" s="16"/>
      <c r="V182" s="13"/>
      <c r="W182" s="16" t="s">
        <v>662</v>
      </c>
      <c r="X182" s="16"/>
      <c r="Y182" s="16"/>
      <c r="Z182" s="16"/>
      <c r="AA182" s="22" t="n">
        <f aca="false">IF(F182&lt;&gt;"Y",0,((SUMIF(Products!$E$5:$E$300,A182,Products!$F$5:$F$300)+SUMIF(RM_Lots!$A$5:$A$400,A182,RM_Lots!$D$5:$D$400))+IF(W182="Y",SUMIF(Products!$E$5:$E$300,A182,Products!$G$5:$G$300),0))*(1+N(V182)))</f>
        <v>0</v>
      </c>
      <c r="AB182" s="22" t="n">
        <f aca="false">IF(F182&lt;&gt;"Y",0,((SUMIF(Products!$E$5:$E$300,A182,Products!$K$5:$K$300)+SUMIF(RM_Lots!$A$5:$A$400,A182,RM_Lots!$F$5:$F$400))+IF(W182="Y",SUMIF(Products!$E$5:$E$300,A182,Products!$L$5:$L$300),0))*(1+N(V182)))</f>
        <v>0</v>
      </c>
      <c r="AC182" s="17" t="n">
        <f aca="false">IF(J182="",1,MAX(1,COUNTIFS($J$5:$J$863,J182,$F$5:$F$863,"Y")))</f>
        <v>1</v>
      </c>
      <c r="AD182" s="18" t="n">
        <f aca="false">(MAX(1,N(I182))*(P182+N(S182))+MAX(1,N(I182))*N(K182)/(MAX(1,N(U182))*AC182))*Settings!$B$9</f>
        <v>0</v>
      </c>
      <c r="AE182" s="18" t="n">
        <f aca="false">(MAX(1,N(I182))*N(Q182)+MAX(1,N(I182))*N(L182)/(MAX(1,N(U182))*AC182))*Settings!$B$8</f>
        <v>0</v>
      </c>
      <c r="AF182" s="18" t="n">
        <f aca="false">MAX(1,N(I182))*N(T182)</f>
        <v>0</v>
      </c>
      <c r="AG182" s="15" t="n">
        <f aca="false">AA182*N(AD182)</f>
        <v>0</v>
      </c>
      <c r="AH182" s="15" t="n">
        <f aca="false">AA182*N(AE182)</f>
        <v>0</v>
      </c>
      <c r="AI182" s="15" t="n">
        <f aca="false">AA182*N(AF182)</f>
        <v>0</v>
      </c>
      <c r="AJ182" s="15" t="n">
        <f aca="false">AA182*N(R182)</f>
        <v>0</v>
      </c>
      <c r="AK182" s="15" t="n">
        <f aca="false">AB182*N(AD182)</f>
        <v>0</v>
      </c>
      <c r="AL182" s="15" t="n">
        <f aca="false">AB182*N(AE182)</f>
        <v>0</v>
      </c>
      <c r="AM182" s="15" t="n">
        <f aca="false">AB182*N(AF182)</f>
        <v>0</v>
      </c>
      <c r="AN182" s="15" t="n">
        <f aca="false">AB182*N(R182)</f>
        <v>0</v>
      </c>
      <c r="AO182" s="21" t="str">
        <f aca="false">IF(F182&lt;&gt;"Y","n/a",IF(AND(N182&lt;&gt;"",OR(Q182&lt;&gt;"",G182="Other / bench",G182="None"),U182&lt;&gt;""),"OK","Missing"))</f>
        <v>Missing</v>
      </c>
    </row>
    <row r="183" customFormat="false" ht="15" hidden="false" customHeight="false" outlineLevel="0" collapsed="false">
      <c r="A183" s="10" t="s">
        <v>321</v>
      </c>
      <c r="B183" s="10" t="s">
        <v>659</v>
      </c>
      <c r="C183" s="10" t="s">
        <v>705</v>
      </c>
      <c r="D183" s="10" t="s">
        <v>666</v>
      </c>
      <c r="E183" s="21" t="str">
        <f aca="false">IF(A183="","",A183&amp;"|"&amp;D183)</f>
        <v>F30|Content uniformity</v>
      </c>
      <c r="F183" s="16" t="s">
        <v>662</v>
      </c>
      <c r="G183" s="16" t="s">
        <v>147</v>
      </c>
      <c r="H183" s="16" t="s">
        <v>672</v>
      </c>
      <c r="I183" s="16" t="n">
        <v>1</v>
      </c>
      <c r="J183" s="16"/>
      <c r="K183" s="14"/>
      <c r="L183" s="14"/>
      <c r="M183" s="14"/>
      <c r="N183" s="14"/>
      <c r="O183" s="14"/>
      <c r="P183" s="18" t="n">
        <f aca="false">IF(N183="",0,IF(OR(M183="",O183=""),N183,(M183+4*N183+O183)/6))</f>
        <v>0</v>
      </c>
      <c r="Q183" s="14"/>
      <c r="R183" s="14"/>
      <c r="S183" s="14"/>
      <c r="T183" s="14"/>
      <c r="U183" s="16"/>
      <c r="V183" s="13"/>
      <c r="W183" s="16" t="s">
        <v>667</v>
      </c>
      <c r="X183" s="16"/>
      <c r="Y183" s="16"/>
      <c r="Z183" s="16"/>
      <c r="AA183" s="22" t="n">
        <f aca="false">IF(F183&lt;&gt;"Y",0,((SUMIF(Products!$E$5:$E$300,A183,Products!$F$5:$F$300)+SUMIF(RM_Lots!$A$5:$A$400,A183,RM_Lots!$D$5:$D$400))+IF(W183="Y",SUMIF(Products!$E$5:$E$300,A183,Products!$G$5:$G$300),0))*(1+N(V183)))</f>
        <v>0</v>
      </c>
      <c r="AB183" s="22" t="n">
        <f aca="false">IF(F183&lt;&gt;"Y",0,((SUMIF(Products!$E$5:$E$300,A183,Products!$K$5:$K$300)+SUMIF(RM_Lots!$A$5:$A$400,A183,RM_Lots!$F$5:$F$400))+IF(W183="Y",SUMIF(Products!$E$5:$E$300,A183,Products!$L$5:$L$300),0))*(1+N(V183)))</f>
        <v>0</v>
      </c>
      <c r="AC183" s="17" t="n">
        <f aca="false">IF(J183="",1,MAX(1,COUNTIFS($J$5:$J$863,J183,$F$5:$F$863,"Y")))</f>
        <v>1</v>
      </c>
      <c r="AD183" s="18" t="n">
        <f aca="false">(MAX(1,N(I183))*(P183+N(S183))+MAX(1,N(I183))*N(K183)/(MAX(1,N(U183))*AC183))*Settings!$B$9</f>
        <v>0</v>
      </c>
      <c r="AE183" s="18" t="n">
        <f aca="false">(MAX(1,N(I183))*N(Q183)+MAX(1,N(I183))*N(L183)/(MAX(1,N(U183))*AC183))*Settings!$B$8</f>
        <v>0</v>
      </c>
      <c r="AF183" s="18" t="n">
        <f aca="false">MAX(1,N(I183))*N(T183)</f>
        <v>0</v>
      </c>
      <c r="AG183" s="15" t="n">
        <f aca="false">AA183*N(AD183)</f>
        <v>0</v>
      </c>
      <c r="AH183" s="15" t="n">
        <f aca="false">AA183*N(AE183)</f>
        <v>0</v>
      </c>
      <c r="AI183" s="15" t="n">
        <f aca="false">AA183*N(AF183)</f>
        <v>0</v>
      </c>
      <c r="AJ183" s="15" t="n">
        <f aca="false">AA183*N(R183)</f>
        <v>0</v>
      </c>
      <c r="AK183" s="15" t="n">
        <f aca="false">AB183*N(AD183)</f>
        <v>0</v>
      </c>
      <c r="AL183" s="15" t="n">
        <f aca="false">AB183*N(AE183)</f>
        <v>0</v>
      </c>
      <c r="AM183" s="15" t="n">
        <f aca="false">AB183*N(AF183)</f>
        <v>0</v>
      </c>
      <c r="AN183" s="15" t="n">
        <f aca="false">AB183*N(R183)</f>
        <v>0</v>
      </c>
      <c r="AO183" s="21" t="str">
        <f aca="false">IF(F183&lt;&gt;"Y","n/a",IF(AND(N183&lt;&gt;"",OR(Q183&lt;&gt;"",G183="Other / bench",G183="None"),U183&lt;&gt;""),"OK","Missing"))</f>
        <v>Missing</v>
      </c>
    </row>
    <row r="184" customFormat="false" ht="15" hidden="false" customHeight="false" outlineLevel="0" collapsed="false">
      <c r="A184" s="10" t="s">
        <v>321</v>
      </c>
      <c r="B184" s="10" t="s">
        <v>659</v>
      </c>
      <c r="C184" s="10" t="s">
        <v>705</v>
      </c>
      <c r="D184" s="10" t="s">
        <v>668</v>
      </c>
      <c r="E184" s="21" t="str">
        <f aca="false">IF(A184="","",A184&amp;"|"&amp;D184)</f>
        <v>F30|Identification (if separate from assay)</v>
      </c>
      <c r="F184" s="16" t="s">
        <v>667</v>
      </c>
      <c r="G184" s="16" t="s">
        <v>147</v>
      </c>
      <c r="H184" s="16" t="s">
        <v>672</v>
      </c>
      <c r="I184" s="16" t="n">
        <v>1</v>
      </c>
      <c r="J184" s="16"/>
      <c r="K184" s="14"/>
      <c r="L184" s="14"/>
      <c r="M184" s="14"/>
      <c r="N184" s="14"/>
      <c r="O184" s="14"/>
      <c r="P184" s="18" t="n">
        <f aca="false">IF(N184="",0,IF(OR(M184="",O184=""),N184,(M184+4*N184+O184)/6))</f>
        <v>0</v>
      </c>
      <c r="Q184" s="14"/>
      <c r="R184" s="14"/>
      <c r="S184" s="14"/>
      <c r="T184" s="14"/>
      <c r="U184" s="16"/>
      <c r="V184" s="13"/>
      <c r="W184" s="16" t="s">
        <v>667</v>
      </c>
      <c r="X184" s="16"/>
      <c r="Y184" s="16"/>
      <c r="Z184" s="16"/>
      <c r="AA184" s="22" t="n">
        <f aca="false">IF(F184&lt;&gt;"Y",0,((SUMIF(Products!$E$5:$E$300,A184,Products!$F$5:$F$300)+SUMIF(RM_Lots!$A$5:$A$400,A184,RM_Lots!$D$5:$D$400))+IF(W184="Y",SUMIF(Products!$E$5:$E$300,A184,Products!$G$5:$G$300),0))*(1+N(V184)))</f>
        <v>0</v>
      </c>
      <c r="AB184" s="22" t="n">
        <f aca="false">IF(F184&lt;&gt;"Y",0,((SUMIF(Products!$E$5:$E$300,A184,Products!$K$5:$K$300)+SUMIF(RM_Lots!$A$5:$A$400,A184,RM_Lots!$F$5:$F$400))+IF(W184="Y",SUMIF(Products!$E$5:$E$300,A184,Products!$L$5:$L$300),0))*(1+N(V184)))</f>
        <v>0</v>
      </c>
      <c r="AC184" s="17" t="n">
        <f aca="false">IF(J184="",1,MAX(1,COUNTIFS($J$5:$J$863,J184,$F$5:$F$863,"Y")))</f>
        <v>1</v>
      </c>
      <c r="AD184" s="18" t="n">
        <f aca="false">(MAX(1,N(I184))*(P184+N(S184))+MAX(1,N(I184))*N(K184)/(MAX(1,N(U184))*AC184))*Settings!$B$9</f>
        <v>0</v>
      </c>
      <c r="AE184" s="18" t="n">
        <f aca="false">(MAX(1,N(I184))*N(Q184)+MAX(1,N(I184))*N(L184)/(MAX(1,N(U184))*AC184))*Settings!$B$8</f>
        <v>0</v>
      </c>
      <c r="AF184" s="18" t="n">
        <f aca="false">MAX(1,N(I184))*N(T184)</f>
        <v>0</v>
      </c>
      <c r="AG184" s="15" t="n">
        <f aca="false">AA184*N(AD184)</f>
        <v>0</v>
      </c>
      <c r="AH184" s="15" t="n">
        <f aca="false">AA184*N(AE184)</f>
        <v>0</v>
      </c>
      <c r="AI184" s="15" t="n">
        <f aca="false">AA184*N(AF184)</f>
        <v>0</v>
      </c>
      <c r="AJ184" s="15" t="n">
        <f aca="false">AA184*N(R184)</f>
        <v>0</v>
      </c>
      <c r="AK184" s="15" t="n">
        <f aca="false">AB184*N(AD184)</f>
        <v>0</v>
      </c>
      <c r="AL184" s="15" t="n">
        <f aca="false">AB184*N(AE184)</f>
        <v>0</v>
      </c>
      <c r="AM184" s="15" t="n">
        <f aca="false">AB184*N(AF184)</f>
        <v>0</v>
      </c>
      <c r="AN184" s="15" t="n">
        <f aca="false">AB184*N(R184)</f>
        <v>0</v>
      </c>
      <c r="AO184" s="21" t="str">
        <f aca="false">IF(F184&lt;&gt;"Y","n/a",IF(AND(N184&lt;&gt;"",OR(Q184&lt;&gt;"",G184="Other / bench",G184="None"),U184&lt;&gt;""),"OK","Missing"))</f>
        <v>n/a</v>
      </c>
    </row>
    <row r="185" customFormat="false" ht="15" hidden="false" customHeight="false" outlineLevel="0" collapsed="false">
      <c r="A185" s="10" t="s">
        <v>321</v>
      </c>
      <c r="B185" s="10" t="s">
        <v>659</v>
      </c>
      <c r="C185" s="10" t="s">
        <v>705</v>
      </c>
      <c r="D185" s="10" t="s">
        <v>669</v>
      </c>
      <c r="E185" s="21" t="str">
        <f aca="false">IF(A185="","",A185&amp;"|"&amp;D185)</f>
        <v>F30|Other tests (non-HPLC: physical, LOD/KF, disintegration, pH, micro...)</v>
      </c>
      <c r="F185" s="16" t="s">
        <v>662</v>
      </c>
      <c r="G185" s="16" t="s">
        <v>670</v>
      </c>
      <c r="H185" s="16" t="s">
        <v>672</v>
      </c>
      <c r="I185" s="16" t="n">
        <v>1</v>
      </c>
      <c r="J185" s="16"/>
      <c r="K185" s="14"/>
      <c r="L185" s="14"/>
      <c r="M185" s="14"/>
      <c r="N185" s="14"/>
      <c r="O185" s="14"/>
      <c r="P185" s="18" t="n">
        <f aca="false">IF(N185="",0,IF(OR(M185="",O185=""),N185,(M185+4*N185+O185)/6))</f>
        <v>0</v>
      </c>
      <c r="Q185" s="14"/>
      <c r="R185" s="14"/>
      <c r="S185" s="14"/>
      <c r="T185" s="14"/>
      <c r="U185" s="16"/>
      <c r="V185" s="13"/>
      <c r="W185" s="16" t="s">
        <v>662</v>
      </c>
      <c r="X185" s="16"/>
      <c r="Y185" s="16"/>
      <c r="Z185" s="16"/>
      <c r="AA185" s="22" t="n">
        <f aca="false">IF(F185&lt;&gt;"Y",0,((SUMIF(Products!$E$5:$E$300,A185,Products!$F$5:$F$300)+SUMIF(RM_Lots!$A$5:$A$400,A185,RM_Lots!$D$5:$D$400))+IF(W185="Y",SUMIF(Products!$E$5:$E$300,A185,Products!$G$5:$G$300),0))*(1+N(V185)))</f>
        <v>0</v>
      </c>
      <c r="AB185" s="22" t="n">
        <f aca="false">IF(F185&lt;&gt;"Y",0,((SUMIF(Products!$E$5:$E$300,A185,Products!$K$5:$K$300)+SUMIF(RM_Lots!$A$5:$A$400,A185,RM_Lots!$F$5:$F$400))+IF(W185="Y",SUMIF(Products!$E$5:$E$300,A185,Products!$L$5:$L$300),0))*(1+N(V185)))</f>
        <v>0</v>
      </c>
      <c r="AC185" s="17" t="n">
        <f aca="false">IF(J185="",1,MAX(1,COUNTIFS($J$5:$J$863,J185,$F$5:$F$863,"Y")))</f>
        <v>1</v>
      </c>
      <c r="AD185" s="18" t="n">
        <f aca="false">(MAX(1,N(I185))*(P185+N(S185))+MAX(1,N(I185))*N(K185)/(MAX(1,N(U185))*AC185))*Settings!$B$9</f>
        <v>0</v>
      </c>
      <c r="AE185" s="18" t="n">
        <f aca="false">(MAX(1,N(I185))*N(Q185)+MAX(1,N(I185))*N(L185)/(MAX(1,N(U185))*AC185))*Settings!$B$8</f>
        <v>0</v>
      </c>
      <c r="AF185" s="18" t="n">
        <f aca="false">MAX(1,N(I185))*N(T185)</f>
        <v>0</v>
      </c>
      <c r="AG185" s="15" t="n">
        <f aca="false">AA185*N(AD185)</f>
        <v>0</v>
      </c>
      <c r="AH185" s="15" t="n">
        <f aca="false">AA185*N(AE185)</f>
        <v>0</v>
      </c>
      <c r="AI185" s="15" t="n">
        <f aca="false">AA185*N(AF185)</f>
        <v>0</v>
      </c>
      <c r="AJ185" s="15" t="n">
        <f aca="false">AA185*N(R185)</f>
        <v>0</v>
      </c>
      <c r="AK185" s="15" t="n">
        <f aca="false">AB185*N(AD185)</f>
        <v>0</v>
      </c>
      <c r="AL185" s="15" t="n">
        <f aca="false">AB185*N(AE185)</f>
        <v>0</v>
      </c>
      <c r="AM185" s="15" t="n">
        <f aca="false">AB185*N(AF185)</f>
        <v>0</v>
      </c>
      <c r="AN185" s="15" t="n">
        <f aca="false">AB185*N(R185)</f>
        <v>0</v>
      </c>
      <c r="AO185" s="21" t="str">
        <f aca="false">IF(F185&lt;&gt;"Y","n/a",IF(AND(N185&lt;&gt;"",OR(Q185&lt;&gt;"",G185="Other / bench",G185="None"),U185&lt;&gt;""),"OK","Missing"))</f>
        <v>Missing</v>
      </c>
    </row>
    <row r="186" customFormat="false" ht="15" hidden="false" customHeight="false" outlineLevel="0" collapsed="false">
      <c r="A186" s="10" t="s">
        <v>324</v>
      </c>
      <c r="B186" s="10" t="s">
        <v>659</v>
      </c>
      <c r="C186" s="10" t="s">
        <v>706</v>
      </c>
      <c r="D186" s="10" t="s">
        <v>661</v>
      </c>
      <c r="E186" s="21" t="str">
        <f aca="false">IF(A186="","",A186&amp;"|"&amp;D186)</f>
        <v>F31|Assay</v>
      </c>
      <c r="F186" s="16" t="s">
        <v>662</v>
      </c>
      <c r="G186" s="16" t="s">
        <v>147</v>
      </c>
      <c r="H186" s="16" t="s">
        <v>672</v>
      </c>
      <c r="I186" s="16" t="n">
        <v>1</v>
      </c>
      <c r="J186" s="16"/>
      <c r="K186" s="14"/>
      <c r="L186" s="14"/>
      <c r="M186" s="14"/>
      <c r="N186" s="14"/>
      <c r="O186" s="14"/>
      <c r="P186" s="18" t="n">
        <f aca="false">IF(N186="",0,IF(OR(M186="",O186=""),N186,(M186+4*N186+O186)/6))</f>
        <v>0</v>
      </c>
      <c r="Q186" s="14"/>
      <c r="R186" s="14"/>
      <c r="S186" s="14"/>
      <c r="T186" s="14"/>
      <c r="U186" s="16"/>
      <c r="V186" s="13"/>
      <c r="W186" s="16" t="s">
        <v>662</v>
      </c>
      <c r="X186" s="16"/>
      <c r="Y186" s="16"/>
      <c r="Z186" s="16"/>
      <c r="AA186" s="22" t="n">
        <f aca="false">IF(F186&lt;&gt;"Y",0,((SUMIF(Products!$E$5:$E$300,A186,Products!$F$5:$F$300)+SUMIF(RM_Lots!$A$5:$A$400,A186,RM_Lots!$D$5:$D$400))+IF(W186="Y",SUMIF(Products!$E$5:$E$300,A186,Products!$G$5:$G$300),0))*(1+N(V186)))</f>
        <v>0</v>
      </c>
      <c r="AB186" s="22" t="n">
        <f aca="false">IF(F186&lt;&gt;"Y",0,((SUMIF(Products!$E$5:$E$300,A186,Products!$K$5:$K$300)+SUMIF(RM_Lots!$A$5:$A$400,A186,RM_Lots!$F$5:$F$400))+IF(W186="Y",SUMIF(Products!$E$5:$E$300,A186,Products!$L$5:$L$300),0))*(1+N(V186)))</f>
        <v>0</v>
      </c>
      <c r="AC186" s="17" t="n">
        <f aca="false">IF(J186="",1,MAX(1,COUNTIFS($J$5:$J$863,J186,$F$5:$F$863,"Y")))</f>
        <v>1</v>
      </c>
      <c r="AD186" s="18" t="n">
        <f aca="false">(MAX(1,N(I186))*(P186+N(S186))+MAX(1,N(I186))*N(K186)/(MAX(1,N(U186))*AC186))*Settings!$B$9</f>
        <v>0</v>
      </c>
      <c r="AE186" s="18" t="n">
        <f aca="false">(MAX(1,N(I186))*N(Q186)+MAX(1,N(I186))*N(L186)/(MAX(1,N(U186))*AC186))*Settings!$B$8</f>
        <v>0</v>
      </c>
      <c r="AF186" s="18" t="n">
        <f aca="false">MAX(1,N(I186))*N(T186)</f>
        <v>0</v>
      </c>
      <c r="AG186" s="15" t="n">
        <f aca="false">AA186*N(AD186)</f>
        <v>0</v>
      </c>
      <c r="AH186" s="15" t="n">
        <f aca="false">AA186*N(AE186)</f>
        <v>0</v>
      </c>
      <c r="AI186" s="15" t="n">
        <f aca="false">AA186*N(AF186)</f>
        <v>0</v>
      </c>
      <c r="AJ186" s="15" t="n">
        <f aca="false">AA186*N(R186)</f>
        <v>0</v>
      </c>
      <c r="AK186" s="15" t="n">
        <f aca="false">AB186*N(AD186)</f>
        <v>0</v>
      </c>
      <c r="AL186" s="15" t="n">
        <f aca="false">AB186*N(AE186)</f>
        <v>0</v>
      </c>
      <c r="AM186" s="15" t="n">
        <f aca="false">AB186*N(AF186)</f>
        <v>0</v>
      </c>
      <c r="AN186" s="15" t="n">
        <f aca="false">AB186*N(R186)</f>
        <v>0</v>
      </c>
      <c r="AO186" s="21" t="str">
        <f aca="false">IF(F186&lt;&gt;"Y","n/a",IF(AND(N186&lt;&gt;"",OR(Q186&lt;&gt;"",G186="Other / bench",G186="None"),U186&lt;&gt;""),"OK","Missing"))</f>
        <v>Missing</v>
      </c>
    </row>
    <row r="187" customFormat="false" ht="15" hidden="false" customHeight="false" outlineLevel="0" collapsed="false">
      <c r="A187" s="10" t="s">
        <v>324</v>
      </c>
      <c r="B187" s="10" t="s">
        <v>659</v>
      </c>
      <c r="C187" s="10" t="s">
        <v>706</v>
      </c>
      <c r="D187" s="10" t="s">
        <v>664</v>
      </c>
      <c r="E187" s="21" t="str">
        <f aca="false">IF(A187="","",A187&amp;"|"&amp;D187)</f>
        <v>F31|Related substances / impurities</v>
      </c>
      <c r="F187" s="16" t="s">
        <v>662</v>
      </c>
      <c r="G187" s="16" t="s">
        <v>147</v>
      </c>
      <c r="H187" s="16" t="s">
        <v>672</v>
      </c>
      <c r="I187" s="16" t="n">
        <v>1</v>
      </c>
      <c r="J187" s="16"/>
      <c r="K187" s="14"/>
      <c r="L187" s="14"/>
      <c r="M187" s="14"/>
      <c r="N187" s="14"/>
      <c r="O187" s="14"/>
      <c r="P187" s="18" t="n">
        <f aca="false">IF(N187="",0,IF(OR(M187="",O187=""),N187,(M187+4*N187+O187)/6))</f>
        <v>0</v>
      </c>
      <c r="Q187" s="14"/>
      <c r="R187" s="14"/>
      <c r="S187" s="14"/>
      <c r="T187" s="14"/>
      <c r="U187" s="16"/>
      <c r="V187" s="13"/>
      <c r="W187" s="16" t="s">
        <v>662</v>
      </c>
      <c r="X187" s="16"/>
      <c r="Y187" s="16"/>
      <c r="Z187" s="16"/>
      <c r="AA187" s="22" t="n">
        <f aca="false">IF(F187&lt;&gt;"Y",0,((SUMIF(Products!$E$5:$E$300,A187,Products!$F$5:$F$300)+SUMIF(RM_Lots!$A$5:$A$400,A187,RM_Lots!$D$5:$D$400))+IF(W187="Y",SUMIF(Products!$E$5:$E$300,A187,Products!$G$5:$G$300),0))*(1+N(V187)))</f>
        <v>0</v>
      </c>
      <c r="AB187" s="22" t="n">
        <f aca="false">IF(F187&lt;&gt;"Y",0,((SUMIF(Products!$E$5:$E$300,A187,Products!$K$5:$K$300)+SUMIF(RM_Lots!$A$5:$A$400,A187,RM_Lots!$F$5:$F$400))+IF(W187="Y",SUMIF(Products!$E$5:$E$300,A187,Products!$L$5:$L$300),0))*(1+N(V187)))</f>
        <v>0</v>
      </c>
      <c r="AC187" s="17" t="n">
        <f aca="false">IF(J187="",1,MAX(1,COUNTIFS($J$5:$J$863,J187,$F$5:$F$863,"Y")))</f>
        <v>1</v>
      </c>
      <c r="AD187" s="18" t="n">
        <f aca="false">(MAX(1,N(I187))*(P187+N(S187))+MAX(1,N(I187))*N(K187)/(MAX(1,N(U187))*AC187))*Settings!$B$9</f>
        <v>0</v>
      </c>
      <c r="AE187" s="18" t="n">
        <f aca="false">(MAX(1,N(I187))*N(Q187)+MAX(1,N(I187))*N(L187)/(MAX(1,N(U187))*AC187))*Settings!$B$8</f>
        <v>0</v>
      </c>
      <c r="AF187" s="18" t="n">
        <f aca="false">MAX(1,N(I187))*N(T187)</f>
        <v>0</v>
      </c>
      <c r="AG187" s="15" t="n">
        <f aca="false">AA187*N(AD187)</f>
        <v>0</v>
      </c>
      <c r="AH187" s="15" t="n">
        <f aca="false">AA187*N(AE187)</f>
        <v>0</v>
      </c>
      <c r="AI187" s="15" t="n">
        <f aca="false">AA187*N(AF187)</f>
        <v>0</v>
      </c>
      <c r="AJ187" s="15" t="n">
        <f aca="false">AA187*N(R187)</f>
        <v>0</v>
      </c>
      <c r="AK187" s="15" t="n">
        <f aca="false">AB187*N(AD187)</f>
        <v>0</v>
      </c>
      <c r="AL187" s="15" t="n">
        <f aca="false">AB187*N(AE187)</f>
        <v>0</v>
      </c>
      <c r="AM187" s="15" t="n">
        <f aca="false">AB187*N(AF187)</f>
        <v>0</v>
      </c>
      <c r="AN187" s="15" t="n">
        <f aca="false">AB187*N(R187)</f>
        <v>0</v>
      </c>
      <c r="AO187" s="21" t="str">
        <f aca="false">IF(F187&lt;&gt;"Y","n/a",IF(AND(N187&lt;&gt;"",OR(Q187&lt;&gt;"",G187="Other / bench",G187="None"),U187&lt;&gt;""),"OK","Missing"))</f>
        <v>Missing</v>
      </c>
    </row>
    <row r="188" customFormat="false" ht="15" hidden="false" customHeight="false" outlineLevel="0" collapsed="false">
      <c r="A188" s="10" t="s">
        <v>324</v>
      </c>
      <c r="B188" s="10" t="s">
        <v>659</v>
      </c>
      <c r="C188" s="10" t="s">
        <v>706</v>
      </c>
      <c r="D188" s="10" t="s">
        <v>665</v>
      </c>
      <c r="E188" s="21" t="str">
        <f aca="false">IF(A188="","",A188&amp;"|"&amp;D188)</f>
        <v>F31|Dissolution</v>
      </c>
      <c r="F188" s="16" t="s">
        <v>662</v>
      </c>
      <c r="G188" s="16" t="s">
        <v>147</v>
      </c>
      <c r="H188" s="16" t="s">
        <v>672</v>
      </c>
      <c r="I188" s="16" t="n">
        <v>1</v>
      </c>
      <c r="J188" s="16"/>
      <c r="K188" s="14"/>
      <c r="L188" s="14"/>
      <c r="M188" s="14"/>
      <c r="N188" s="14"/>
      <c r="O188" s="14"/>
      <c r="P188" s="18" t="n">
        <f aca="false">IF(N188="",0,IF(OR(M188="",O188=""),N188,(M188+4*N188+O188)/6))</f>
        <v>0</v>
      </c>
      <c r="Q188" s="14"/>
      <c r="R188" s="14"/>
      <c r="S188" s="14"/>
      <c r="T188" s="14"/>
      <c r="U188" s="16"/>
      <c r="V188" s="13"/>
      <c r="W188" s="16" t="s">
        <v>662</v>
      </c>
      <c r="X188" s="16"/>
      <c r="Y188" s="16"/>
      <c r="Z188" s="16"/>
      <c r="AA188" s="22" t="n">
        <f aca="false">IF(F188&lt;&gt;"Y",0,((SUMIF(Products!$E$5:$E$300,A188,Products!$F$5:$F$300)+SUMIF(RM_Lots!$A$5:$A$400,A188,RM_Lots!$D$5:$D$400))+IF(W188="Y",SUMIF(Products!$E$5:$E$300,A188,Products!$G$5:$G$300),0))*(1+N(V188)))</f>
        <v>0</v>
      </c>
      <c r="AB188" s="22" t="n">
        <f aca="false">IF(F188&lt;&gt;"Y",0,((SUMIF(Products!$E$5:$E$300,A188,Products!$K$5:$K$300)+SUMIF(RM_Lots!$A$5:$A$400,A188,RM_Lots!$F$5:$F$400))+IF(W188="Y",SUMIF(Products!$E$5:$E$300,A188,Products!$L$5:$L$300),0))*(1+N(V188)))</f>
        <v>0</v>
      </c>
      <c r="AC188" s="17" t="n">
        <f aca="false">IF(J188="",1,MAX(1,COUNTIFS($J$5:$J$863,J188,$F$5:$F$863,"Y")))</f>
        <v>1</v>
      </c>
      <c r="AD188" s="18" t="n">
        <f aca="false">(MAX(1,N(I188))*(P188+N(S188))+MAX(1,N(I188))*N(K188)/(MAX(1,N(U188))*AC188))*Settings!$B$9</f>
        <v>0</v>
      </c>
      <c r="AE188" s="18" t="n">
        <f aca="false">(MAX(1,N(I188))*N(Q188)+MAX(1,N(I188))*N(L188)/(MAX(1,N(U188))*AC188))*Settings!$B$8</f>
        <v>0</v>
      </c>
      <c r="AF188" s="18" t="n">
        <f aca="false">MAX(1,N(I188))*N(T188)</f>
        <v>0</v>
      </c>
      <c r="AG188" s="15" t="n">
        <f aca="false">AA188*N(AD188)</f>
        <v>0</v>
      </c>
      <c r="AH188" s="15" t="n">
        <f aca="false">AA188*N(AE188)</f>
        <v>0</v>
      </c>
      <c r="AI188" s="15" t="n">
        <f aca="false">AA188*N(AF188)</f>
        <v>0</v>
      </c>
      <c r="AJ188" s="15" t="n">
        <f aca="false">AA188*N(R188)</f>
        <v>0</v>
      </c>
      <c r="AK188" s="15" t="n">
        <f aca="false">AB188*N(AD188)</f>
        <v>0</v>
      </c>
      <c r="AL188" s="15" t="n">
        <f aca="false">AB188*N(AE188)</f>
        <v>0</v>
      </c>
      <c r="AM188" s="15" t="n">
        <f aca="false">AB188*N(AF188)</f>
        <v>0</v>
      </c>
      <c r="AN188" s="15" t="n">
        <f aca="false">AB188*N(R188)</f>
        <v>0</v>
      </c>
      <c r="AO188" s="21" t="str">
        <f aca="false">IF(F188&lt;&gt;"Y","n/a",IF(AND(N188&lt;&gt;"",OR(Q188&lt;&gt;"",G188="Other / bench",G188="None"),U188&lt;&gt;""),"OK","Missing"))</f>
        <v>Missing</v>
      </c>
    </row>
    <row r="189" customFormat="false" ht="15" hidden="false" customHeight="false" outlineLevel="0" collapsed="false">
      <c r="A189" s="10" t="s">
        <v>324</v>
      </c>
      <c r="B189" s="10" t="s">
        <v>659</v>
      </c>
      <c r="C189" s="10" t="s">
        <v>706</v>
      </c>
      <c r="D189" s="10" t="s">
        <v>666</v>
      </c>
      <c r="E189" s="21" t="str">
        <f aca="false">IF(A189="","",A189&amp;"|"&amp;D189)</f>
        <v>F31|Content uniformity</v>
      </c>
      <c r="F189" s="16" t="s">
        <v>662</v>
      </c>
      <c r="G189" s="16" t="s">
        <v>147</v>
      </c>
      <c r="H189" s="16" t="s">
        <v>672</v>
      </c>
      <c r="I189" s="16" t="n">
        <v>1</v>
      </c>
      <c r="J189" s="16"/>
      <c r="K189" s="14"/>
      <c r="L189" s="14"/>
      <c r="M189" s="14"/>
      <c r="N189" s="14"/>
      <c r="O189" s="14"/>
      <c r="P189" s="18" t="n">
        <f aca="false">IF(N189="",0,IF(OR(M189="",O189=""),N189,(M189+4*N189+O189)/6))</f>
        <v>0</v>
      </c>
      <c r="Q189" s="14"/>
      <c r="R189" s="14"/>
      <c r="S189" s="14"/>
      <c r="T189" s="14"/>
      <c r="U189" s="16"/>
      <c r="V189" s="13"/>
      <c r="W189" s="16" t="s">
        <v>667</v>
      </c>
      <c r="X189" s="16"/>
      <c r="Y189" s="16"/>
      <c r="Z189" s="16"/>
      <c r="AA189" s="22" t="n">
        <f aca="false">IF(F189&lt;&gt;"Y",0,((SUMIF(Products!$E$5:$E$300,A189,Products!$F$5:$F$300)+SUMIF(RM_Lots!$A$5:$A$400,A189,RM_Lots!$D$5:$D$400))+IF(W189="Y",SUMIF(Products!$E$5:$E$300,A189,Products!$G$5:$G$300),0))*(1+N(V189)))</f>
        <v>0</v>
      </c>
      <c r="AB189" s="22" t="n">
        <f aca="false">IF(F189&lt;&gt;"Y",0,((SUMIF(Products!$E$5:$E$300,A189,Products!$K$5:$K$300)+SUMIF(RM_Lots!$A$5:$A$400,A189,RM_Lots!$F$5:$F$400))+IF(W189="Y",SUMIF(Products!$E$5:$E$300,A189,Products!$L$5:$L$300),0))*(1+N(V189)))</f>
        <v>0</v>
      </c>
      <c r="AC189" s="17" t="n">
        <f aca="false">IF(J189="",1,MAX(1,COUNTIFS($J$5:$J$863,J189,$F$5:$F$863,"Y")))</f>
        <v>1</v>
      </c>
      <c r="AD189" s="18" t="n">
        <f aca="false">(MAX(1,N(I189))*(P189+N(S189))+MAX(1,N(I189))*N(K189)/(MAX(1,N(U189))*AC189))*Settings!$B$9</f>
        <v>0</v>
      </c>
      <c r="AE189" s="18" t="n">
        <f aca="false">(MAX(1,N(I189))*N(Q189)+MAX(1,N(I189))*N(L189)/(MAX(1,N(U189))*AC189))*Settings!$B$8</f>
        <v>0</v>
      </c>
      <c r="AF189" s="18" t="n">
        <f aca="false">MAX(1,N(I189))*N(T189)</f>
        <v>0</v>
      </c>
      <c r="AG189" s="15" t="n">
        <f aca="false">AA189*N(AD189)</f>
        <v>0</v>
      </c>
      <c r="AH189" s="15" t="n">
        <f aca="false">AA189*N(AE189)</f>
        <v>0</v>
      </c>
      <c r="AI189" s="15" t="n">
        <f aca="false">AA189*N(AF189)</f>
        <v>0</v>
      </c>
      <c r="AJ189" s="15" t="n">
        <f aca="false">AA189*N(R189)</f>
        <v>0</v>
      </c>
      <c r="AK189" s="15" t="n">
        <f aca="false">AB189*N(AD189)</f>
        <v>0</v>
      </c>
      <c r="AL189" s="15" t="n">
        <f aca="false">AB189*N(AE189)</f>
        <v>0</v>
      </c>
      <c r="AM189" s="15" t="n">
        <f aca="false">AB189*N(AF189)</f>
        <v>0</v>
      </c>
      <c r="AN189" s="15" t="n">
        <f aca="false">AB189*N(R189)</f>
        <v>0</v>
      </c>
      <c r="AO189" s="21" t="str">
        <f aca="false">IF(F189&lt;&gt;"Y","n/a",IF(AND(N189&lt;&gt;"",OR(Q189&lt;&gt;"",G189="Other / bench",G189="None"),U189&lt;&gt;""),"OK","Missing"))</f>
        <v>Missing</v>
      </c>
    </row>
    <row r="190" customFormat="false" ht="15" hidden="false" customHeight="false" outlineLevel="0" collapsed="false">
      <c r="A190" s="10" t="s">
        <v>324</v>
      </c>
      <c r="B190" s="10" t="s">
        <v>659</v>
      </c>
      <c r="C190" s="10" t="s">
        <v>706</v>
      </c>
      <c r="D190" s="10" t="s">
        <v>668</v>
      </c>
      <c r="E190" s="21" t="str">
        <f aca="false">IF(A190="","",A190&amp;"|"&amp;D190)</f>
        <v>F31|Identification (if separate from assay)</v>
      </c>
      <c r="F190" s="16" t="s">
        <v>667</v>
      </c>
      <c r="G190" s="16" t="s">
        <v>147</v>
      </c>
      <c r="H190" s="16" t="s">
        <v>672</v>
      </c>
      <c r="I190" s="16" t="n">
        <v>1</v>
      </c>
      <c r="J190" s="16"/>
      <c r="K190" s="14"/>
      <c r="L190" s="14"/>
      <c r="M190" s="14"/>
      <c r="N190" s="14"/>
      <c r="O190" s="14"/>
      <c r="P190" s="18" t="n">
        <f aca="false">IF(N190="",0,IF(OR(M190="",O190=""),N190,(M190+4*N190+O190)/6))</f>
        <v>0</v>
      </c>
      <c r="Q190" s="14"/>
      <c r="R190" s="14"/>
      <c r="S190" s="14"/>
      <c r="T190" s="14"/>
      <c r="U190" s="16"/>
      <c r="V190" s="13"/>
      <c r="W190" s="16" t="s">
        <v>667</v>
      </c>
      <c r="X190" s="16"/>
      <c r="Y190" s="16"/>
      <c r="Z190" s="16"/>
      <c r="AA190" s="22" t="n">
        <f aca="false">IF(F190&lt;&gt;"Y",0,((SUMIF(Products!$E$5:$E$300,A190,Products!$F$5:$F$300)+SUMIF(RM_Lots!$A$5:$A$400,A190,RM_Lots!$D$5:$D$400))+IF(W190="Y",SUMIF(Products!$E$5:$E$300,A190,Products!$G$5:$G$300),0))*(1+N(V190)))</f>
        <v>0</v>
      </c>
      <c r="AB190" s="22" t="n">
        <f aca="false">IF(F190&lt;&gt;"Y",0,((SUMIF(Products!$E$5:$E$300,A190,Products!$K$5:$K$300)+SUMIF(RM_Lots!$A$5:$A$400,A190,RM_Lots!$F$5:$F$400))+IF(W190="Y",SUMIF(Products!$E$5:$E$300,A190,Products!$L$5:$L$300),0))*(1+N(V190)))</f>
        <v>0</v>
      </c>
      <c r="AC190" s="17" t="n">
        <f aca="false">IF(J190="",1,MAX(1,COUNTIFS($J$5:$J$863,J190,$F$5:$F$863,"Y")))</f>
        <v>1</v>
      </c>
      <c r="AD190" s="18" t="n">
        <f aca="false">(MAX(1,N(I190))*(P190+N(S190))+MAX(1,N(I190))*N(K190)/(MAX(1,N(U190))*AC190))*Settings!$B$9</f>
        <v>0</v>
      </c>
      <c r="AE190" s="18" t="n">
        <f aca="false">(MAX(1,N(I190))*N(Q190)+MAX(1,N(I190))*N(L190)/(MAX(1,N(U190))*AC190))*Settings!$B$8</f>
        <v>0</v>
      </c>
      <c r="AF190" s="18" t="n">
        <f aca="false">MAX(1,N(I190))*N(T190)</f>
        <v>0</v>
      </c>
      <c r="AG190" s="15" t="n">
        <f aca="false">AA190*N(AD190)</f>
        <v>0</v>
      </c>
      <c r="AH190" s="15" t="n">
        <f aca="false">AA190*N(AE190)</f>
        <v>0</v>
      </c>
      <c r="AI190" s="15" t="n">
        <f aca="false">AA190*N(AF190)</f>
        <v>0</v>
      </c>
      <c r="AJ190" s="15" t="n">
        <f aca="false">AA190*N(R190)</f>
        <v>0</v>
      </c>
      <c r="AK190" s="15" t="n">
        <f aca="false">AB190*N(AD190)</f>
        <v>0</v>
      </c>
      <c r="AL190" s="15" t="n">
        <f aca="false">AB190*N(AE190)</f>
        <v>0</v>
      </c>
      <c r="AM190" s="15" t="n">
        <f aca="false">AB190*N(AF190)</f>
        <v>0</v>
      </c>
      <c r="AN190" s="15" t="n">
        <f aca="false">AB190*N(R190)</f>
        <v>0</v>
      </c>
      <c r="AO190" s="21" t="str">
        <f aca="false">IF(F190&lt;&gt;"Y","n/a",IF(AND(N190&lt;&gt;"",OR(Q190&lt;&gt;"",G190="Other / bench",G190="None"),U190&lt;&gt;""),"OK","Missing"))</f>
        <v>n/a</v>
      </c>
    </row>
    <row r="191" customFormat="false" ht="15" hidden="false" customHeight="false" outlineLevel="0" collapsed="false">
      <c r="A191" s="10" t="s">
        <v>324</v>
      </c>
      <c r="B191" s="10" t="s">
        <v>659</v>
      </c>
      <c r="C191" s="10" t="s">
        <v>706</v>
      </c>
      <c r="D191" s="10" t="s">
        <v>669</v>
      </c>
      <c r="E191" s="21" t="str">
        <f aca="false">IF(A191="","",A191&amp;"|"&amp;D191)</f>
        <v>F31|Other tests (non-HPLC: physical, LOD/KF, disintegration, pH, micro...)</v>
      </c>
      <c r="F191" s="16" t="s">
        <v>662</v>
      </c>
      <c r="G191" s="16" t="s">
        <v>670</v>
      </c>
      <c r="H191" s="16" t="s">
        <v>672</v>
      </c>
      <c r="I191" s="16" t="n">
        <v>1</v>
      </c>
      <c r="J191" s="16"/>
      <c r="K191" s="14"/>
      <c r="L191" s="14"/>
      <c r="M191" s="14"/>
      <c r="N191" s="14"/>
      <c r="O191" s="14"/>
      <c r="P191" s="18" t="n">
        <f aca="false">IF(N191="",0,IF(OR(M191="",O191=""),N191,(M191+4*N191+O191)/6))</f>
        <v>0</v>
      </c>
      <c r="Q191" s="14"/>
      <c r="R191" s="14"/>
      <c r="S191" s="14"/>
      <c r="T191" s="14"/>
      <c r="U191" s="16"/>
      <c r="V191" s="13"/>
      <c r="W191" s="16" t="s">
        <v>662</v>
      </c>
      <c r="X191" s="16"/>
      <c r="Y191" s="16"/>
      <c r="Z191" s="16"/>
      <c r="AA191" s="22" t="n">
        <f aca="false">IF(F191&lt;&gt;"Y",0,((SUMIF(Products!$E$5:$E$300,A191,Products!$F$5:$F$300)+SUMIF(RM_Lots!$A$5:$A$400,A191,RM_Lots!$D$5:$D$400))+IF(W191="Y",SUMIF(Products!$E$5:$E$300,A191,Products!$G$5:$G$300),0))*(1+N(V191)))</f>
        <v>0</v>
      </c>
      <c r="AB191" s="22" t="n">
        <f aca="false">IF(F191&lt;&gt;"Y",0,((SUMIF(Products!$E$5:$E$300,A191,Products!$K$5:$K$300)+SUMIF(RM_Lots!$A$5:$A$400,A191,RM_Lots!$F$5:$F$400))+IF(W191="Y",SUMIF(Products!$E$5:$E$300,A191,Products!$L$5:$L$300),0))*(1+N(V191)))</f>
        <v>0</v>
      </c>
      <c r="AC191" s="17" t="n">
        <f aca="false">IF(J191="",1,MAX(1,COUNTIFS($J$5:$J$863,J191,$F$5:$F$863,"Y")))</f>
        <v>1</v>
      </c>
      <c r="AD191" s="18" t="n">
        <f aca="false">(MAX(1,N(I191))*(P191+N(S191))+MAX(1,N(I191))*N(K191)/(MAX(1,N(U191))*AC191))*Settings!$B$9</f>
        <v>0</v>
      </c>
      <c r="AE191" s="18" t="n">
        <f aca="false">(MAX(1,N(I191))*N(Q191)+MAX(1,N(I191))*N(L191)/(MAX(1,N(U191))*AC191))*Settings!$B$8</f>
        <v>0</v>
      </c>
      <c r="AF191" s="18" t="n">
        <f aca="false">MAX(1,N(I191))*N(T191)</f>
        <v>0</v>
      </c>
      <c r="AG191" s="15" t="n">
        <f aca="false">AA191*N(AD191)</f>
        <v>0</v>
      </c>
      <c r="AH191" s="15" t="n">
        <f aca="false">AA191*N(AE191)</f>
        <v>0</v>
      </c>
      <c r="AI191" s="15" t="n">
        <f aca="false">AA191*N(AF191)</f>
        <v>0</v>
      </c>
      <c r="AJ191" s="15" t="n">
        <f aca="false">AA191*N(R191)</f>
        <v>0</v>
      </c>
      <c r="AK191" s="15" t="n">
        <f aca="false">AB191*N(AD191)</f>
        <v>0</v>
      </c>
      <c r="AL191" s="15" t="n">
        <f aca="false">AB191*N(AE191)</f>
        <v>0</v>
      </c>
      <c r="AM191" s="15" t="n">
        <f aca="false">AB191*N(AF191)</f>
        <v>0</v>
      </c>
      <c r="AN191" s="15" t="n">
        <f aca="false">AB191*N(R191)</f>
        <v>0</v>
      </c>
      <c r="AO191" s="21" t="str">
        <f aca="false">IF(F191&lt;&gt;"Y","n/a",IF(AND(N191&lt;&gt;"",OR(Q191&lt;&gt;"",G191="Other / bench",G191="None"),U191&lt;&gt;""),"OK","Missing"))</f>
        <v>Missing</v>
      </c>
    </row>
    <row r="192" customFormat="false" ht="15" hidden="false" customHeight="false" outlineLevel="0" collapsed="false">
      <c r="A192" s="10" t="s">
        <v>328</v>
      </c>
      <c r="B192" s="10" t="s">
        <v>659</v>
      </c>
      <c r="C192" s="10" t="s">
        <v>707</v>
      </c>
      <c r="D192" s="10" t="s">
        <v>661</v>
      </c>
      <c r="E192" s="21" t="str">
        <f aca="false">IF(A192="","",A192&amp;"|"&amp;D192)</f>
        <v>F32|Assay</v>
      </c>
      <c r="F192" s="16" t="s">
        <v>662</v>
      </c>
      <c r="G192" s="16" t="s">
        <v>147</v>
      </c>
      <c r="H192" s="16" t="s">
        <v>672</v>
      </c>
      <c r="I192" s="16" t="n">
        <v>1</v>
      </c>
      <c r="J192" s="16"/>
      <c r="K192" s="14"/>
      <c r="L192" s="14"/>
      <c r="M192" s="14"/>
      <c r="N192" s="14"/>
      <c r="O192" s="14"/>
      <c r="P192" s="18" t="n">
        <f aca="false">IF(N192="",0,IF(OR(M192="",O192=""),N192,(M192+4*N192+O192)/6))</f>
        <v>0</v>
      </c>
      <c r="Q192" s="14"/>
      <c r="R192" s="14"/>
      <c r="S192" s="14"/>
      <c r="T192" s="14"/>
      <c r="U192" s="16"/>
      <c r="V192" s="13"/>
      <c r="W192" s="16" t="s">
        <v>662</v>
      </c>
      <c r="X192" s="16"/>
      <c r="Y192" s="16"/>
      <c r="Z192" s="16"/>
      <c r="AA192" s="22" t="n">
        <f aca="false">IF(F192&lt;&gt;"Y",0,((SUMIF(Products!$E$5:$E$300,A192,Products!$F$5:$F$300)+SUMIF(RM_Lots!$A$5:$A$400,A192,RM_Lots!$D$5:$D$400))+IF(W192="Y",SUMIF(Products!$E$5:$E$300,A192,Products!$G$5:$G$300),0))*(1+N(V192)))</f>
        <v>0</v>
      </c>
      <c r="AB192" s="22" t="n">
        <f aca="false">IF(F192&lt;&gt;"Y",0,((SUMIF(Products!$E$5:$E$300,A192,Products!$K$5:$K$300)+SUMIF(RM_Lots!$A$5:$A$400,A192,RM_Lots!$F$5:$F$400))+IF(W192="Y",SUMIF(Products!$E$5:$E$300,A192,Products!$L$5:$L$300),0))*(1+N(V192)))</f>
        <v>0</v>
      </c>
      <c r="AC192" s="17" t="n">
        <f aca="false">IF(J192="",1,MAX(1,COUNTIFS($J$5:$J$863,J192,$F$5:$F$863,"Y")))</f>
        <v>1</v>
      </c>
      <c r="AD192" s="18" t="n">
        <f aca="false">(MAX(1,N(I192))*(P192+N(S192))+MAX(1,N(I192))*N(K192)/(MAX(1,N(U192))*AC192))*Settings!$B$9</f>
        <v>0</v>
      </c>
      <c r="AE192" s="18" t="n">
        <f aca="false">(MAX(1,N(I192))*N(Q192)+MAX(1,N(I192))*N(L192)/(MAX(1,N(U192))*AC192))*Settings!$B$8</f>
        <v>0</v>
      </c>
      <c r="AF192" s="18" t="n">
        <f aca="false">MAX(1,N(I192))*N(T192)</f>
        <v>0</v>
      </c>
      <c r="AG192" s="15" t="n">
        <f aca="false">AA192*N(AD192)</f>
        <v>0</v>
      </c>
      <c r="AH192" s="15" t="n">
        <f aca="false">AA192*N(AE192)</f>
        <v>0</v>
      </c>
      <c r="AI192" s="15" t="n">
        <f aca="false">AA192*N(AF192)</f>
        <v>0</v>
      </c>
      <c r="AJ192" s="15" t="n">
        <f aca="false">AA192*N(R192)</f>
        <v>0</v>
      </c>
      <c r="AK192" s="15" t="n">
        <f aca="false">AB192*N(AD192)</f>
        <v>0</v>
      </c>
      <c r="AL192" s="15" t="n">
        <f aca="false">AB192*N(AE192)</f>
        <v>0</v>
      </c>
      <c r="AM192" s="15" t="n">
        <f aca="false">AB192*N(AF192)</f>
        <v>0</v>
      </c>
      <c r="AN192" s="15" t="n">
        <f aca="false">AB192*N(R192)</f>
        <v>0</v>
      </c>
      <c r="AO192" s="21" t="str">
        <f aca="false">IF(F192&lt;&gt;"Y","n/a",IF(AND(N192&lt;&gt;"",OR(Q192&lt;&gt;"",G192="Other / bench",G192="None"),U192&lt;&gt;""),"OK","Missing"))</f>
        <v>Missing</v>
      </c>
    </row>
    <row r="193" customFormat="false" ht="15" hidden="false" customHeight="false" outlineLevel="0" collapsed="false">
      <c r="A193" s="10" t="s">
        <v>328</v>
      </c>
      <c r="B193" s="10" t="s">
        <v>659</v>
      </c>
      <c r="C193" s="10" t="s">
        <v>707</v>
      </c>
      <c r="D193" s="10" t="s">
        <v>664</v>
      </c>
      <c r="E193" s="21" t="str">
        <f aca="false">IF(A193="","",A193&amp;"|"&amp;D193)</f>
        <v>F32|Related substances / impurities</v>
      </c>
      <c r="F193" s="16" t="s">
        <v>662</v>
      </c>
      <c r="G193" s="16" t="s">
        <v>147</v>
      </c>
      <c r="H193" s="16" t="s">
        <v>672</v>
      </c>
      <c r="I193" s="16" t="n">
        <v>1</v>
      </c>
      <c r="J193" s="16"/>
      <c r="K193" s="14"/>
      <c r="L193" s="14"/>
      <c r="M193" s="14"/>
      <c r="N193" s="14"/>
      <c r="O193" s="14"/>
      <c r="P193" s="18" t="n">
        <f aca="false">IF(N193="",0,IF(OR(M193="",O193=""),N193,(M193+4*N193+O193)/6))</f>
        <v>0</v>
      </c>
      <c r="Q193" s="14"/>
      <c r="R193" s="14"/>
      <c r="S193" s="14"/>
      <c r="T193" s="14"/>
      <c r="U193" s="16"/>
      <c r="V193" s="13"/>
      <c r="W193" s="16" t="s">
        <v>662</v>
      </c>
      <c r="X193" s="16"/>
      <c r="Y193" s="16"/>
      <c r="Z193" s="16"/>
      <c r="AA193" s="22" t="n">
        <f aca="false">IF(F193&lt;&gt;"Y",0,((SUMIF(Products!$E$5:$E$300,A193,Products!$F$5:$F$300)+SUMIF(RM_Lots!$A$5:$A$400,A193,RM_Lots!$D$5:$D$400))+IF(W193="Y",SUMIF(Products!$E$5:$E$300,A193,Products!$G$5:$G$300),0))*(1+N(V193)))</f>
        <v>0</v>
      </c>
      <c r="AB193" s="22" t="n">
        <f aca="false">IF(F193&lt;&gt;"Y",0,((SUMIF(Products!$E$5:$E$300,A193,Products!$K$5:$K$300)+SUMIF(RM_Lots!$A$5:$A$400,A193,RM_Lots!$F$5:$F$400))+IF(W193="Y",SUMIF(Products!$E$5:$E$300,A193,Products!$L$5:$L$300),0))*(1+N(V193)))</f>
        <v>0</v>
      </c>
      <c r="AC193" s="17" t="n">
        <f aca="false">IF(J193="",1,MAX(1,COUNTIFS($J$5:$J$863,J193,$F$5:$F$863,"Y")))</f>
        <v>1</v>
      </c>
      <c r="AD193" s="18" t="n">
        <f aca="false">(MAX(1,N(I193))*(P193+N(S193))+MAX(1,N(I193))*N(K193)/(MAX(1,N(U193))*AC193))*Settings!$B$9</f>
        <v>0</v>
      </c>
      <c r="AE193" s="18" t="n">
        <f aca="false">(MAX(1,N(I193))*N(Q193)+MAX(1,N(I193))*N(L193)/(MAX(1,N(U193))*AC193))*Settings!$B$8</f>
        <v>0</v>
      </c>
      <c r="AF193" s="18" t="n">
        <f aca="false">MAX(1,N(I193))*N(T193)</f>
        <v>0</v>
      </c>
      <c r="AG193" s="15" t="n">
        <f aca="false">AA193*N(AD193)</f>
        <v>0</v>
      </c>
      <c r="AH193" s="15" t="n">
        <f aca="false">AA193*N(AE193)</f>
        <v>0</v>
      </c>
      <c r="AI193" s="15" t="n">
        <f aca="false">AA193*N(AF193)</f>
        <v>0</v>
      </c>
      <c r="AJ193" s="15" t="n">
        <f aca="false">AA193*N(R193)</f>
        <v>0</v>
      </c>
      <c r="AK193" s="15" t="n">
        <f aca="false">AB193*N(AD193)</f>
        <v>0</v>
      </c>
      <c r="AL193" s="15" t="n">
        <f aca="false">AB193*N(AE193)</f>
        <v>0</v>
      </c>
      <c r="AM193" s="15" t="n">
        <f aca="false">AB193*N(AF193)</f>
        <v>0</v>
      </c>
      <c r="AN193" s="15" t="n">
        <f aca="false">AB193*N(R193)</f>
        <v>0</v>
      </c>
      <c r="AO193" s="21" t="str">
        <f aca="false">IF(F193&lt;&gt;"Y","n/a",IF(AND(N193&lt;&gt;"",OR(Q193&lt;&gt;"",G193="Other / bench",G193="None"),U193&lt;&gt;""),"OK","Missing"))</f>
        <v>Missing</v>
      </c>
    </row>
    <row r="194" customFormat="false" ht="15" hidden="false" customHeight="false" outlineLevel="0" collapsed="false">
      <c r="A194" s="10" t="s">
        <v>328</v>
      </c>
      <c r="B194" s="10" t="s">
        <v>659</v>
      </c>
      <c r="C194" s="10" t="s">
        <v>707</v>
      </c>
      <c r="D194" s="10" t="s">
        <v>665</v>
      </c>
      <c r="E194" s="21" t="str">
        <f aca="false">IF(A194="","",A194&amp;"|"&amp;D194)</f>
        <v>F32|Dissolution</v>
      </c>
      <c r="F194" s="16" t="s">
        <v>662</v>
      </c>
      <c r="G194" s="16" t="s">
        <v>147</v>
      </c>
      <c r="H194" s="16" t="s">
        <v>672</v>
      </c>
      <c r="I194" s="16" t="n">
        <v>1</v>
      </c>
      <c r="J194" s="16"/>
      <c r="K194" s="14"/>
      <c r="L194" s="14"/>
      <c r="M194" s="14"/>
      <c r="N194" s="14"/>
      <c r="O194" s="14"/>
      <c r="P194" s="18" t="n">
        <f aca="false">IF(N194="",0,IF(OR(M194="",O194=""),N194,(M194+4*N194+O194)/6))</f>
        <v>0</v>
      </c>
      <c r="Q194" s="14"/>
      <c r="R194" s="14"/>
      <c r="S194" s="14"/>
      <c r="T194" s="14"/>
      <c r="U194" s="16"/>
      <c r="V194" s="13"/>
      <c r="W194" s="16" t="s">
        <v>662</v>
      </c>
      <c r="X194" s="16"/>
      <c r="Y194" s="16"/>
      <c r="Z194" s="16"/>
      <c r="AA194" s="22" t="n">
        <f aca="false">IF(F194&lt;&gt;"Y",0,((SUMIF(Products!$E$5:$E$300,A194,Products!$F$5:$F$300)+SUMIF(RM_Lots!$A$5:$A$400,A194,RM_Lots!$D$5:$D$400))+IF(W194="Y",SUMIF(Products!$E$5:$E$300,A194,Products!$G$5:$G$300),0))*(1+N(V194)))</f>
        <v>0</v>
      </c>
      <c r="AB194" s="22" t="n">
        <f aca="false">IF(F194&lt;&gt;"Y",0,((SUMIF(Products!$E$5:$E$300,A194,Products!$K$5:$K$300)+SUMIF(RM_Lots!$A$5:$A$400,A194,RM_Lots!$F$5:$F$400))+IF(W194="Y",SUMIF(Products!$E$5:$E$300,A194,Products!$L$5:$L$300),0))*(1+N(V194)))</f>
        <v>0</v>
      </c>
      <c r="AC194" s="17" t="n">
        <f aca="false">IF(J194="",1,MAX(1,COUNTIFS($J$5:$J$863,J194,$F$5:$F$863,"Y")))</f>
        <v>1</v>
      </c>
      <c r="AD194" s="18" t="n">
        <f aca="false">(MAX(1,N(I194))*(P194+N(S194))+MAX(1,N(I194))*N(K194)/(MAX(1,N(U194))*AC194))*Settings!$B$9</f>
        <v>0</v>
      </c>
      <c r="AE194" s="18" t="n">
        <f aca="false">(MAX(1,N(I194))*N(Q194)+MAX(1,N(I194))*N(L194)/(MAX(1,N(U194))*AC194))*Settings!$B$8</f>
        <v>0</v>
      </c>
      <c r="AF194" s="18" t="n">
        <f aca="false">MAX(1,N(I194))*N(T194)</f>
        <v>0</v>
      </c>
      <c r="AG194" s="15" t="n">
        <f aca="false">AA194*N(AD194)</f>
        <v>0</v>
      </c>
      <c r="AH194" s="15" t="n">
        <f aca="false">AA194*N(AE194)</f>
        <v>0</v>
      </c>
      <c r="AI194" s="15" t="n">
        <f aca="false">AA194*N(AF194)</f>
        <v>0</v>
      </c>
      <c r="AJ194" s="15" t="n">
        <f aca="false">AA194*N(R194)</f>
        <v>0</v>
      </c>
      <c r="AK194" s="15" t="n">
        <f aca="false">AB194*N(AD194)</f>
        <v>0</v>
      </c>
      <c r="AL194" s="15" t="n">
        <f aca="false">AB194*N(AE194)</f>
        <v>0</v>
      </c>
      <c r="AM194" s="15" t="n">
        <f aca="false">AB194*N(AF194)</f>
        <v>0</v>
      </c>
      <c r="AN194" s="15" t="n">
        <f aca="false">AB194*N(R194)</f>
        <v>0</v>
      </c>
      <c r="AO194" s="21" t="str">
        <f aca="false">IF(F194&lt;&gt;"Y","n/a",IF(AND(N194&lt;&gt;"",OR(Q194&lt;&gt;"",G194="Other / bench",G194="None"),U194&lt;&gt;""),"OK","Missing"))</f>
        <v>Missing</v>
      </c>
    </row>
    <row r="195" customFormat="false" ht="15" hidden="false" customHeight="false" outlineLevel="0" collapsed="false">
      <c r="A195" s="10" t="s">
        <v>328</v>
      </c>
      <c r="B195" s="10" t="s">
        <v>659</v>
      </c>
      <c r="C195" s="10" t="s">
        <v>707</v>
      </c>
      <c r="D195" s="10" t="s">
        <v>666</v>
      </c>
      <c r="E195" s="21" t="str">
        <f aca="false">IF(A195="","",A195&amp;"|"&amp;D195)</f>
        <v>F32|Content uniformity</v>
      </c>
      <c r="F195" s="16" t="s">
        <v>662</v>
      </c>
      <c r="G195" s="16" t="s">
        <v>147</v>
      </c>
      <c r="H195" s="16" t="s">
        <v>672</v>
      </c>
      <c r="I195" s="16" t="n">
        <v>1</v>
      </c>
      <c r="J195" s="16"/>
      <c r="K195" s="14"/>
      <c r="L195" s="14"/>
      <c r="M195" s="14"/>
      <c r="N195" s="14"/>
      <c r="O195" s="14"/>
      <c r="P195" s="18" t="n">
        <f aca="false">IF(N195="",0,IF(OR(M195="",O195=""),N195,(M195+4*N195+O195)/6))</f>
        <v>0</v>
      </c>
      <c r="Q195" s="14"/>
      <c r="R195" s="14"/>
      <c r="S195" s="14"/>
      <c r="T195" s="14"/>
      <c r="U195" s="16"/>
      <c r="V195" s="13"/>
      <c r="W195" s="16" t="s">
        <v>667</v>
      </c>
      <c r="X195" s="16"/>
      <c r="Y195" s="16"/>
      <c r="Z195" s="16"/>
      <c r="AA195" s="22" t="n">
        <f aca="false">IF(F195&lt;&gt;"Y",0,((SUMIF(Products!$E$5:$E$300,A195,Products!$F$5:$F$300)+SUMIF(RM_Lots!$A$5:$A$400,A195,RM_Lots!$D$5:$D$400))+IF(W195="Y",SUMIF(Products!$E$5:$E$300,A195,Products!$G$5:$G$300),0))*(1+N(V195)))</f>
        <v>0</v>
      </c>
      <c r="AB195" s="22" t="n">
        <f aca="false">IF(F195&lt;&gt;"Y",0,((SUMIF(Products!$E$5:$E$300,A195,Products!$K$5:$K$300)+SUMIF(RM_Lots!$A$5:$A$400,A195,RM_Lots!$F$5:$F$400))+IF(W195="Y",SUMIF(Products!$E$5:$E$300,A195,Products!$L$5:$L$300),0))*(1+N(V195)))</f>
        <v>0</v>
      </c>
      <c r="AC195" s="17" t="n">
        <f aca="false">IF(J195="",1,MAX(1,COUNTIFS($J$5:$J$863,J195,$F$5:$F$863,"Y")))</f>
        <v>1</v>
      </c>
      <c r="AD195" s="18" t="n">
        <f aca="false">(MAX(1,N(I195))*(P195+N(S195))+MAX(1,N(I195))*N(K195)/(MAX(1,N(U195))*AC195))*Settings!$B$9</f>
        <v>0</v>
      </c>
      <c r="AE195" s="18" t="n">
        <f aca="false">(MAX(1,N(I195))*N(Q195)+MAX(1,N(I195))*N(L195)/(MAX(1,N(U195))*AC195))*Settings!$B$8</f>
        <v>0</v>
      </c>
      <c r="AF195" s="18" t="n">
        <f aca="false">MAX(1,N(I195))*N(T195)</f>
        <v>0</v>
      </c>
      <c r="AG195" s="15" t="n">
        <f aca="false">AA195*N(AD195)</f>
        <v>0</v>
      </c>
      <c r="AH195" s="15" t="n">
        <f aca="false">AA195*N(AE195)</f>
        <v>0</v>
      </c>
      <c r="AI195" s="15" t="n">
        <f aca="false">AA195*N(AF195)</f>
        <v>0</v>
      </c>
      <c r="AJ195" s="15" t="n">
        <f aca="false">AA195*N(R195)</f>
        <v>0</v>
      </c>
      <c r="AK195" s="15" t="n">
        <f aca="false">AB195*N(AD195)</f>
        <v>0</v>
      </c>
      <c r="AL195" s="15" t="n">
        <f aca="false">AB195*N(AE195)</f>
        <v>0</v>
      </c>
      <c r="AM195" s="15" t="n">
        <f aca="false">AB195*N(AF195)</f>
        <v>0</v>
      </c>
      <c r="AN195" s="15" t="n">
        <f aca="false">AB195*N(R195)</f>
        <v>0</v>
      </c>
      <c r="AO195" s="21" t="str">
        <f aca="false">IF(F195&lt;&gt;"Y","n/a",IF(AND(N195&lt;&gt;"",OR(Q195&lt;&gt;"",G195="Other / bench",G195="None"),U195&lt;&gt;""),"OK","Missing"))</f>
        <v>Missing</v>
      </c>
    </row>
    <row r="196" customFormat="false" ht="15" hidden="false" customHeight="false" outlineLevel="0" collapsed="false">
      <c r="A196" s="10" t="s">
        <v>328</v>
      </c>
      <c r="B196" s="10" t="s">
        <v>659</v>
      </c>
      <c r="C196" s="10" t="s">
        <v>707</v>
      </c>
      <c r="D196" s="10" t="s">
        <v>668</v>
      </c>
      <c r="E196" s="21" t="str">
        <f aca="false">IF(A196="","",A196&amp;"|"&amp;D196)</f>
        <v>F32|Identification (if separate from assay)</v>
      </c>
      <c r="F196" s="16" t="s">
        <v>667</v>
      </c>
      <c r="G196" s="16" t="s">
        <v>147</v>
      </c>
      <c r="H196" s="16" t="s">
        <v>672</v>
      </c>
      <c r="I196" s="16" t="n">
        <v>1</v>
      </c>
      <c r="J196" s="16"/>
      <c r="K196" s="14"/>
      <c r="L196" s="14"/>
      <c r="M196" s="14"/>
      <c r="N196" s="14"/>
      <c r="O196" s="14"/>
      <c r="P196" s="18" t="n">
        <f aca="false">IF(N196="",0,IF(OR(M196="",O196=""),N196,(M196+4*N196+O196)/6))</f>
        <v>0</v>
      </c>
      <c r="Q196" s="14"/>
      <c r="R196" s="14"/>
      <c r="S196" s="14"/>
      <c r="T196" s="14"/>
      <c r="U196" s="16"/>
      <c r="V196" s="13"/>
      <c r="W196" s="16" t="s">
        <v>667</v>
      </c>
      <c r="X196" s="16"/>
      <c r="Y196" s="16"/>
      <c r="Z196" s="16"/>
      <c r="AA196" s="22" t="n">
        <f aca="false">IF(F196&lt;&gt;"Y",0,((SUMIF(Products!$E$5:$E$300,A196,Products!$F$5:$F$300)+SUMIF(RM_Lots!$A$5:$A$400,A196,RM_Lots!$D$5:$D$400))+IF(W196="Y",SUMIF(Products!$E$5:$E$300,A196,Products!$G$5:$G$300),0))*(1+N(V196)))</f>
        <v>0</v>
      </c>
      <c r="AB196" s="22" t="n">
        <f aca="false">IF(F196&lt;&gt;"Y",0,((SUMIF(Products!$E$5:$E$300,A196,Products!$K$5:$K$300)+SUMIF(RM_Lots!$A$5:$A$400,A196,RM_Lots!$F$5:$F$400))+IF(W196="Y",SUMIF(Products!$E$5:$E$300,A196,Products!$L$5:$L$300),0))*(1+N(V196)))</f>
        <v>0</v>
      </c>
      <c r="AC196" s="17" t="n">
        <f aca="false">IF(J196="",1,MAX(1,COUNTIFS($J$5:$J$863,J196,$F$5:$F$863,"Y")))</f>
        <v>1</v>
      </c>
      <c r="AD196" s="18" t="n">
        <f aca="false">(MAX(1,N(I196))*(P196+N(S196))+MAX(1,N(I196))*N(K196)/(MAX(1,N(U196))*AC196))*Settings!$B$9</f>
        <v>0</v>
      </c>
      <c r="AE196" s="18" t="n">
        <f aca="false">(MAX(1,N(I196))*N(Q196)+MAX(1,N(I196))*N(L196)/(MAX(1,N(U196))*AC196))*Settings!$B$8</f>
        <v>0</v>
      </c>
      <c r="AF196" s="18" t="n">
        <f aca="false">MAX(1,N(I196))*N(T196)</f>
        <v>0</v>
      </c>
      <c r="AG196" s="15" t="n">
        <f aca="false">AA196*N(AD196)</f>
        <v>0</v>
      </c>
      <c r="AH196" s="15" t="n">
        <f aca="false">AA196*N(AE196)</f>
        <v>0</v>
      </c>
      <c r="AI196" s="15" t="n">
        <f aca="false">AA196*N(AF196)</f>
        <v>0</v>
      </c>
      <c r="AJ196" s="15" t="n">
        <f aca="false">AA196*N(R196)</f>
        <v>0</v>
      </c>
      <c r="AK196" s="15" t="n">
        <f aca="false">AB196*N(AD196)</f>
        <v>0</v>
      </c>
      <c r="AL196" s="15" t="n">
        <f aca="false">AB196*N(AE196)</f>
        <v>0</v>
      </c>
      <c r="AM196" s="15" t="n">
        <f aca="false">AB196*N(AF196)</f>
        <v>0</v>
      </c>
      <c r="AN196" s="15" t="n">
        <f aca="false">AB196*N(R196)</f>
        <v>0</v>
      </c>
      <c r="AO196" s="21" t="str">
        <f aca="false">IF(F196&lt;&gt;"Y","n/a",IF(AND(N196&lt;&gt;"",OR(Q196&lt;&gt;"",G196="Other / bench",G196="None"),U196&lt;&gt;""),"OK","Missing"))</f>
        <v>n/a</v>
      </c>
    </row>
    <row r="197" customFormat="false" ht="15" hidden="false" customHeight="false" outlineLevel="0" collapsed="false">
      <c r="A197" s="10" t="s">
        <v>328</v>
      </c>
      <c r="B197" s="10" t="s">
        <v>659</v>
      </c>
      <c r="C197" s="10" t="s">
        <v>707</v>
      </c>
      <c r="D197" s="10" t="s">
        <v>669</v>
      </c>
      <c r="E197" s="21" t="str">
        <f aca="false">IF(A197="","",A197&amp;"|"&amp;D197)</f>
        <v>F32|Other tests (non-HPLC: physical, LOD/KF, disintegration, pH, micro...)</v>
      </c>
      <c r="F197" s="16" t="s">
        <v>662</v>
      </c>
      <c r="G197" s="16" t="s">
        <v>670</v>
      </c>
      <c r="H197" s="16" t="s">
        <v>672</v>
      </c>
      <c r="I197" s="16" t="n">
        <v>1</v>
      </c>
      <c r="J197" s="16"/>
      <c r="K197" s="14"/>
      <c r="L197" s="14"/>
      <c r="M197" s="14"/>
      <c r="N197" s="14"/>
      <c r="O197" s="14"/>
      <c r="P197" s="18" t="n">
        <f aca="false">IF(N197="",0,IF(OR(M197="",O197=""),N197,(M197+4*N197+O197)/6))</f>
        <v>0</v>
      </c>
      <c r="Q197" s="14"/>
      <c r="R197" s="14"/>
      <c r="S197" s="14"/>
      <c r="T197" s="14"/>
      <c r="U197" s="16"/>
      <c r="V197" s="13"/>
      <c r="W197" s="16" t="s">
        <v>662</v>
      </c>
      <c r="X197" s="16"/>
      <c r="Y197" s="16"/>
      <c r="Z197" s="16"/>
      <c r="AA197" s="22" t="n">
        <f aca="false">IF(F197&lt;&gt;"Y",0,((SUMIF(Products!$E$5:$E$300,A197,Products!$F$5:$F$300)+SUMIF(RM_Lots!$A$5:$A$400,A197,RM_Lots!$D$5:$D$400))+IF(W197="Y",SUMIF(Products!$E$5:$E$300,A197,Products!$G$5:$G$300),0))*(1+N(V197)))</f>
        <v>0</v>
      </c>
      <c r="AB197" s="22" t="n">
        <f aca="false">IF(F197&lt;&gt;"Y",0,((SUMIF(Products!$E$5:$E$300,A197,Products!$K$5:$K$300)+SUMIF(RM_Lots!$A$5:$A$400,A197,RM_Lots!$F$5:$F$400))+IF(W197="Y",SUMIF(Products!$E$5:$E$300,A197,Products!$L$5:$L$300),0))*(1+N(V197)))</f>
        <v>0</v>
      </c>
      <c r="AC197" s="17" t="n">
        <f aca="false">IF(J197="",1,MAX(1,COUNTIFS($J$5:$J$863,J197,$F$5:$F$863,"Y")))</f>
        <v>1</v>
      </c>
      <c r="AD197" s="18" t="n">
        <f aca="false">(MAX(1,N(I197))*(P197+N(S197))+MAX(1,N(I197))*N(K197)/(MAX(1,N(U197))*AC197))*Settings!$B$9</f>
        <v>0</v>
      </c>
      <c r="AE197" s="18" t="n">
        <f aca="false">(MAX(1,N(I197))*N(Q197)+MAX(1,N(I197))*N(L197)/(MAX(1,N(U197))*AC197))*Settings!$B$8</f>
        <v>0</v>
      </c>
      <c r="AF197" s="18" t="n">
        <f aca="false">MAX(1,N(I197))*N(T197)</f>
        <v>0</v>
      </c>
      <c r="AG197" s="15" t="n">
        <f aca="false">AA197*N(AD197)</f>
        <v>0</v>
      </c>
      <c r="AH197" s="15" t="n">
        <f aca="false">AA197*N(AE197)</f>
        <v>0</v>
      </c>
      <c r="AI197" s="15" t="n">
        <f aca="false">AA197*N(AF197)</f>
        <v>0</v>
      </c>
      <c r="AJ197" s="15" t="n">
        <f aca="false">AA197*N(R197)</f>
        <v>0</v>
      </c>
      <c r="AK197" s="15" t="n">
        <f aca="false">AB197*N(AD197)</f>
        <v>0</v>
      </c>
      <c r="AL197" s="15" t="n">
        <f aca="false">AB197*N(AE197)</f>
        <v>0</v>
      </c>
      <c r="AM197" s="15" t="n">
        <f aca="false">AB197*N(AF197)</f>
        <v>0</v>
      </c>
      <c r="AN197" s="15" t="n">
        <f aca="false">AB197*N(R197)</f>
        <v>0</v>
      </c>
      <c r="AO197" s="21" t="str">
        <f aca="false">IF(F197&lt;&gt;"Y","n/a",IF(AND(N197&lt;&gt;"",OR(Q197&lt;&gt;"",G197="Other / bench",G197="None"),U197&lt;&gt;""),"OK","Missing"))</f>
        <v>Missing</v>
      </c>
    </row>
    <row r="198" customFormat="false" ht="15" hidden="false" customHeight="false" outlineLevel="0" collapsed="false">
      <c r="A198" s="10" t="s">
        <v>332</v>
      </c>
      <c r="B198" s="10" t="s">
        <v>659</v>
      </c>
      <c r="C198" s="10" t="s">
        <v>708</v>
      </c>
      <c r="D198" s="10" t="s">
        <v>661</v>
      </c>
      <c r="E198" s="21" t="str">
        <f aca="false">IF(A198="","",A198&amp;"|"&amp;D198)</f>
        <v>F33|Assay</v>
      </c>
      <c r="F198" s="16" t="s">
        <v>662</v>
      </c>
      <c r="G198" s="16" t="s">
        <v>147</v>
      </c>
      <c r="H198" s="16" t="s">
        <v>685</v>
      </c>
      <c r="I198" s="16" t="n">
        <v>1</v>
      </c>
      <c r="J198" s="16"/>
      <c r="K198" s="14"/>
      <c r="L198" s="14"/>
      <c r="M198" s="14"/>
      <c r="N198" s="14"/>
      <c r="O198" s="14"/>
      <c r="P198" s="18" t="n">
        <f aca="false">IF(N198="",0,IF(OR(M198="",O198=""),N198,(M198+4*N198+O198)/6))</f>
        <v>0</v>
      </c>
      <c r="Q198" s="14"/>
      <c r="R198" s="14"/>
      <c r="S198" s="14"/>
      <c r="T198" s="14"/>
      <c r="U198" s="16"/>
      <c r="V198" s="13"/>
      <c r="W198" s="16" t="s">
        <v>662</v>
      </c>
      <c r="X198" s="16"/>
      <c r="Y198" s="16"/>
      <c r="Z198" s="16" t="s">
        <v>693</v>
      </c>
      <c r="AA198" s="22" t="n">
        <f aca="false">IF(F198&lt;&gt;"Y",0,((SUMIF(Products!$E$5:$E$300,A198,Products!$F$5:$F$300)+SUMIF(RM_Lots!$A$5:$A$400,A198,RM_Lots!$D$5:$D$400))+IF(W198="Y",SUMIF(Products!$E$5:$E$300,A198,Products!$G$5:$G$300),0))*(1+N(V198)))</f>
        <v>0</v>
      </c>
      <c r="AB198" s="22" t="n">
        <f aca="false">IF(F198&lt;&gt;"Y",0,((SUMIF(Products!$E$5:$E$300,A198,Products!$K$5:$K$300)+SUMIF(RM_Lots!$A$5:$A$400,A198,RM_Lots!$F$5:$F$400))+IF(W198="Y",SUMIF(Products!$E$5:$E$300,A198,Products!$L$5:$L$300),0))*(1+N(V198)))</f>
        <v>0</v>
      </c>
      <c r="AC198" s="17" t="n">
        <f aca="false">IF(J198="",1,MAX(1,COUNTIFS($J$5:$J$863,J198,$F$5:$F$863,"Y")))</f>
        <v>1</v>
      </c>
      <c r="AD198" s="18" t="n">
        <f aca="false">(MAX(1,N(I198))*(P198+N(S198))+MAX(1,N(I198))*N(K198)/(MAX(1,N(U198))*AC198))*Settings!$B$9</f>
        <v>0</v>
      </c>
      <c r="AE198" s="18" t="n">
        <f aca="false">(MAX(1,N(I198))*N(Q198)+MAX(1,N(I198))*N(L198)/(MAX(1,N(U198))*AC198))*Settings!$B$8</f>
        <v>0</v>
      </c>
      <c r="AF198" s="18" t="n">
        <f aca="false">MAX(1,N(I198))*N(T198)</f>
        <v>0</v>
      </c>
      <c r="AG198" s="15" t="n">
        <f aca="false">AA198*N(AD198)</f>
        <v>0</v>
      </c>
      <c r="AH198" s="15" t="n">
        <f aca="false">AA198*N(AE198)</f>
        <v>0</v>
      </c>
      <c r="AI198" s="15" t="n">
        <f aca="false">AA198*N(AF198)</f>
        <v>0</v>
      </c>
      <c r="AJ198" s="15" t="n">
        <f aca="false">AA198*N(R198)</f>
        <v>0</v>
      </c>
      <c r="AK198" s="15" t="n">
        <f aca="false">AB198*N(AD198)</f>
        <v>0</v>
      </c>
      <c r="AL198" s="15" t="n">
        <f aca="false">AB198*N(AE198)</f>
        <v>0</v>
      </c>
      <c r="AM198" s="15" t="n">
        <f aca="false">AB198*N(AF198)</f>
        <v>0</v>
      </c>
      <c r="AN198" s="15" t="n">
        <f aca="false">AB198*N(R198)</f>
        <v>0</v>
      </c>
      <c r="AO198" s="21" t="str">
        <f aca="false">IF(F198&lt;&gt;"Y","n/a",IF(AND(N198&lt;&gt;"",OR(Q198&lt;&gt;"",G198="Other / bench",G198="None"),U198&lt;&gt;""),"OK","Missing"))</f>
        <v>Missing</v>
      </c>
    </row>
    <row r="199" customFormat="false" ht="15" hidden="false" customHeight="false" outlineLevel="0" collapsed="false">
      <c r="A199" s="10" t="s">
        <v>332</v>
      </c>
      <c r="B199" s="10" t="s">
        <v>659</v>
      </c>
      <c r="C199" s="10" t="s">
        <v>708</v>
      </c>
      <c r="D199" s="10" t="s">
        <v>664</v>
      </c>
      <c r="E199" s="21" t="str">
        <f aca="false">IF(A199="","",A199&amp;"|"&amp;D199)</f>
        <v>F33|Related substances / impurities</v>
      </c>
      <c r="F199" s="16" t="s">
        <v>667</v>
      </c>
      <c r="G199" s="16" t="s">
        <v>147</v>
      </c>
      <c r="H199" s="16" t="s">
        <v>685</v>
      </c>
      <c r="I199" s="16" t="n">
        <v>1</v>
      </c>
      <c r="J199" s="16"/>
      <c r="K199" s="14"/>
      <c r="L199" s="14"/>
      <c r="M199" s="14"/>
      <c r="N199" s="14"/>
      <c r="O199" s="14"/>
      <c r="P199" s="18" t="n">
        <f aca="false">IF(N199="",0,IF(OR(M199="",O199=""),N199,(M199+4*N199+O199)/6))</f>
        <v>0</v>
      </c>
      <c r="Q199" s="14"/>
      <c r="R199" s="14"/>
      <c r="S199" s="14"/>
      <c r="T199" s="14"/>
      <c r="U199" s="16"/>
      <c r="V199" s="13"/>
      <c r="W199" s="16" t="s">
        <v>662</v>
      </c>
      <c r="X199" s="16"/>
      <c r="Y199" s="16"/>
      <c r="Z199" s="16"/>
      <c r="AA199" s="22" t="n">
        <f aca="false">IF(F199&lt;&gt;"Y",0,((SUMIF(Products!$E$5:$E$300,A199,Products!$F$5:$F$300)+SUMIF(RM_Lots!$A$5:$A$400,A199,RM_Lots!$D$5:$D$400))+IF(W199="Y",SUMIF(Products!$E$5:$E$300,A199,Products!$G$5:$G$300),0))*(1+N(V199)))</f>
        <v>0</v>
      </c>
      <c r="AB199" s="22" t="n">
        <f aca="false">IF(F199&lt;&gt;"Y",0,((SUMIF(Products!$E$5:$E$300,A199,Products!$K$5:$K$300)+SUMIF(RM_Lots!$A$5:$A$400,A199,RM_Lots!$F$5:$F$400))+IF(W199="Y",SUMIF(Products!$E$5:$E$300,A199,Products!$L$5:$L$300),0))*(1+N(V199)))</f>
        <v>0</v>
      </c>
      <c r="AC199" s="17" t="n">
        <f aca="false">IF(J199="",1,MAX(1,COUNTIFS($J$5:$J$863,J199,$F$5:$F$863,"Y")))</f>
        <v>1</v>
      </c>
      <c r="AD199" s="18" t="n">
        <f aca="false">(MAX(1,N(I199))*(P199+N(S199))+MAX(1,N(I199))*N(K199)/(MAX(1,N(U199))*AC199))*Settings!$B$9</f>
        <v>0</v>
      </c>
      <c r="AE199" s="18" t="n">
        <f aca="false">(MAX(1,N(I199))*N(Q199)+MAX(1,N(I199))*N(L199)/(MAX(1,N(U199))*AC199))*Settings!$B$8</f>
        <v>0</v>
      </c>
      <c r="AF199" s="18" t="n">
        <f aca="false">MAX(1,N(I199))*N(T199)</f>
        <v>0</v>
      </c>
      <c r="AG199" s="15" t="n">
        <f aca="false">AA199*N(AD199)</f>
        <v>0</v>
      </c>
      <c r="AH199" s="15" t="n">
        <f aca="false">AA199*N(AE199)</f>
        <v>0</v>
      </c>
      <c r="AI199" s="15" t="n">
        <f aca="false">AA199*N(AF199)</f>
        <v>0</v>
      </c>
      <c r="AJ199" s="15" t="n">
        <f aca="false">AA199*N(R199)</f>
        <v>0</v>
      </c>
      <c r="AK199" s="15" t="n">
        <f aca="false">AB199*N(AD199)</f>
        <v>0</v>
      </c>
      <c r="AL199" s="15" t="n">
        <f aca="false">AB199*N(AE199)</f>
        <v>0</v>
      </c>
      <c r="AM199" s="15" t="n">
        <f aca="false">AB199*N(AF199)</f>
        <v>0</v>
      </c>
      <c r="AN199" s="15" t="n">
        <f aca="false">AB199*N(R199)</f>
        <v>0</v>
      </c>
      <c r="AO199" s="21" t="str">
        <f aca="false">IF(F199&lt;&gt;"Y","n/a",IF(AND(N199&lt;&gt;"",OR(Q199&lt;&gt;"",G199="Other / bench",G199="None"),U199&lt;&gt;""),"OK","Missing"))</f>
        <v>n/a</v>
      </c>
    </row>
    <row r="200" customFormat="false" ht="15" hidden="false" customHeight="false" outlineLevel="0" collapsed="false">
      <c r="A200" s="10" t="s">
        <v>332</v>
      </c>
      <c r="B200" s="10" t="s">
        <v>659</v>
      </c>
      <c r="C200" s="10" t="s">
        <v>708</v>
      </c>
      <c r="D200" s="10" t="s">
        <v>665</v>
      </c>
      <c r="E200" s="21" t="str">
        <f aca="false">IF(A200="","",A200&amp;"|"&amp;D200)</f>
        <v>F33|Dissolution</v>
      </c>
      <c r="F200" s="16" t="s">
        <v>662</v>
      </c>
      <c r="G200" s="16" t="s">
        <v>147</v>
      </c>
      <c r="H200" s="16" t="s">
        <v>685</v>
      </c>
      <c r="I200" s="16" t="n">
        <v>1</v>
      </c>
      <c r="J200" s="16"/>
      <c r="K200" s="14"/>
      <c r="L200" s="14"/>
      <c r="M200" s="14"/>
      <c r="N200" s="14"/>
      <c r="O200" s="14"/>
      <c r="P200" s="18" t="n">
        <f aca="false">IF(N200="",0,IF(OR(M200="",O200=""),N200,(M200+4*N200+O200)/6))</f>
        <v>0</v>
      </c>
      <c r="Q200" s="14"/>
      <c r="R200" s="14"/>
      <c r="S200" s="14"/>
      <c r="T200" s="14"/>
      <c r="U200" s="16"/>
      <c r="V200" s="13"/>
      <c r="W200" s="16" t="s">
        <v>662</v>
      </c>
      <c r="X200" s="16"/>
      <c r="Y200" s="16"/>
      <c r="Z200" s="16"/>
      <c r="AA200" s="22" t="n">
        <f aca="false">IF(F200&lt;&gt;"Y",0,((SUMIF(Products!$E$5:$E$300,A200,Products!$F$5:$F$300)+SUMIF(RM_Lots!$A$5:$A$400,A200,RM_Lots!$D$5:$D$400))+IF(W200="Y",SUMIF(Products!$E$5:$E$300,A200,Products!$G$5:$G$300),0))*(1+N(V200)))</f>
        <v>0</v>
      </c>
      <c r="AB200" s="22" t="n">
        <f aca="false">IF(F200&lt;&gt;"Y",0,((SUMIF(Products!$E$5:$E$300,A200,Products!$K$5:$K$300)+SUMIF(RM_Lots!$A$5:$A$400,A200,RM_Lots!$F$5:$F$400))+IF(W200="Y",SUMIF(Products!$E$5:$E$300,A200,Products!$L$5:$L$300),0))*(1+N(V200)))</f>
        <v>0</v>
      </c>
      <c r="AC200" s="17" t="n">
        <f aca="false">IF(J200="",1,MAX(1,COUNTIFS($J$5:$J$863,J200,$F$5:$F$863,"Y")))</f>
        <v>1</v>
      </c>
      <c r="AD200" s="18" t="n">
        <f aca="false">(MAX(1,N(I200))*(P200+N(S200))+MAX(1,N(I200))*N(K200)/(MAX(1,N(U200))*AC200))*Settings!$B$9</f>
        <v>0</v>
      </c>
      <c r="AE200" s="18" t="n">
        <f aca="false">(MAX(1,N(I200))*N(Q200)+MAX(1,N(I200))*N(L200)/(MAX(1,N(U200))*AC200))*Settings!$B$8</f>
        <v>0</v>
      </c>
      <c r="AF200" s="18" t="n">
        <f aca="false">MAX(1,N(I200))*N(T200)</f>
        <v>0</v>
      </c>
      <c r="AG200" s="15" t="n">
        <f aca="false">AA200*N(AD200)</f>
        <v>0</v>
      </c>
      <c r="AH200" s="15" t="n">
        <f aca="false">AA200*N(AE200)</f>
        <v>0</v>
      </c>
      <c r="AI200" s="15" t="n">
        <f aca="false">AA200*N(AF200)</f>
        <v>0</v>
      </c>
      <c r="AJ200" s="15" t="n">
        <f aca="false">AA200*N(R200)</f>
        <v>0</v>
      </c>
      <c r="AK200" s="15" t="n">
        <f aca="false">AB200*N(AD200)</f>
        <v>0</v>
      </c>
      <c r="AL200" s="15" t="n">
        <f aca="false">AB200*N(AE200)</f>
        <v>0</v>
      </c>
      <c r="AM200" s="15" t="n">
        <f aca="false">AB200*N(AF200)</f>
        <v>0</v>
      </c>
      <c r="AN200" s="15" t="n">
        <f aca="false">AB200*N(R200)</f>
        <v>0</v>
      </c>
      <c r="AO200" s="21" t="str">
        <f aca="false">IF(F200&lt;&gt;"Y","n/a",IF(AND(N200&lt;&gt;"",OR(Q200&lt;&gt;"",G200="Other / bench",G200="None"),U200&lt;&gt;""),"OK","Missing"))</f>
        <v>Missing</v>
      </c>
    </row>
    <row r="201" customFormat="false" ht="15" hidden="false" customHeight="false" outlineLevel="0" collapsed="false">
      <c r="A201" s="10" t="s">
        <v>332</v>
      </c>
      <c r="B201" s="10" t="s">
        <v>659</v>
      </c>
      <c r="C201" s="10" t="s">
        <v>708</v>
      </c>
      <c r="D201" s="10" t="s">
        <v>666</v>
      </c>
      <c r="E201" s="21" t="str">
        <f aca="false">IF(A201="","",A201&amp;"|"&amp;D201)</f>
        <v>F33|Content uniformity</v>
      </c>
      <c r="F201" s="16" t="s">
        <v>667</v>
      </c>
      <c r="G201" s="16" t="s">
        <v>147</v>
      </c>
      <c r="H201" s="16" t="s">
        <v>685</v>
      </c>
      <c r="I201" s="16" t="n">
        <v>1</v>
      </c>
      <c r="J201" s="16"/>
      <c r="K201" s="14"/>
      <c r="L201" s="14"/>
      <c r="M201" s="14"/>
      <c r="N201" s="14"/>
      <c r="O201" s="14"/>
      <c r="P201" s="18" t="n">
        <f aca="false">IF(N201="",0,IF(OR(M201="",O201=""),N201,(M201+4*N201+O201)/6))</f>
        <v>0</v>
      </c>
      <c r="Q201" s="14"/>
      <c r="R201" s="14"/>
      <c r="S201" s="14"/>
      <c r="T201" s="14"/>
      <c r="U201" s="16"/>
      <c r="V201" s="13"/>
      <c r="W201" s="16" t="s">
        <v>667</v>
      </c>
      <c r="X201" s="16"/>
      <c r="Y201" s="16"/>
      <c r="Z201" s="16"/>
      <c r="AA201" s="22" t="n">
        <f aca="false">IF(F201&lt;&gt;"Y",0,((SUMIF(Products!$E$5:$E$300,A201,Products!$F$5:$F$300)+SUMIF(RM_Lots!$A$5:$A$400,A201,RM_Lots!$D$5:$D$400))+IF(W201="Y",SUMIF(Products!$E$5:$E$300,A201,Products!$G$5:$G$300),0))*(1+N(V201)))</f>
        <v>0</v>
      </c>
      <c r="AB201" s="22" t="n">
        <f aca="false">IF(F201&lt;&gt;"Y",0,((SUMIF(Products!$E$5:$E$300,A201,Products!$K$5:$K$300)+SUMIF(RM_Lots!$A$5:$A$400,A201,RM_Lots!$F$5:$F$400))+IF(W201="Y",SUMIF(Products!$E$5:$E$300,A201,Products!$L$5:$L$300),0))*(1+N(V201)))</f>
        <v>0</v>
      </c>
      <c r="AC201" s="17" t="n">
        <f aca="false">IF(J201="",1,MAX(1,COUNTIFS($J$5:$J$863,J201,$F$5:$F$863,"Y")))</f>
        <v>1</v>
      </c>
      <c r="AD201" s="18" t="n">
        <f aca="false">(MAX(1,N(I201))*(P201+N(S201))+MAX(1,N(I201))*N(K201)/(MAX(1,N(U201))*AC201))*Settings!$B$9</f>
        <v>0</v>
      </c>
      <c r="AE201" s="18" t="n">
        <f aca="false">(MAX(1,N(I201))*N(Q201)+MAX(1,N(I201))*N(L201)/(MAX(1,N(U201))*AC201))*Settings!$B$8</f>
        <v>0</v>
      </c>
      <c r="AF201" s="18" t="n">
        <f aca="false">MAX(1,N(I201))*N(T201)</f>
        <v>0</v>
      </c>
      <c r="AG201" s="15" t="n">
        <f aca="false">AA201*N(AD201)</f>
        <v>0</v>
      </c>
      <c r="AH201" s="15" t="n">
        <f aca="false">AA201*N(AE201)</f>
        <v>0</v>
      </c>
      <c r="AI201" s="15" t="n">
        <f aca="false">AA201*N(AF201)</f>
        <v>0</v>
      </c>
      <c r="AJ201" s="15" t="n">
        <f aca="false">AA201*N(R201)</f>
        <v>0</v>
      </c>
      <c r="AK201" s="15" t="n">
        <f aca="false">AB201*N(AD201)</f>
        <v>0</v>
      </c>
      <c r="AL201" s="15" t="n">
        <f aca="false">AB201*N(AE201)</f>
        <v>0</v>
      </c>
      <c r="AM201" s="15" t="n">
        <f aca="false">AB201*N(AF201)</f>
        <v>0</v>
      </c>
      <c r="AN201" s="15" t="n">
        <f aca="false">AB201*N(R201)</f>
        <v>0</v>
      </c>
      <c r="AO201" s="21" t="str">
        <f aca="false">IF(F201&lt;&gt;"Y","n/a",IF(AND(N201&lt;&gt;"",OR(Q201&lt;&gt;"",G201="Other / bench",G201="None"),U201&lt;&gt;""),"OK","Missing"))</f>
        <v>n/a</v>
      </c>
    </row>
    <row r="202" customFormat="false" ht="15" hidden="false" customHeight="false" outlineLevel="0" collapsed="false">
      <c r="A202" s="10" t="s">
        <v>332</v>
      </c>
      <c r="B202" s="10" t="s">
        <v>659</v>
      </c>
      <c r="C202" s="10" t="s">
        <v>708</v>
      </c>
      <c r="D202" s="10" t="s">
        <v>668</v>
      </c>
      <c r="E202" s="21" t="str">
        <f aca="false">IF(A202="","",A202&amp;"|"&amp;D202)</f>
        <v>F33|Identification (if separate from assay)</v>
      </c>
      <c r="F202" s="16" t="s">
        <v>667</v>
      </c>
      <c r="G202" s="16" t="s">
        <v>147</v>
      </c>
      <c r="H202" s="16" t="s">
        <v>685</v>
      </c>
      <c r="I202" s="16" t="n">
        <v>1</v>
      </c>
      <c r="J202" s="16"/>
      <c r="K202" s="14"/>
      <c r="L202" s="14"/>
      <c r="M202" s="14"/>
      <c r="N202" s="14"/>
      <c r="O202" s="14"/>
      <c r="P202" s="18" t="n">
        <f aca="false">IF(N202="",0,IF(OR(M202="",O202=""),N202,(M202+4*N202+O202)/6))</f>
        <v>0</v>
      </c>
      <c r="Q202" s="14"/>
      <c r="R202" s="14"/>
      <c r="S202" s="14"/>
      <c r="T202" s="14"/>
      <c r="U202" s="16"/>
      <c r="V202" s="13"/>
      <c r="W202" s="16" t="s">
        <v>667</v>
      </c>
      <c r="X202" s="16"/>
      <c r="Y202" s="16"/>
      <c r="Z202" s="16"/>
      <c r="AA202" s="22" t="n">
        <f aca="false">IF(F202&lt;&gt;"Y",0,((SUMIF(Products!$E$5:$E$300,A202,Products!$F$5:$F$300)+SUMIF(RM_Lots!$A$5:$A$400,A202,RM_Lots!$D$5:$D$400))+IF(W202="Y",SUMIF(Products!$E$5:$E$300,A202,Products!$G$5:$G$300),0))*(1+N(V202)))</f>
        <v>0</v>
      </c>
      <c r="AB202" s="22" t="n">
        <f aca="false">IF(F202&lt;&gt;"Y",0,((SUMIF(Products!$E$5:$E$300,A202,Products!$K$5:$K$300)+SUMIF(RM_Lots!$A$5:$A$400,A202,RM_Lots!$F$5:$F$400))+IF(W202="Y",SUMIF(Products!$E$5:$E$300,A202,Products!$L$5:$L$300),0))*(1+N(V202)))</f>
        <v>0</v>
      </c>
      <c r="AC202" s="17" t="n">
        <f aca="false">IF(J202="",1,MAX(1,COUNTIFS($J$5:$J$863,J202,$F$5:$F$863,"Y")))</f>
        <v>1</v>
      </c>
      <c r="AD202" s="18" t="n">
        <f aca="false">(MAX(1,N(I202))*(P202+N(S202))+MAX(1,N(I202))*N(K202)/(MAX(1,N(U202))*AC202))*Settings!$B$9</f>
        <v>0</v>
      </c>
      <c r="AE202" s="18" t="n">
        <f aca="false">(MAX(1,N(I202))*N(Q202)+MAX(1,N(I202))*N(L202)/(MAX(1,N(U202))*AC202))*Settings!$B$8</f>
        <v>0</v>
      </c>
      <c r="AF202" s="18" t="n">
        <f aca="false">MAX(1,N(I202))*N(T202)</f>
        <v>0</v>
      </c>
      <c r="AG202" s="15" t="n">
        <f aca="false">AA202*N(AD202)</f>
        <v>0</v>
      </c>
      <c r="AH202" s="15" t="n">
        <f aca="false">AA202*N(AE202)</f>
        <v>0</v>
      </c>
      <c r="AI202" s="15" t="n">
        <f aca="false">AA202*N(AF202)</f>
        <v>0</v>
      </c>
      <c r="AJ202" s="15" t="n">
        <f aca="false">AA202*N(R202)</f>
        <v>0</v>
      </c>
      <c r="AK202" s="15" t="n">
        <f aca="false">AB202*N(AD202)</f>
        <v>0</v>
      </c>
      <c r="AL202" s="15" t="n">
        <f aca="false">AB202*N(AE202)</f>
        <v>0</v>
      </c>
      <c r="AM202" s="15" t="n">
        <f aca="false">AB202*N(AF202)</f>
        <v>0</v>
      </c>
      <c r="AN202" s="15" t="n">
        <f aca="false">AB202*N(R202)</f>
        <v>0</v>
      </c>
      <c r="AO202" s="21" t="str">
        <f aca="false">IF(F202&lt;&gt;"Y","n/a",IF(AND(N202&lt;&gt;"",OR(Q202&lt;&gt;"",G202="Other / bench",G202="None"),U202&lt;&gt;""),"OK","Missing"))</f>
        <v>n/a</v>
      </c>
    </row>
    <row r="203" customFormat="false" ht="15" hidden="false" customHeight="false" outlineLevel="0" collapsed="false">
      <c r="A203" s="10" t="s">
        <v>332</v>
      </c>
      <c r="B203" s="10" t="s">
        <v>659</v>
      </c>
      <c r="C203" s="10" t="s">
        <v>708</v>
      </c>
      <c r="D203" s="10" t="s">
        <v>669</v>
      </c>
      <c r="E203" s="21" t="str">
        <f aca="false">IF(A203="","",A203&amp;"|"&amp;D203)</f>
        <v>F33|Other tests (non-HPLC: physical, LOD/KF, disintegration, pH, micro...)</v>
      </c>
      <c r="F203" s="16" t="s">
        <v>662</v>
      </c>
      <c r="G203" s="16" t="s">
        <v>670</v>
      </c>
      <c r="H203" s="16" t="s">
        <v>685</v>
      </c>
      <c r="I203" s="16" t="n">
        <v>1</v>
      </c>
      <c r="J203" s="16"/>
      <c r="K203" s="14"/>
      <c r="L203" s="14"/>
      <c r="M203" s="14"/>
      <c r="N203" s="14"/>
      <c r="O203" s="14"/>
      <c r="P203" s="18" t="n">
        <f aca="false">IF(N203="",0,IF(OR(M203="",O203=""),N203,(M203+4*N203+O203)/6))</f>
        <v>0</v>
      </c>
      <c r="Q203" s="14"/>
      <c r="R203" s="14"/>
      <c r="S203" s="14"/>
      <c r="T203" s="14"/>
      <c r="U203" s="16"/>
      <c r="V203" s="13"/>
      <c r="W203" s="16" t="s">
        <v>662</v>
      </c>
      <c r="X203" s="16"/>
      <c r="Y203" s="16"/>
      <c r="Z203" s="16"/>
      <c r="AA203" s="22" t="n">
        <f aca="false">IF(F203&lt;&gt;"Y",0,((SUMIF(Products!$E$5:$E$300,A203,Products!$F$5:$F$300)+SUMIF(RM_Lots!$A$5:$A$400,A203,RM_Lots!$D$5:$D$400))+IF(W203="Y",SUMIF(Products!$E$5:$E$300,A203,Products!$G$5:$G$300),0))*(1+N(V203)))</f>
        <v>0</v>
      </c>
      <c r="AB203" s="22" t="n">
        <f aca="false">IF(F203&lt;&gt;"Y",0,((SUMIF(Products!$E$5:$E$300,A203,Products!$K$5:$K$300)+SUMIF(RM_Lots!$A$5:$A$400,A203,RM_Lots!$F$5:$F$400))+IF(W203="Y",SUMIF(Products!$E$5:$E$300,A203,Products!$L$5:$L$300),0))*(1+N(V203)))</f>
        <v>0</v>
      </c>
      <c r="AC203" s="17" t="n">
        <f aca="false">IF(J203="",1,MAX(1,COUNTIFS($J$5:$J$863,J203,$F$5:$F$863,"Y")))</f>
        <v>1</v>
      </c>
      <c r="AD203" s="18" t="n">
        <f aca="false">(MAX(1,N(I203))*(P203+N(S203))+MAX(1,N(I203))*N(K203)/(MAX(1,N(U203))*AC203))*Settings!$B$9</f>
        <v>0</v>
      </c>
      <c r="AE203" s="18" t="n">
        <f aca="false">(MAX(1,N(I203))*N(Q203)+MAX(1,N(I203))*N(L203)/(MAX(1,N(U203))*AC203))*Settings!$B$8</f>
        <v>0</v>
      </c>
      <c r="AF203" s="18" t="n">
        <f aca="false">MAX(1,N(I203))*N(T203)</f>
        <v>0</v>
      </c>
      <c r="AG203" s="15" t="n">
        <f aca="false">AA203*N(AD203)</f>
        <v>0</v>
      </c>
      <c r="AH203" s="15" t="n">
        <f aca="false">AA203*N(AE203)</f>
        <v>0</v>
      </c>
      <c r="AI203" s="15" t="n">
        <f aca="false">AA203*N(AF203)</f>
        <v>0</v>
      </c>
      <c r="AJ203" s="15" t="n">
        <f aca="false">AA203*N(R203)</f>
        <v>0</v>
      </c>
      <c r="AK203" s="15" t="n">
        <f aca="false">AB203*N(AD203)</f>
        <v>0</v>
      </c>
      <c r="AL203" s="15" t="n">
        <f aca="false">AB203*N(AE203)</f>
        <v>0</v>
      </c>
      <c r="AM203" s="15" t="n">
        <f aca="false">AB203*N(AF203)</f>
        <v>0</v>
      </c>
      <c r="AN203" s="15" t="n">
        <f aca="false">AB203*N(R203)</f>
        <v>0</v>
      </c>
      <c r="AO203" s="21" t="str">
        <f aca="false">IF(F203&lt;&gt;"Y","n/a",IF(AND(N203&lt;&gt;"",OR(Q203&lt;&gt;"",G203="Other / bench",G203="None"),U203&lt;&gt;""),"OK","Missing"))</f>
        <v>Missing</v>
      </c>
    </row>
    <row r="204" customFormat="false" ht="15" hidden="false" customHeight="false" outlineLevel="0" collapsed="false">
      <c r="A204" s="10" t="s">
        <v>335</v>
      </c>
      <c r="B204" s="10" t="s">
        <v>659</v>
      </c>
      <c r="C204" s="10" t="s">
        <v>709</v>
      </c>
      <c r="D204" s="10" t="s">
        <v>661</v>
      </c>
      <c r="E204" s="21" t="str">
        <f aca="false">IF(A204="","",A204&amp;"|"&amp;D204)</f>
        <v>F34|Assay</v>
      </c>
      <c r="F204" s="16" t="s">
        <v>662</v>
      </c>
      <c r="G204" s="16" t="s">
        <v>147</v>
      </c>
      <c r="H204" s="16" t="s">
        <v>685</v>
      </c>
      <c r="I204" s="16" t="n">
        <v>1</v>
      </c>
      <c r="J204" s="16"/>
      <c r="K204" s="14"/>
      <c r="L204" s="14"/>
      <c r="M204" s="14"/>
      <c r="N204" s="14"/>
      <c r="O204" s="14"/>
      <c r="P204" s="18" t="n">
        <f aca="false">IF(N204="",0,IF(OR(M204="",O204=""),N204,(M204+4*N204+O204)/6))</f>
        <v>0</v>
      </c>
      <c r="Q204" s="14"/>
      <c r="R204" s="14"/>
      <c r="S204" s="14"/>
      <c r="T204" s="14"/>
      <c r="U204" s="16"/>
      <c r="V204" s="13"/>
      <c r="W204" s="16" t="s">
        <v>662</v>
      </c>
      <c r="X204" s="16"/>
      <c r="Y204" s="16"/>
      <c r="Z204" s="16" t="s">
        <v>693</v>
      </c>
      <c r="AA204" s="22" t="n">
        <f aca="false">IF(F204&lt;&gt;"Y",0,((SUMIF(Products!$E$5:$E$300,A204,Products!$F$5:$F$300)+SUMIF(RM_Lots!$A$5:$A$400,A204,RM_Lots!$D$5:$D$400))+IF(W204="Y",SUMIF(Products!$E$5:$E$300,A204,Products!$G$5:$G$300),0))*(1+N(V204)))</f>
        <v>0</v>
      </c>
      <c r="AB204" s="22" t="n">
        <f aca="false">IF(F204&lt;&gt;"Y",0,((SUMIF(Products!$E$5:$E$300,A204,Products!$K$5:$K$300)+SUMIF(RM_Lots!$A$5:$A$400,A204,RM_Lots!$F$5:$F$400))+IF(W204="Y",SUMIF(Products!$E$5:$E$300,A204,Products!$L$5:$L$300),0))*(1+N(V204)))</f>
        <v>0</v>
      </c>
      <c r="AC204" s="17" t="n">
        <f aca="false">IF(J204="",1,MAX(1,COUNTIFS($J$5:$J$863,J204,$F$5:$F$863,"Y")))</f>
        <v>1</v>
      </c>
      <c r="AD204" s="18" t="n">
        <f aca="false">(MAX(1,N(I204))*(P204+N(S204))+MAX(1,N(I204))*N(K204)/(MAX(1,N(U204))*AC204))*Settings!$B$9</f>
        <v>0</v>
      </c>
      <c r="AE204" s="18" t="n">
        <f aca="false">(MAX(1,N(I204))*N(Q204)+MAX(1,N(I204))*N(L204)/(MAX(1,N(U204))*AC204))*Settings!$B$8</f>
        <v>0</v>
      </c>
      <c r="AF204" s="18" t="n">
        <f aca="false">MAX(1,N(I204))*N(T204)</f>
        <v>0</v>
      </c>
      <c r="AG204" s="15" t="n">
        <f aca="false">AA204*N(AD204)</f>
        <v>0</v>
      </c>
      <c r="AH204" s="15" t="n">
        <f aca="false">AA204*N(AE204)</f>
        <v>0</v>
      </c>
      <c r="AI204" s="15" t="n">
        <f aca="false">AA204*N(AF204)</f>
        <v>0</v>
      </c>
      <c r="AJ204" s="15" t="n">
        <f aca="false">AA204*N(R204)</f>
        <v>0</v>
      </c>
      <c r="AK204" s="15" t="n">
        <f aca="false">AB204*N(AD204)</f>
        <v>0</v>
      </c>
      <c r="AL204" s="15" t="n">
        <f aca="false">AB204*N(AE204)</f>
        <v>0</v>
      </c>
      <c r="AM204" s="15" t="n">
        <f aca="false">AB204*N(AF204)</f>
        <v>0</v>
      </c>
      <c r="AN204" s="15" t="n">
        <f aca="false">AB204*N(R204)</f>
        <v>0</v>
      </c>
      <c r="AO204" s="21" t="str">
        <f aca="false">IF(F204&lt;&gt;"Y","n/a",IF(AND(N204&lt;&gt;"",OR(Q204&lt;&gt;"",G204="Other / bench",G204="None"),U204&lt;&gt;""),"OK","Missing"))</f>
        <v>Missing</v>
      </c>
    </row>
    <row r="205" customFormat="false" ht="15" hidden="false" customHeight="false" outlineLevel="0" collapsed="false">
      <c r="A205" s="10" t="s">
        <v>335</v>
      </c>
      <c r="B205" s="10" t="s">
        <v>659</v>
      </c>
      <c r="C205" s="10" t="s">
        <v>709</v>
      </c>
      <c r="D205" s="10" t="s">
        <v>664</v>
      </c>
      <c r="E205" s="21" t="str">
        <f aca="false">IF(A205="","",A205&amp;"|"&amp;D205)</f>
        <v>F34|Related substances / impurities</v>
      </c>
      <c r="F205" s="16" t="s">
        <v>667</v>
      </c>
      <c r="G205" s="16" t="s">
        <v>147</v>
      </c>
      <c r="H205" s="16" t="s">
        <v>685</v>
      </c>
      <c r="I205" s="16" t="n">
        <v>1</v>
      </c>
      <c r="J205" s="16"/>
      <c r="K205" s="14"/>
      <c r="L205" s="14"/>
      <c r="M205" s="14"/>
      <c r="N205" s="14"/>
      <c r="O205" s="14"/>
      <c r="P205" s="18" t="n">
        <f aca="false">IF(N205="",0,IF(OR(M205="",O205=""),N205,(M205+4*N205+O205)/6))</f>
        <v>0</v>
      </c>
      <c r="Q205" s="14"/>
      <c r="R205" s="14"/>
      <c r="S205" s="14"/>
      <c r="T205" s="14"/>
      <c r="U205" s="16"/>
      <c r="V205" s="13"/>
      <c r="W205" s="16" t="s">
        <v>662</v>
      </c>
      <c r="X205" s="16"/>
      <c r="Y205" s="16"/>
      <c r="Z205" s="16"/>
      <c r="AA205" s="22" t="n">
        <f aca="false">IF(F205&lt;&gt;"Y",0,((SUMIF(Products!$E$5:$E$300,A205,Products!$F$5:$F$300)+SUMIF(RM_Lots!$A$5:$A$400,A205,RM_Lots!$D$5:$D$400))+IF(W205="Y",SUMIF(Products!$E$5:$E$300,A205,Products!$G$5:$G$300),0))*(1+N(V205)))</f>
        <v>0</v>
      </c>
      <c r="AB205" s="22" t="n">
        <f aca="false">IF(F205&lt;&gt;"Y",0,((SUMIF(Products!$E$5:$E$300,A205,Products!$K$5:$K$300)+SUMIF(RM_Lots!$A$5:$A$400,A205,RM_Lots!$F$5:$F$400))+IF(W205="Y",SUMIF(Products!$E$5:$E$300,A205,Products!$L$5:$L$300),0))*(1+N(V205)))</f>
        <v>0</v>
      </c>
      <c r="AC205" s="17" t="n">
        <f aca="false">IF(J205="",1,MAX(1,COUNTIFS($J$5:$J$863,J205,$F$5:$F$863,"Y")))</f>
        <v>1</v>
      </c>
      <c r="AD205" s="18" t="n">
        <f aca="false">(MAX(1,N(I205))*(P205+N(S205))+MAX(1,N(I205))*N(K205)/(MAX(1,N(U205))*AC205))*Settings!$B$9</f>
        <v>0</v>
      </c>
      <c r="AE205" s="18" t="n">
        <f aca="false">(MAX(1,N(I205))*N(Q205)+MAX(1,N(I205))*N(L205)/(MAX(1,N(U205))*AC205))*Settings!$B$8</f>
        <v>0</v>
      </c>
      <c r="AF205" s="18" t="n">
        <f aca="false">MAX(1,N(I205))*N(T205)</f>
        <v>0</v>
      </c>
      <c r="AG205" s="15" t="n">
        <f aca="false">AA205*N(AD205)</f>
        <v>0</v>
      </c>
      <c r="AH205" s="15" t="n">
        <f aca="false">AA205*N(AE205)</f>
        <v>0</v>
      </c>
      <c r="AI205" s="15" t="n">
        <f aca="false">AA205*N(AF205)</f>
        <v>0</v>
      </c>
      <c r="AJ205" s="15" t="n">
        <f aca="false">AA205*N(R205)</f>
        <v>0</v>
      </c>
      <c r="AK205" s="15" t="n">
        <f aca="false">AB205*N(AD205)</f>
        <v>0</v>
      </c>
      <c r="AL205" s="15" t="n">
        <f aca="false">AB205*N(AE205)</f>
        <v>0</v>
      </c>
      <c r="AM205" s="15" t="n">
        <f aca="false">AB205*N(AF205)</f>
        <v>0</v>
      </c>
      <c r="AN205" s="15" t="n">
        <f aca="false">AB205*N(R205)</f>
        <v>0</v>
      </c>
      <c r="AO205" s="21" t="str">
        <f aca="false">IF(F205&lt;&gt;"Y","n/a",IF(AND(N205&lt;&gt;"",OR(Q205&lt;&gt;"",G205="Other / bench",G205="None"),U205&lt;&gt;""),"OK","Missing"))</f>
        <v>n/a</v>
      </c>
    </row>
    <row r="206" customFormat="false" ht="15" hidden="false" customHeight="false" outlineLevel="0" collapsed="false">
      <c r="A206" s="10" t="s">
        <v>335</v>
      </c>
      <c r="B206" s="10" t="s">
        <v>659</v>
      </c>
      <c r="C206" s="10" t="s">
        <v>709</v>
      </c>
      <c r="D206" s="10" t="s">
        <v>665</v>
      </c>
      <c r="E206" s="21" t="str">
        <f aca="false">IF(A206="","",A206&amp;"|"&amp;D206)</f>
        <v>F34|Dissolution</v>
      </c>
      <c r="F206" s="16" t="s">
        <v>662</v>
      </c>
      <c r="G206" s="16" t="s">
        <v>147</v>
      </c>
      <c r="H206" s="16" t="s">
        <v>685</v>
      </c>
      <c r="I206" s="16" t="n">
        <v>1</v>
      </c>
      <c r="J206" s="16"/>
      <c r="K206" s="14"/>
      <c r="L206" s="14"/>
      <c r="M206" s="14"/>
      <c r="N206" s="14"/>
      <c r="O206" s="14"/>
      <c r="P206" s="18" t="n">
        <f aca="false">IF(N206="",0,IF(OR(M206="",O206=""),N206,(M206+4*N206+O206)/6))</f>
        <v>0</v>
      </c>
      <c r="Q206" s="14"/>
      <c r="R206" s="14"/>
      <c r="S206" s="14"/>
      <c r="T206" s="14"/>
      <c r="U206" s="16"/>
      <c r="V206" s="13"/>
      <c r="W206" s="16" t="s">
        <v>662</v>
      </c>
      <c r="X206" s="16"/>
      <c r="Y206" s="16"/>
      <c r="Z206" s="16"/>
      <c r="AA206" s="22" t="n">
        <f aca="false">IF(F206&lt;&gt;"Y",0,((SUMIF(Products!$E$5:$E$300,A206,Products!$F$5:$F$300)+SUMIF(RM_Lots!$A$5:$A$400,A206,RM_Lots!$D$5:$D$400))+IF(W206="Y",SUMIF(Products!$E$5:$E$300,A206,Products!$G$5:$G$300),0))*(1+N(V206)))</f>
        <v>0</v>
      </c>
      <c r="AB206" s="22" t="n">
        <f aca="false">IF(F206&lt;&gt;"Y",0,((SUMIF(Products!$E$5:$E$300,A206,Products!$K$5:$K$300)+SUMIF(RM_Lots!$A$5:$A$400,A206,RM_Lots!$F$5:$F$400))+IF(W206="Y",SUMIF(Products!$E$5:$E$300,A206,Products!$L$5:$L$300),0))*(1+N(V206)))</f>
        <v>0</v>
      </c>
      <c r="AC206" s="17" t="n">
        <f aca="false">IF(J206="",1,MAX(1,COUNTIFS($J$5:$J$863,J206,$F$5:$F$863,"Y")))</f>
        <v>1</v>
      </c>
      <c r="AD206" s="18" t="n">
        <f aca="false">(MAX(1,N(I206))*(P206+N(S206))+MAX(1,N(I206))*N(K206)/(MAX(1,N(U206))*AC206))*Settings!$B$9</f>
        <v>0</v>
      </c>
      <c r="AE206" s="18" t="n">
        <f aca="false">(MAX(1,N(I206))*N(Q206)+MAX(1,N(I206))*N(L206)/(MAX(1,N(U206))*AC206))*Settings!$B$8</f>
        <v>0</v>
      </c>
      <c r="AF206" s="18" t="n">
        <f aca="false">MAX(1,N(I206))*N(T206)</f>
        <v>0</v>
      </c>
      <c r="AG206" s="15" t="n">
        <f aca="false">AA206*N(AD206)</f>
        <v>0</v>
      </c>
      <c r="AH206" s="15" t="n">
        <f aca="false">AA206*N(AE206)</f>
        <v>0</v>
      </c>
      <c r="AI206" s="15" t="n">
        <f aca="false">AA206*N(AF206)</f>
        <v>0</v>
      </c>
      <c r="AJ206" s="15" t="n">
        <f aca="false">AA206*N(R206)</f>
        <v>0</v>
      </c>
      <c r="AK206" s="15" t="n">
        <f aca="false">AB206*N(AD206)</f>
        <v>0</v>
      </c>
      <c r="AL206" s="15" t="n">
        <f aca="false">AB206*N(AE206)</f>
        <v>0</v>
      </c>
      <c r="AM206" s="15" t="n">
        <f aca="false">AB206*N(AF206)</f>
        <v>0</v>
      </c>
      <c r="AN206" s="15" t="n">
        <f aca="false">AB206*N(R206)</f>
        <v>0</v>
      </c>
      <c r="AO206" s="21" t="str">
        <f aca="false">IF(F206&lt;&gt;"Y","n/a",IF(AND(N206&lt;&gt;"",OR(Q206&lt;&gt;"",G206="Other / bench",G206="None"),U206&lt;&gt;""),"OK","Missing"))</f>
        <v>Missing</v>
      </c>
    </row>
    <row r="207" customFormat="false" ht="15" hidden="false" customHeight="false" outlineLevel="0" collapsed="false">
      <c r="A207" s="10" t="s">
        <v>335</v>
      </c>
      <c r="B207" s="10" t="s">
        <v>659</v>
      </c>
      <c r="C207" s="10" t="s">
        <v>709</v>
      </c>
      <c r="D207" s="10" t="s">
        <v>666</v>
      </c>
      <c r="E207" s="21" t="str">
        <f aca="false">IF(A207="","",A207&amp;"|"&amp;D207)</f>
        <v>F34|Content uniformity</v>
      </c>
      <c r="F207" s="16" t="s">
        <v>667</v>
      </c>
      <c r="G207" s="16" t="s">
        <v>147</v>
      </c>
      <c r="H207" s="16" t="s">
        <v>685</v>
      </c>
      <c r="I207" s="16" t="n">
        <v>1</v>
      </c>
      <c r="J207" s="16"/>
      <c r="K207" s="14"/>
      <c r="L207" s="14"/>
      <c r="M207" s="14"/>
      <c r="N207" s="14"/>
      <c r="O207" s="14"/>
      <c r="P207" s="18" t="n">
        <f aca="false">IF(N207="",0,IF(OR(M207="",O207=""),N207,(M207+4*N207+O207)/6))</f>
        <v>0</v>
      </c>
      <c r="Q207" s="14"/>
      <c r="R207" s="14"/>
      <c r="S207" s="14"/>
      <c r="T207" s="14"/>
      <c r="U207" s="16"/>
      <c r="V207" s="13"/>
      <c r="W207" s="16" t="s">
        <v>667</v>
      </c>
      <c r="X207" s="16"/>
      <c r="Y207" s="16"/>
      <c r="Z207" s="16"/>
      <c r="AA207" s="22" t="n">
        <f aca="false">IF(F207&lt;&gt;"Y",0,((SUMIF(Products!$E$5:$E$300,A207,Products!$F$5:$F$300)+SUMIF(RM_Lots!$A$5:$A$400,A207,RM_Lots!$D$5:$D$400))+IF(W207="Y",SUMIF(Products!$E$5:$E$300,A207,Products!$G$5:$G$300),0))*(1+N(V207)))</f>
        <v>0</v>
      </c>
      <c r="AB207" s="22" t="n">
        <f aca="false">IF(F207&lt;&gt;"Y",0,((SUMIF(Products!$E$5:$E$300,A207,Products!$K$5:$K$300)+SUMIF(RM_Lots!$A$5:$A$400,A207,RM_Lots!$F$5:$F$400))+IF(W207="Y",SUMIF(Products!$E$5:$E$300,A207,Products!$L$5:$L$300),0))*(1+N(V207)))</f>
        <v>0</v>
      </c>
      <c r="AC207" s="17" t="n">
        <f aca="false">IF(J207="",1,MAX(1,COUNTIFS($J$5:$J$863,J207,$F$5:$F$863,"Y")))</f>
        <v>1</v>
      </c>
      <c r="AD207" s="18" t="n">
        <f aca="false">(MAX(1,N(I207))*(P207+N(S207))+MAX(1,N(I207))*N(K207)/(MAX(1,N(U207))*AC207))*Settings!$B$9</f>
        <v>0</v>
      </c>
      <c r="AE207" s="18" t="n">
        <f aca="false">(MAX(1,N(I207))*N(Q207)+MAX(1,N(I207))*N(L207)/(MAX(1,N(U207))*AC207))*Settings!$B$8</f>
        <v>0</v>
      </c>
      <c r="AF207" s="18" t="n">
        <f aca="false">MAX(1,N(I207))*N(T207)</f>
        <v>0</v>
      </c>
      <c r="AG207" s="15" t="n">
        <f aca="false">AA207*N(AD207)</f>
        <v>0</v>
      </c>
      <c r="AH207" s="15" t="n">
        <f aca="false">AA207*N(AE207)</f>
        <v>0</v>
      </c>
      <c r="AI207" s="15" t="n">
        <f aca="false">AA207*N(AF207)</f>
        <v>0</v>
      </c>
      <c r="AJ207" s="15" t="n">
        <f aca="false">AA207*N(R207)</f>
        <v>0</v>
      </c>
      <c r="AK207" s="15" t="n">
        <f aca="false">AB207*N(AD207)</f>
        <v>0</v>
      </c>
      <c r="AL207" s="15" t="n">
        <f aca="false">AB207*N(AE207)</f>
        <v>0</v>
      </c>
      <c r="AM207" s="15" t="n">
        <f aca="false">AB207*N(AF207)</f>
        <v>0</v>
      </c>
      <c r="AN207" s="15" t="n">
        <f aca="false">AB207*N(R207)</f>
        <v>0</v>
      </c>
      <c r="AO207" s="21" t="str">
        <f aca="false">IF(F207&lt;&gt;"Y","n/a",IF(AND(N207&lt;&gt;"",OR(Q207&lt;&gt;"",G207="Other / bench",G207="None"),U207&lt;&gt;""),"OK","Missing"))</f>
        <v>n/a</v>
      </c>
    </row>
    <row r="208" customFormat="false" ht="15" hidden="false" customHeight="false" outlineLevel="0" collapsed="false">
      <c r="A208" s="10" t="s">
        <v>335</v>
      </c>
      <c r="B208" s="10" t="s">
        <v>659</v>
      </c>
      <c r="C208" s="10" t="s">
        <v>709</v>
      </c>
      <c r="D208" s="10" t="s">
        <v>668</v>
      </c>
      <c r="E208" s="21" t="str">
        <f aca="false">IF(A208="","",A208&amp;"|"&amp;D208)</f>
        <v>F34|Identification (if separate from assay)</v>
      </c>
      <c r="F208" s="16" t="s">
        <v>667</v>
      </c>
      <c r="G208" s="16" t="s">
        <v>147</v>
      </c>
      <c r="H208" s="16" t="s">
        <v>685</v>
      </c>
      <c r="I208" s="16" t="n">
        <v>1</v>
      </c>
      <c r="J208" s="16"/>
      <c r="K208" s="14"/>
      <c r="L208" s="14"/>
      <c r="M208" s="14"/>
      <c r="N208" s="14"/>
      <c r="O208" s="14"/>
      <c r="P208" s="18" t="n">
        <f aca="false">IF(N208="",0,IF(OR(M208="",O208=""),N208,(M208+4*N208+O208)/6))</f>
        <v>0</v>
      </c>
      <c r="Q208" s="14"/>
      <c r="R208" s="14"/>
      <c r="S208" s="14"/>
      <c r="T208" s="14"/>
      <c r="U208" s="16"/>
      <c r="V208" s="13"/>
      <c r="W208" s="16" t="s">
        <v>667</v>
      </c>
      <c r="X208" s="16"/>
      <c r="Y208" s="16"/>
      <c r="Z208" s="16"/>
      <c r="AA208" s="22" t="n">
        <f aca="false">IF(F208&lt;&gt;"Y",0,((SUMIF(Products!$E$5:$E$300,A208,Products!$F$5:$F$300)+SUMIF(RM_Lots!$A$5:$A$400,A208,RM_Lots!$D$5:$D$400))+IF(W208="Y",SUMIF(Products!$E$5:$E$300,A208,Products!$G$5:$G$300),0))*(1+N(V208)))</f>
        <v>0</v>
      </c>
      <c r="AB208" s="22" t="n">
        <f aca="false">IF(F208&lt;&gt;"Y",0,((SUMIF(Products!$E$5:$E$300,A208,Products!$K$5:$K$300)+SUMIF(RM_Lots!$A$5:$A$400,A208,RM_Lots!$F$5:$F$400))+IF(W208="Y",SUMIF(Products!$E$5:$E$300,A208,Products!$L$5:$L$300),0))*(1+N(V208)))</f>
        <v>0</v>
      </c>
      <c r="AC208" s="17" t="n">
        <f aca="false">IF(J208="",1,MAX(1,COUNTIFS($J$5:$J$863,J208,$F$5:$F$863,"Y")))</f>
        <v>1</v>
      </c>
      <c r="AD208" s="18" t="n">
        <f aca="false">(MAX(1,N(I208))*(P208+N(S208))+MAX(1,N(I208))*N(K208)/(MAX(1,N(U208))*AC208))*Settings!$B$9</f>
        <v>0</v>
      </c>
      <c r="AE208" s="18" t="n">
        <f aca="false">(MAX(1,N(I208))*N(Q208)+MAX(1,N(I208))*N(L208)/(MAX(1,N(U208))*AC208))*Settings!$B$8</f>
        <v>0</v>
      </c>
      <c r="AF208" s="18" t="n">
        <f aca="false">MAX(1,N(I208))*N(T208)</f>
        <v>0</v>
      </c>
      <c r="AG208" s="15" t="n">
        <f aca="false">AA208*N(AD208)</f>
        <v>0</v>
      </c>
      <c r="AH208" s="15" t="n">
        <f aca="false">AA208*N(AE208)</f>
        <v>0</v>
      </c>
      <c r="AI208" s="15" t="n">
        <f aca="false">AA208*N(AF208)</f>
        <v>0</v>
      </c>
      <c r="AJ208" s="15" t="n">
        <f aca="false">AA208*N(R208)</f>
        <v>0</v>
      </c>
      <c r="AK208" s="15" t="n">
        <f aca="false">AB208*N(AD208)</f>
        <v>0</v>
      </c>
      <c r="AL208" s="15" t="n">
        <f aca="false">AB208*N(AE208)</f>
        <v>0</v>
      </c>
      <c r="AM208" s="15" t="n">
        <f aca="false">AB208*N(AF208)</f>
        <v>0</v>
      </c>
      <c r="AN208" s="15" t="n">
        <f aca="false">AB208*N(R208)</f>
        <v>0</v>
      </c>
      <c r="AO208" s="21" t="str">
        <f aca="false">IF(F208&lt;&gt;"Y","n/a",IF(AND(N208&lt;&gt;"",OR(Q208&lt;&gt;"",G208="Other / bench",G208="None"),U208&lt;&gt;""),"OK","Missing"))</f>
        <v>n/a</v>
      </c>
    </row>
    <row r="209" customFormat="false" ht="15" hidden="false" customHeight="false" outlineLevel="0" collapsed="false">
      <c r="A209" s="10" t="s">
        <v>335</v>
      </c>
      <c r="B209" s="10" t="s">
        <v>659</v>
      </c>
      <c r="C209" s="10" t="s">
        <v>709</v>
      </c>
      <c r="D209" s="10" t="s">
        <v>669</v>
      </c>
      <c r="E209" s="21" t="str">
        <f aca="false">IF(A209="","",A209&amp;"|"&amp;D209)</f>
        <v>F34|Other tests (non-HPLC: physical, LOD/KF, disintegration, pH, micro...)</v>
      </c>
      <c r="F209" s="16" t="s">
        <v>662</v>
      </c>
      <c r="G209" s="16" t="s">
        <v>670</v>
      </c>
      <c r="H209" s="16" t="s">
        <v>685</v>
      </c>
      <c r="I209" s="16" t="n">
        <v>1</v>
      </c>
      <c r="J209" s="16"/>
      <c r="K209" s="14"/>
      <c r="L209" s="14"/>
      <c r="M209" s="14"/>
      <c r="N209" s="14"/>
      <c r="O209" s="14"/>
      <c r="P209" s="18" t="n">
        <f aca="false">IF(N209="",0,IF(OR(M209="",O209=""),N209,(M209+4*N209+O209)/6))</f>
        <v>0</v>
      </c>
      <c r="Q209" s="14"/>
      <c r="R209" s="14"/>
      <c r="S209" s="14"/>
      <c r="T209" s="14"/>
      <c r="U209" s="16"/>
      <c r="V209" s="13"/>
      <c r="W209" s="16" t="s">
        <v>662</v>
      </c>
      <c r="X209" s="16"/>
      <c r="Y209" s="16"/>
      <c r="Z209" s="16"/>
      <c r="AA209" s="22" t="n">
        <f aca="false">IF(F209&lt;&gt;"Y",0,((SUMIF(Products!$E$5:$E$300,A209,Products!$F$5:$F$300)+SUMIF(RM_Lots!$A$5:$A$400,A209,RM_Lots!$D$5:$D$400))+IF(W209="Y",SUMIF(Products!$E$5:$E$300,A209,Products!$G$5:$G$300),0))*(1+N(V209)))</f>
        <v>0</v>
      </c>
      <c r="AB209" s="22" t="n">
        <f aca="false">IF(F209&lt;&gt;"Y",0,((SUMIF(Products!$E$5:$E$300,A209,Products!$K$5:$K$300)+SUMIF(RM_Lots!$A$5:$A$400,A209,RM_Lots!$F$5:$F$400))+IF(W209="Y",SUMIF(Products!$E$5:$E$300,A209,Products!$L$5:$L$300),0))*(1+N(V209)))</f>
        <v>0</v>
      </c>
      <c r="AC209" s="17" t="n">
        <f aca="false">IF(J209="",1,MAX(1,COUNTIFS($J$5:$J$863,J209,$F$5:$F$863,"Y")))</f>
        <v>1</v>
      </c>
      <c r="AD209" s="18" t="n">
        <f aca="false">(MAX(1,N(I209))*(P209+N(S209))+MAX(1,N(I209))*N(K209)/(MAX(1,N(U209))*AC209))*Settings!$B$9</f>
        <v>0</v>
      </c>
      <c r="AE209" s="18" t="n">
        <f aca="false">(MAX(1,N(I209))*N(Q209)+MAX(1,N(I209))*N(L209)/(MAX(1,N(U209))*AC209))*Settings!$B$8</f>
        <v>0</v>
      </c>
      <c r="AF209" s="18" t="n">
        <f aca="false">MAX(1,N(I209))*N(T209)</f>
        <v>0</v>
      </c>
      <c r="AG209" s="15" t="n">
        <f aca="false">AA209*N(AD209)</f>
        <v>0</v>
      </c>
      <c r="AH209" s="15" t="n">
        <f aca="false">AA209*N(AE209)</f>
        <v>0</v>
      </c>
      <c r="AI209" s="15" t="n">
        <f aca="false">AA209*N(AF209)</f>
        <v>0</v>
      </c>
      <c r="AJ209" s="15" t="n">
        <f aca="false">AA209*N(R209)</f>
        <v>0</v>
      </c>
      <c r="AK209" s="15" t="n">
        <f aca="false">AB209*N(AD209)</f>
        <v>0</v>
      </c>
      <c r="AL209" s="15" t="n">
        <f aca="false">AB209*N(AE209)</f>
        <v>0</v>
      </c>
      <c r="AM209" s="15" t="n">
        <f aca="false">AB209*N(AF209)</f>
        <v>0</v>
      </c>
      <c r="AN209" s="15" t="n">
        <f aca="false">AB209*N(R209)</f>
        <v>0</v>
      </c>
      <c r="AO209" s="21" t="str">
        <f aca="false">IF(F209&lt;&gt;"Y","n/a",IF(AND(N209&lt;&gt;"",OR(Q209&lt;&gt;"",G209="Other / bench",G209="None"),U209&lt;&gt;""),"OK","Missing"))</f>
        <v>Missing</v>
      </c>
    </row>
    <row r="210" customFormat="false" ht="15" hidden="false" customHeight="false" outlineLevel="0" collapsed="false">
      <c r="A210" s="10" t="s">
        <v>339</v>
      </c>
      <c r="B210" s="10" t="s">
        <v>659</v>
      </c>
      <c r="C210" s="10" t="s">
        <v>710</v>
      </c>
      <c r="D210" s="10" t="s">
        <v>661</v>
      </c>
      <c r="E210" s="21" t="str">
        <f aca="false">IF(A210="","",A210&amp;"|"&amp;D210)</f>
        <v>F35|Assay</v>
      </c>
      <c r="F210" s="16" t="s">
        <v>662</v>
      </c>
      <c r="G210" s="16" t="s">
        <v>147</v>
      </c>
      <c r="H210" s="16" t="s">
        <v>672</v>
      </c>
      <c r="I210" s="16" t="n">
        <v>1</v>
      </c>
      <c r="J210" s="16"/>
      <c r="K210" s="14"/>
      <c r="L210" s="14"/>
      <c r="M210" s="14"/>
      <c r="N210" s="14"/>
      <c r="O210" s="14"/>
      <c r="P210" s="18" t="n">
        <f aca="false">IF(N210="",0,IF(OR(M210="",O210=""),N210,(M210+4*N210+O210)/6))</f>
        <v>0</v>
      </c>
      <c r="Q210" s="14"/>
      <c r="R210" s="14"/>
      <c r="S210" s="14"/>
      <c r="T210" s="14"/>
      <c r="U210" s="16"/>
      <c r="V210" s="13"/>
      <c r="W210" s="16" t="s">
        <v>662</v>
      </c>
      <c r="X210" s="16"/>
      <c r="Y210" s="16"/>
      <c r="Z210" s="16"/>
      <c r="AA210" s="22" t="n">
        <f aca="false">IF(F210&lt;&gt;"Y",0,((SUMIF(Products!$E$5:$E$300,A210,Products!$F$5:$F$300)+SUMIF(RM_Lots!$A$5:$A$400,A210,RM_Lots!$D$5:$D$400))+IF(W210="Y",SUMIF(Products!$E$5:$E$300,A210,Products!$G$5:$G$300),0))*(1+N(V210)))</f>
        <v>0</v>
      </c>
      <c r="AB210" s="22" t="n">
        <f aca="false">IF(F210&lt;&gt;"Y",0,((SUMIF(Products!$E$5:$E$300,A210,Products!$K$5:$K$300)+SUMIF(RM_Lots!$A$5:$A$400,A210,RM_Lots!$F$5:$F$400))+IF(W210="Y",SUMIF(Products!$E$5:$E$300,A210,Products!$L$5:$L$300),0))*(1+N(V210)))</f>
        <v>0</v>
      </c>
      <c r="AC210" s="17" t="n">
        <f aca="false">IF(J210="",1,MAX(1,COUNTIFS($J$5:$J$863,J210,$F$5:$F$863,"Y")))</f>
        <v>1</v>
      </c>
      <c r="AD210" s="18" t="n">
        <f aca="false">(MAX(1,N(I210))*(P210+N(S210))+MAX(1,N(I210))*N(K210)/(MAX(1,N(U210))*AC210))*Settings!$B$9</f>
        <v>0</v>
      </c>
      <c r="AE210" s="18" t="n">
        <f aca="false">(MAX(1,N(I210))*N(Q210)+MAX(1,N(I210))*N(L210)/(MAX(1,N(U210))*AC210))*Settings!$B$8</f>
        <v>0</v>
      </c>
      <c r="AF210" s="18" t="n">
        <f aca="false">MAX(1,N(I210))*N(T210)</f>
        <v>0</v>
      </c>
      <c r="AG210" s="15" t="n">
        <f aca="false">AA210*N(AD210)</f>
        <v>0</v>
      </c>
      <c r="AH210" s="15" t="n">
        <f aca="false">AA210*N(AE210)</f>
        <v>0</v>
      </c>
      <c r="AI210" s="15" t="n">
        <f aca="false">AA210*N(AF210)</f>
        <v>0</v>
      </c>
      <c r="AJ210" s="15" t="n">
        <f aca="false">AA210*N(R210)</f>
        <v>0</v>
      </c>
      <c r="AK210" s="15" t="n">
        <f aca="false">AB210*N(AD210)</f>
        <v>0</v>
      </c>
      <c r="AL210" s="15" t="n">
        <f aca="false">AB210*N(AE210)</f>
        <v>0</v>
      </c>
      <c r="AM210" s="15" t="n">
        <f aca="false">AB210*N(AF210)</f>
        <v>0</v>
      </c>
      <c r="AN210" s="15" t="n">
        <f aca="false">AB210*N(R210)</f>
        <v>0</v>
      </c>
      <c r="AO210" s="21" t="str">
        <f aca="false">IF(F210&lt;&gt;"Y","n/a",IF(AND(N210&lt;&gt;"",OR(Q210&lt;&gt;"",G210="Other / bench",G210="None"),U210&lt;&gt;""),"OK","Missing"))</f>
        <v>Missing</v>
      </c>
    </row>
    <row r="211" customFormat="false" ht="15" hidden="false" customHeight="false" outlineLevel="0" collapsed="false">
      <c r="A211" s="10" t="s">
        <v>339</v>
      </c>
      <c r="B211" s="10" t="s">
        <v>659</v>
      </c>
      <c r="C211" s="10" t="s">
        <v>710</v>
      </c>
      <c r="D211" s="10" t="s">
        <v>664</v>
      </c>
      <c r="E211" s="21" t="str">
        <f aca="false">IF(A211="","",A211&amp;"|"&amp;D211)</f>
        <v>F35|Related substances / impurities</v>
      </c>
      <c r="F211" s="16" t="s">
        <v>662</v>
      </c>
      <c r="G211" s="16" t="s">
        <v>147</v>
      </c>
      <c r="H211" s="16" t="s">
        <v>672</v>
      </c>
      <c r="I211" s="16" t="n">
        <v>1</v>
      </c>
      <c r="J211" s="16"/>
      <c r="K211" s="14"/>
      <c r="L211" s="14"/>
      <c r="M211" s="14"/>
      <c r="N211" s="14"/>
      <c r="O211" s="14"/>
      <c r="P211" s="18" t="n">
        <f aca="false">IF(N211="",0,IF(OR(M211="",O211=""),N211,(M211+4*N211+O211)/6))</f>
        <v>0</v>
      </c>
      <c r="Q211" s="14"/>
      <c r="R211" s="14"/>
      <c r="S211" s="14"/>
      <c r="T211" s="14"/>
      <c r="U211" s="16"/>
      <c r="V211" s="13"/>
      <c r="W211" s="16" t="s">
        <v>662</v>
      </c>
      <c r="X211" s="16"/>
      <c r="Y211" s="16"/>
      <c r="Z211" s="16"/>
      <c r="AA211" s="22" t="n">
        <f aca="false">IF(F211&lt;&gt;"Y",0,((SUMIF(Products!$E$5:$E$300,A211,Products!$F$5:$F$300)+SUMIF(RM_Lots!$A$5:$A$400,A211,RM_Lots!$D$5:$D$400))+IF(W211="Y",SUMIF(Products!$E$5:$E$300,A211,Products!$G$5:$G$300),0))*(1+N(V211)))</f>
        <v>0</v>
      </c>
      <c r="AB211" s="22" t="n">
        <f aca="false">IF(F211&lt;&gt;"Y",0,((SUMIF(Products!$E$5:$E$300,A211,Products!$K$5:$K$300)+SUMIF(RM_Lots!$A$5:$A$400,A211,RM_Lots!$F$5:$F$400))+IF(W211="Y",SUMIF(Products!$E$5:$E$300,A211,Products!$L$5:$L$300),0))*(1+N(V211)))</f>
        <v>0</v>
      </c>
      <c r="AC211" s="17" t="n">
        <f aca="false">IF(J211="",1,MAX(1,COUNTIFS($J$5:$J$863,J211,$F$5:$F$863,"Y")))</f>
        <v>1</v>
      </c>
      <c r="AD211" s="18" t="n">
        <f aca="false">(MAX(1,N(I211))*(P211+N(S211))+MAX(1,N(I211))*N(K211)/(MAX(1,N(U211))*AC211))*Settings!$B$9</f>
        <v>0</v>
      </c>
      <c r="AE211" s="18" t="n">
        <f aca="false">(MAX(1,N(I211))*N(Q211)+MAX(1,N(I211))*N(L211)/(MAX(1,N(U211))*AC211))*Settings!$B$8</f>
        <v>0</v>
      </c>
      <c r="AF211" s="18" t="n">
        <f aca="false">MAX(1,N(I211))*N(T211)</f>
        <v>0</v>
      </c>
      <c r="AG211" s="15" t="n">
        <f aca="false">AA211*N(AD211)</f>
        <v>0</v>
      </c>
      <c r="AH211" s="15" t="n">
        <f aca="false">AA211*N(AE211)</f>
        <v>0</v>
      </c>
      <c r="AI211" s="15" t="n">
        <f aca="false">AA211*N(AF211)</f>
        <v>0</v>
      </c>
      <c r="AJ211" s="15" t="n">
        <f aca="false">AA211*N(R211)</f>
        <v>0</v>
      </c>
      <c r="AK211" s="15" t="n">
        <f aca="false">AB211*N(AD211)</f>
        <v>0</v>
      </c>
      <c r="AL211" s="15" t="n">
        <f aca="false">AB211*N(AE211)</f>
        <v>0</v>
      </c>
      <c r="AM211" s="15" t="n">
        <f aca="false">AB211*N(AF211)</f>
        <v>0</v>
      </c>
      <c r="AN211" s="15" t="n">
        <f aca="false">AB211*N(R211)</f>
        <v>0</v>
      </c>
      <c r="AO211" s="21" t="str">
        <f aca="false">IF(F211&lt;&gt;"Y","n/a",IF(AND(N211&lt;&gt;"",OR(Q211&lt;&gt;"",G211="Other / bench",G211="None"),U211&lt;&gt;""),"OK","Missing"))</f>
        <v>Missing</v>
      </c>
    </row>
    <row r="212" customFormat="false" ht="15" hidden="false" customHeight="false" outlineLevel="0" collapsed="false">
      <c r="A212" s="10" t="s">
        <v>339</v>
      </c>
      <c r="B212" s="10" t="s">
        <v>659</v>
      </c>
      <c r="C212" s="10" t="s">
        <v>710</v>
      </c>
      <c r="D212" s="10" t="s">
        <v>665</v>
      </c>
      <c r="E212" s="21" t="str">
        <f aca="false">IF(A212="","",A212&amp;"|"&amp;D212)</f>
        <v>F35|Dissolution</v>
      </c>
      <c r="F212" s="16" t="s">
        <v>662</v>
      </c>
      <c r="G212" s="16" t="s">
        <v>147</v>
      </c>
      <c r="H212" s="16" t="s">
        <v>672</v>
      </c>
      <c r="I212" s="16" t="n">
        <v>1</v>
      </c>
      <c r="J212" s="16"/>
      <c r="K212" s="14"/>
      <c r="L212" s="14"/>
      <c r="M212" s="14"/>
      <c r="N212" s="14"/>
      <c r="O212" s="14"/>
      <c r="P212" s="18" t="n">
        <f aca="false">IF(N212="",0,IF(OR(M212="",O212=""),N212,(M212+4*N212+O212)/6))</f>
        <v>0</v>
      </c>
      <c r="Q212" s="14"/>
      <c r="R212" s="14"/>
      <c r="S212" s="14"/>
      <c r="T212" s="14"/>
      <c r="U212" s="16"/>
      <c r="V212" s="13"/>
      <c r="W212" s="16" t="s">
        <v>662</v>
      </c>
      <c r="X212" s="16"/>
      <c r="Y212" s="16"/>
      <c r="Z212" s="16"/>
      <c r="AA212" s="22" t="n">
        <f aca="false">IF(F212&lt;&gt;"Y",0,((SUMIF(Products!$E$5:$E$300,A212,Products!$F$5:$F$300)+SUMIF(RM_Lots!$A$5:$A$400,A212,RM_Lots!$D$5:$D$400))+IF(W212="Y",SUMIF(Products!$E$5:$E$300,A212,Products!$G$5:$G$300),0))*(1+N(V212)))</f>
        <v>0</v>
      </c>
      <c r="AB212" s="22" t="n">
        <f aca="false">IF(F212&lt;&gt;"Y",0,((SUMIF(Products!$E$5:$E$300,A212,Products!$K$5:$K$300)+SUMIF(RM_Lots!$A$5:$A$400,A212,RM_Lots!$F$5:$F$400))+IF(W212="Y",SUMIF(Products!$E$5:$E$300,A212,Products!$L$5:$L$300),0))*(1+N(V212)))</f>
        <v>0</v>
      </c>
      <c r="AC212" s="17" t="n">
        <f aca="false">IF(J212="",1,MAX(1,COUNTIFS($J$5:$J$863,J212,$F$5:$F$863,"Y")))</f>
        <v>1</v>
      </c>
      <c r="AD212" s="18" t="n">
        <f aca="false">(MAX(1,N(I212))*(P212+N(S212))+MAX(1,N(I212))*N(K212)/(MAX(1,N(U212))*AC212))*Settings!$B$9</f>
        <v>0</v>
      </c>
      <c r="AE212" s="18" t="n">
        <f aca="false">(MAX(1,N(I212))*N(Q212)+MAX(1,N(I212))*N(L212)/(MAX(1,N(U212))*AC212))*Settings!$B$8</f>
        <v>0</v>
      </c>
      <c r="AF212" s="18" t="n">
        <f aca="false">MAX(1,N(I212))*N(T212)</f>
        <v>0</v>
      </c>
      <c r="AG212" s="15" t="n">
        <f aca="false">AA212*N(AD212)</f>
        <v>0</v>
      </c>
      <c r="AH212" s="15" t="n">
        <f aca="false">AA212*N(AE212)</f>
        <v>0</v>
      </c>
      <c r="AI212" s="15" t="n">
        <f aca="false">AA212*N(AF212)</f>
        <v>0</v>
      </c>
      <c r="AJ212" s="15" t="n">
        <f aca="false">AA212*N(R212)</f>
        <v>0</v>
      </c>
      <c r="AK212" s="15" t="n">
        <f aca="false">AB212*N(AD212)</f>
        <v>0</v>
      </c>
      <c r="AL212" s="15" t="n">
        <f aca="false">AB212*N(AE212)</f>
        <v>0</v>
      </c>
      <c r="AM212" s="15" t="n">
        <f aca="false">AB212*N(AF212)</f>
        <v>0</v>
      </c>
      <c r="AN212" s="15" t="n">
        <f aca="false">AB212*N(R212)</f>
        <v>0</v>
      </c>
      <c r="AO212" s="21" t="str">
        <f aca="false">IF(F212&lt;&gt;"Y","n/a",IF(AND(N212&lt;&gt;"",OR(Q212&lt;&gt;"",G212="Other / bench",G212="None"),U212&lt;&gt;""),"OK","Missing"))</f>
        <v>Missing</v>
      </c>
    </row>
    <row r="213" customFormat="false" ht="15" hidden="false" customHeight="false" outlineLevel="0" collapsed="false">
      <c r="A213" s="10" t="s">
        <v>339</v>
      </c>
      <c r="B213" s="10" t="s">
        <v>659</v>
      </c>
      <c r="C213" s="10" t="s">
        <v>710</v>
      </c>
      <c r="D213" s="10" t="s">
        <v>666</v>
      </c>
      <c r="E213" s="21" t="str">
        <f aca="false">IF(A213="","",A213&amp;"|"&amp;D213)</f>
        <v>F35|Content uniformity</v>
      </c>
      <c r="F213" s="16" t="s">
        <v>662</v>
      </c>
      <c r="G213" s="16" t="s">
        <v>147</v>
      </c>
      <c r="H213" s="16" t="s">
        <v>672</v>
      </c>
      <c r="I213" s="16" t="n">
        <v>1</v>
      </c>
      <c r="J213" s="16"/>
      <c r="K213" s="14"/>
      <c r="L213" s="14"/>
      <c r="M213" s="14"/>
      <c r="N213" s="14"/>
      <c r="O213" s="14"/>
      <c r="P213" s="18" t="n">
        <f aca="false">IF(N213="",0,IF(OR(M213="",O213=""),N213,(M213+4*N213+O213)/6))</f>
        <v>0</v>
      </c>
      <c r="Q213" s="14"/>
      <c r="R213" s="14"/>
      <c r="S213" s="14"/>
      <c r="T213" s="14"/>
      <c r="U213" s="16"/>
      <c r="V213" s="13"/>
      <c r="W213" s="16" t="s">
        <v>667</v>
      </c>
      <c r="X213" s="16"/>
      <c r="Y213" s="16"/>
      <c r="Z213" s="16"/>
      <c r="AA213" s="22" t="n">
        <f aca="false">IF(F213&lt;&gt;"Y",0,((SUMIF(Products!$E$5:$E$300,A213,Products!$F$5:$F$300)+SUMIF(RM_Lots!$A$5:$A$400,A213,RM_Lots!$D$5:$D$400))+IF(W213="Y",SUMIF(Products!$E$5:$E$300,A213,Products!$G$5:$G$300),0))*(1+N(V213)))</f>
        <v>0</v>
      </c>
      <c r="AB213" s="22" t="n">
        <f aca="false">IF(F213&lt;&gt;"Y",0,((SUMIF(Products!$E$5:$E$300,A213,Products!$K$5:$K$300)+SUMIF(RM_Lots!$A$5:$A$400,A213,RM_Lots!$F$5:$F$400))+IF(W213="Y",SUMIF(Products!$E$5:$E$300,A213,Products!$L$5:$L$300),0))*(1+N(V213)))</f>
        <v>0</v>
      </c>
      <c r="AC213" s="17" t="n">
        <f aca="false">IF(J213="",1,MAX(1,COUNTIFS($J$5:$J$863,J213,$F$5:$F$863,"Y")))</f>
        <v>1</v>
      </c>
      <c r="AD213" s="18" t="n">
        <f aca="false">(MAX(1,N(I213))*(P213+N(S213))+MAX(1,N(I213))*N(K213)/(MAX(1,N(U213))*AC213))*Settings!$B$9</f>
        <v>0</v>
      </c>
      <c r="AE213" s="18" t="n">
        <f aca="false">(MAX(1,N(I213))*N(Q213)+MAX(1,N(I213))*N(L213)/(MAX(1,N(U213))*AC213))*Settings!$B$8</f>
        <v>0</v>
      </c>
      <c r="AF213" s="18" t="n">
        <f aca="false">MAX(1,N(I213))*N(T213)</f>
        <v>0</v>
      </c>
      <c r="AG213" s="15" t="n">
        <f aca="false">AA213*N(AD213)</f>
        <v>0</v>
      </c>
      <c r="AH213" s="15" t="n">
        <f aca="false">AA213*N(AE213)</f>
        <v>0</v>
      </c>
      <c r="AI213" s="15" t="n">
        <f aca="false">AA213*N(AF213)</f>
        <v>0</v>
      </c>
      <c r="AJ213" s="15" t="n">
        <f aca="false">AA213*N(R213)</f>
        <v>0</v>
      </c>
      <c r="AK213" s="15" t="n">
        <f aca="false">AB213*N(AD213)</f>
        <v>0</v>
      </c>
      <c r="AL213" s="15" t="n">
        <f aca="false">AB213*N(AE213)</f>
        <v>0</v>
      </c>
      <c r="AM213" s="15" t="n">
        <f aca="false">AB213*N(AF213)</f>
        <v>0</v>
      </c>
      <c r="AN213" s="15" t="n">
        <f aca="false">AB213*N(R213)</f>
        <v>0</v>
      </c>
      <c r="AO213" s="21" t="str">
        <f aca="false">IF(F213&lt;&gt;"Y","n/a",IF(AND(N213&lt;&gt;"",OR(Q213&lt;&gt;"",G213="Other / bench",G213="None"),U213&lt;&gt;""),"OK","Missing"))</f>
        <v>Missing</v>
      </c>
    </row>
    <row r="214" customFormat="false" ht="15" hidden="false" customHeight="false" outlineLevel="0" collapsed="false">
      <c r="A214" s="10" t="s">
        <v>339</v>
      </c>
      <c r="B214" s="10" t="s">
        <v>659</v>
      </c>
      <c r="C214" s="10" t="s">
        <v>710</v>
      </c>
      <c r="D214" s="10" t="s">
        <v>668</v>
      </c>
      <c r="E214" s="21" t="str">
        <f aca="false">IF(A214="","",A214&amp;"|"&amp;D214)</f>
        <v>F35|Identification (if separate from assay)</v>
      </c>
      <c r="F214" s="16" t="s">
        <v>667</v>
      </c>
      <c r="G214" s="16" t="s">
        <v>147</v>
      </c>
      <c r="H214" s="16" t="s">
        <v>672</v>
      </c>
      <c r="I214" s="16" t="n">
        <v>1</v>
      </c>
      <c r="J214" s="16"/>
      <c r="K214" s="14"/>
      <c r="L214" s="14"/>
      <c r="M214" s="14"/>
      <c r="N214" s="14"/>
      <c r="O214" s="14"/>
      <c r="P214" s="18" t="n">
        <f aca="false">IF(N214="",0,IF(OR(M214="",O214=""),N214,(M214+4*N214+O214)/6))</f>
        <v>0</v>
      </c>
      <c r="Q214" s="14"/>
      <c r="R214" s="14"/>
      <c r="S214" s="14"/>
      <c r="T214" s="14"/>
      <c r="U214" s="16"/>
      <c r="V214" s="13"/>
      <c r="W214" s="16" t="s">
        <v>667</v>
      </c>
      <c r="X214" s="16"/>
      <c r="Y214" s="16"/>
      <c r="Z214" s="16"/>
      <c r="AA214" s="22" t="n">
        <f aca="false">IF(F214&lt;&gt;"Y",0,((SUMIF(Products!$E$5:$E$300,A214,Products!$F$5:$F$300)+SUMIF(RM_Lots!$A$5:$A$400,A214,RM_Lots!$D$5:$D$400))+IF(W214="Y",SUMIF(Products!$E$5:$E$300,A214,Products!$G$5:$G$300),0))*(1+N(V214)))</f>
        <v>0</v>
      </c>
      <c r="AB214" s="22" t="n">
        <f aca="false">IF(F214&lt;&gt;"Y",0,((SUMIF(Products!$E$5:$E$300,A214,Products!$K$5:$K$300)+SUMIF(RM_Lots!$A$5:$A$400,A214,RM_Lots!$F$5:$F$400))+IF(W214="Y",SUMIF(Products!$E$5:$E$300,A214,Products!$L$5:$L$300),0))*(1+N(V214)))</f>
        <v>0</v>
      </c>
      <c r="AC214" s="17" t="n">
        <f aca="false">IF(J214="",1,MAX(1,COUNTIFS($J$5:$J$863,J214,$F$5:$F$863,"Y")))</f>
        <v>1</v>
      </c>
      <c r="AD214" s="18" t="n">
        <f aca="false">(MAX(1,N(I214))*(P214+N(S214))+MAX(1,N(I214))*N(K214)/(MAX(1,N(U214))*AC214))*Settings!$B$9</f>
        <v>0</v>
      </c>
      <c r="AE214" s="18" t="n">
        <f aca="false">(MAX(1,N(I214))*N(Q214)+MAX(1,N(I214))*N(L214)/(MAX(1,N(U214))*AC214))*Settings!$B$8</f>
        <v>0</v>
      </c>
      <c r="AF214" s="18" t="n">
        <f aca="false">MAX(1,N(I214))*N(T214)</f>
        <v>0</v>
      </c>
      <c r="AG214" s="15" t="n">
        <f aca="false">AA214*N(AD214)</f>
        <v>0</v>
      </c>
      <c r="AH214" s="15" t="n">
        <f aca="false">AA214*N(AE214)</f>
        <v>0</v>
      </c>
      <c r="AI214" s="15" t="n">
        <f aca="false">AA214*N(AF214)</f>
        <v>0</v>
      </c>
      <c r="AJ214" s="15" t="n">
        <f aca="false">AA214*N(R214)</f>
        <v>0</v>
      </c>
      <c r="AK214" s="15" t="n">
        <f aca="false">AB214*N(AD214)</f>
        <v>0</v>
      </c>
      <c r="AL214" s="15" t="n">
        <f aca="false">AB214*N(AE214)</f>
        <v>0</v>
      </c>
      <c r="AM214" s="15" t="n">
        <f aca="false">AB214*N(AF214)</f>
        <v>0</v>
      </c>
      <c r="AN214" s="15" t="n">
        <f aca="false">AB214*N(R214)</f>
        <v>0</v>
      </c>
      <c r="AO214" s="21" t="str">
        <f aca="false">IF(F214&lt;&gt;"Y","n/a",IF(AND(N214&lt;&gt;"",OR(Q214&lt;&gt;"",G214="Other / bench",G214="None"),U214&lt;&gt;""),"OK","Missing"))</f>
        <v>n/a</v>
      </c>
    </row>
    <row r="215" customFormat="false" ht="15" hidden="false" customHeight="false" outlineLevel="0" collapsed="false">
      <c r="A215" s="10" t="s">
        <v>339</v>
      </c>
      <c r="B215" s="10" t="s">
        <v>659</v>
      </c>
      <c r="C215" s="10" t="s">
        <v>710</v>
      </c>
      <c r="D215" s="10" t="s">
        <v>669</v>
      </c>
      <c r="E215" s="21" t="str">
        <f aca="false">IF(A215="","",A215&amp;"|"&amp;D215)</f>
        <v>F35|Other tests (non-HPLC: physical, LOD/KF, disintegration, pH, micro...)</v>
      </c>
      <c r="F215" s="16" t="s">
        <v>662</v>
      </c>
      <c r="G215" s="16" t="s">
        <v>670</v>
      </c>
      <c r="H215" s="16" t="s">
        <v>672</v>
      </c>
      <c r="I215" s="16" t="n">
        <v>1</v>
      </c>
      <c r="J215" s="16"/>
      <c r="K215" s="14"/>
      <c r="L215" s="14"/>
      <c r="M215" s="14"/>
      <c r="N215" s="14"/>
      <c r="O215" s="14"/>
      <c r="P215" s="18" t="n">
        <f aca="false">IF(N215="",0,IF(OR(M215="",O215=""),N215,(M215+4*N215+O215)/6))</f>
        <v>0</v>
      </c>
      <c r="Q215" s="14"/>
      <c r="R215" s="14"/>
      <c r="S215" s="14"/>
      <c r="T215" s="14"/>
      <c r="U215" s="16"/>
      <c r="V215" s="13"/>
      <c r="W215" s="16" t="s">
        <v>662</v>
      </c>
      <c r="X215" s="16"/>
      <c r="Y215" s="16"/>
      <c r="Z215" s="16"/>
      <c r="AA215" s="22" t="n">
        <f aca="false">IF(F215&lt;&gt;"Y",0,((SUMIF(Products!$E$5:$E$300,A215,Products!$F$5:$F$300)+SUMIF(RM_Lots!$A$5:$A$400,A215,RM_Lots!$D$5:$D$400))+IF(W215="Y",SUMIF(Products!$E$5:$E$300,A215,Products!$G$5:$G$300),0))*(1+N(V215)))</f>
        <v>0</v>
      </c>
      <c r="AB215" s="22" t="n">
        <f aca="false">IF(F215&lt;&gt;"Y",0,((SUMIF(Products!$E$5:$E$300,A215,Products!$K$5:$K$300)+SUMIF(RM_Lots!$A$5:$A$400,A215,RM_Lots!$F$5:$F$400))+IF(W215="Y",SUMIF(Products!$E$5:$E$300,A215,Products!$L$5:$L$300),0))*(1+N(V215)))</f>
        <v>0</v>
      </c>
      <c r="AC215" s="17" t="n">
        <f aca="false">IF(J215="",1,MAX(1,COUNTIFS($J$5:$J$863,J215,$F$5:$F$863,"Y")))</f>
        <v>1</v>
      </c>
      <c r="AD215" s="18" t="n">
        <f aca="false">(MAX(1,N(I215))*(P215+N(S215))+MAX(1,N(I215))*N(K215)/(MAX(1,N(U215))*AC215))*Settings!$B$9</f>
        <v>0</v>
      </c>
      <c r="AE215" s="18" t="n">
        <f aca="false">(MAX(1,N(I215))*N(Q215)+MAX(1,N(I215))*N(L215)/(MAX(1,N(U215))*AC215))*Settings!$B$8</f>
        <v>0</v>
      </c>
      <c r="AF215" s="18" t="n">
        <f aca="false">MAX(1,N(I215))*N(T215)</f>
        <v>0</v>
      </c>
      <c r="AG215" s="15" t="n">
        <f aca="false">AA215*N(AD215)</f>
        <v>0</v>
      </c>
      <c r="AH215" s="15" t="n">
        <f aca="false">AA215*N(AE215)</f>
        <v>0</v>
      </c>
      <c r="AI215" s="15" t="n">
        <f aca="false">AA215*N(AF215)</f>
        <v>0</v>
      </c>
      <c r="AJ215" s="15" t="n">
        <f aca="false">AA215*N(R215)</f>
        <v>0</v>
      </c>
      <c r="AK215" s="15" t="n">
        <f aca="false">AB215*N(AD215)</f>
        <v>0</v>
      </c>
      <c r="AL215" s="15" t="n">
        <f aca="false">AB215*N(AE215)</f>
        <v>0</v>
      </c>
      <c r="AM215" s="15" t="n">
        <f aca="false">AB215*N(AF215)</f>
        <v>0</v>
      </c>
      <c r="AN215" s="15" t="n">
        <f aca="false">AB215*N(R215)</f>
        <v>0</v>
      </c>
      <c r="AO215" s="21" t="str">
        <f aca="false">IF(F215&lt;&gt;"Y","n/a",IF(AND(N215&lt;&gt;"",OR(Q215&lt;&gt;"",G215="Other / bench",G215="None"),U215&lt;&gt;""),"OK","Missing"))</f>
        <v>Missing</v>
      </c>
    </row>
    <row r="216" customFormat="false" ht="15" hidden="false" customHeight="false" outlineLevel="0" collapsed="false">
      <c r="A216" s="10" t="s">
        <v>342</v>
      </c>
      <c r="B216" s="10" t="s">
        <v>659</v>
      </c>
      <c r="C216" s="10" t="s">
        <v>711</v>
      </c>
      <c r="D216" s="10" t="s">
        <v>661</v>
      </c>
      <c r="E216" s="21" t="str">
        <f aca="false">IF(A216="","",A216&amp;"|"&amp;D216)</f>
        <v>F36|Assay</v>
      </c>
      <c r="F216" s="16" t="s">
        <v>662</v>
      </c>
      <c r="G216" s="16" t="s">
        <v>147</v>
      </c>
      <c r="H216" s="16" t="s">
        <v>663</v>
      </c>
      <c r="I216" s="16" t="n">
        <v>1</v>
      </c>
      <c r="J216" s="16"/>
      <c r="K216" s="14"/>
      <c r="L216" s="14"/>
      <c r="M216" s="14"/>
      <c r="N216" s="14"/>
      <c r="O216" s="14"/>
      <c r="P216" s="18" t="n">
        <f aca="false">IF(N216="",0,IF(OR(M216="",O216=""),N216,(M216+4*N216+O216)/6))</f>
        <v>0</v>
      </c>
      <c r="Q216" s="14"/>
      <c r="R216" s="14"/>
      <c r="S216" s="14"/>
      <c r="T216" s="14"/>
      <c r="U216" s="16"/>
      <c r="V216" s="13"/>
      <c r="W216" s="16" t="s">
        <v>662</v>
      </c>
      <c r="X216" s="16"/>
      <c r="Y216" s="16"/>
      <c r="Z216" s="16"/>
      <c r="AA216" s="22" t="n">
        <f aca="false">IF(F216&lt;&gt;"Y",0,((SUMIF(Products!$E$5:$E$300,A216,Products!$F$5:$F$300)+SUMIF(RM_Lots!$A$5:$A$400,A216,RM_Lots!$D$5:$D$400))+IF(W216="Y",SUMIF(Products!$E$5:$E$300,A216,Products!$G$5:$G$300),0))*(1+N(V216)))</f>
        <v>0</v>
      </c>
      <c r="AB216" s="22" t="n">
        <f aca="false">IF(F216&lt;&gt;"Y",0,((SUMIF(Products!$E$5:$E$300,A216,Products!$K$5:$K$300)+SUMIF(RM_Lots!$A$5:$A$400,A216,RM_Lots!$F$5:$F$400))+IF(W216="Y",SUMIF(Products!$E$5:$E$300,A216,Products!$L$5:$L$300),0))*(1+N(V216)))</f>
        <v>0</v>
      </c>
      <c r="AC216" s="17" t="n">
        <f aca="false">IF(J216="",1,MAX(1,COUNTIFS($J$5:$J$863,J216,$F$5:$F$863,"Y")))</f>
        <v>1</v>
      </c>
      <c r="AD216" s="18" t="n">
        <f aca="false">(MAX(1,N(I216))*(P216+N(S216))+MAX(1,N(I216))*N(K216)/(MAX(1,N(U216))*AC216))*Settings!$B$9</f>
        <v>0</v>
      </c>
      <c r="AE216" s="18" t="n">
        <f aca="false">(MAX(1,N(I216))*N(Q216)+MAX(1,N(I216))*N(L216)/(MAX(1,N(U216))*AC216))*Settings!$B$8</f>
        <v>0</v>
      </c>
      <c r="AF216" s="18" t="n">
        <f aca="false">MAX(1,N(I216))*N(T216)</f>
        <v>0</v>
      </c>
      <c r="AG216" s="15" t="n">
        <f aca="false">AA216*N(AD216)</f>
        <v>0</v>
      </c>
      <c r="AH216" s="15" t="n">
        <f aca="false">AA216*N(AE216)</f>
        <v>0</v>
      </c>
      <c r="AI216" s="15" t="n">
        <f aca="false">AA216*N(AF216)</f>
        <v>0</v>
      </c>
      <c r="AJ216" s="15" t="n">
        <f aca="false">AA216*N(R216)</f>
        <v>0</v>
      </c>
      <c r="AK216" s="15" t="n">
        <f aca="false">AB216*N(AD216)</f>
        <v>0</v>
      </c>
      <c r="AL216" s="15" t="n">
        <f aca="false">AB216*N(AE216)</f>
        <v>0</v>
      </c>
      <c r="AM216" s="15" t="n">
        <f aca="false">AB216*N(AF216)</f>
        <v>0</v>
      </c>
      <c r="AN216" s="15" t="n">
        <f aca="false">AB216*N(R216)</f>
        <v>0</v>
      </c>
      <c r="AO216" s="21" t="str">
        <f aca="false">IF(F216&lt;&gt;"Y","n/a",IF(AND(N216&lt;&gt;"",OR(Q216&lt;&gt;"",G216="Other / bench",G216="None"),U216&lt;&gt;""),"OK","Missing"))</f>
        <v>Missing</v>
      </c>
    </row>
    <row r="217" customFormat="false" ht="15" hidden="false" customHeight="false" outlineLevel="0" collapsed="false">
      <c r="A217" s="10" t="s">
        <v>342</v>
      </c>
      <c r="B217" s="10" t="s">
        <v>659</v>
      </c>
      <c r="C217" s="10" t="s">
        <v>711</v>
      </c>
      <c r="D217" s="10" t="s">
        <v>664</v>
      </c>
      <c r="E217" s="21" t="str">
        <f aca="false">IF(A217="","",A217&amp;"|"&amp;D217)</f>
        <v>F36|Related substances / impurities</v>
      </c>
      <c r="F217" s="16" t="s">
        <v>662</v>
      </c>
      <c r="G217" s="16" t="s">
        <v>147</v>
      </c>
      <c r="H217" s="16" t="s">
        <v>663</v>
      </c>
      <c r="I217" s="16" t="n">
        <v>1</v>
      </c>
      <c r="J217" s="16"/>
      <c r="K217" s="14"/>
      <c r="L217" s="14"/>
      <c r="M217" s="14"/>
      <c r="N217" s="14"/>
      <c r="O217" s="14"/>
      <c r="P217" s="18" t="n">
        <f aca="false">IF(N217="",0,IF(OR(M217="",O217=""),N217,(M217+4*N217+O217)/6))</f>
        <v>0</v>
      </c>
      <c r="Q217" s="14"/>
      <c r="R217" s="14"/>
      <c r="S217" s="14"/>
      <c r="T217" s="14"/>
      <c r="U217" s="16"/>
      <c r="V217" s="13"/>
      <c r="W217" s="16" t="s">
        <v>662</v>
      </c>
      <c r="X217" s="16"/>
      <c r="Y217" s="16"/>
      <c r="Z217" s="16"/>
      <c r="AA217" s="22" t="n">
        <f aca="false">IF(F217&lt;&gt;"Y",0,((SUMIF(Products!$E$5:$E$300,A217,Products!$F$5:$F$300)+SUMIF(RM_Lots!$A$5:$A$400,A217,RM_Lots!$D$5:$D$400))+IF(W217="Y",SUMIF(Products!$E$5:$E$300,A217,Products!$G$5:$G$300),0))*(1+N(V217)))</f>
        <v>0</v>
      </c>
      <c r="AB217" s="22" t="n">
        <f aca="false">IF(F217&lt;&gt;"Y",0,((SUMIF(Products!$E$5:$E$300,A217,Products!$K$5:$K$300)+SUMIF(RM_Lots!$A$5:$A$400,A217,RM_Lots!$F$5:$F$400))+IF(W217="Y",SUMIF(Products!$E$5:$E$300,A217,Products!$L$5:$L$300),0))*(1+N(V217)))</f>
        <v>0</v>
      </c>
      <c r="AC217" s="17" t="n">
        <f aca="false">IF(J217="",1,MAX(1,COUNTIFS($J$5:$J$863,J217,$F$5:$F$863,"Y")))</f>
        <v>1</v>
      </c>
      <c r="AD217" s="18" t="n">
        <f aca="false">(MAX(1,N(I217))*(P217+N(S217))+MAX(1,N(I217))*N(K217)/(MAX(1,N(U217))*AC217))*Settings!$B$9</f>
        <v>0</v>
      </c>
      <c r="AE217" s="18" t="n">
        <f aca="false">(MAX(1,N(I217))*N(Q217)+MAX(1,N(I217))*N(L217)/(MAX(1,N(U217))*AC217))*Settings!$B$8</f>
        <v>0</v>
      </c>
      <c r="AF217" s="18" t="n">
        <f aca="false">MAX(1,N(I217))*N(T217)</f>
        <v>0</v>
      </c>
      <c r="AG217" s="15" t="n">
        <f aca="false">AA217*N(AD217)</f>
        <v>0</v>
      </c>
      <c r="AH217" s="15" t="n">
        <f aca="false">AA217*N(AE217)</f>
        <v>0</v>
      </c>
      <c r="AI217" s="15" t="n">
        <f aca="false">AA217*N(AF217)</f>
        <v>0</v>
      </c>
      <c r="AJ217" s="15" t="n">
        <f aca="false">AA217*N(R217)</f>
        <v>0</v>
      </c>
      <c r="AK217" s="15" t="n">
        <f aca="false">AB217*N(AD217)</f>
        <v>0</v>
      </c>
      <c r="AL217" s="15" t="n">
        <f aca="false">AB217*N(AE217)</f>
        <v>0</v>
      </c>
      <c r="AM217" s="15" t="n">
        <f aca="false">AB217*N(AF217)</f>
        <v>0</v>
      </c>
      <c r="AN217" s="15" t="n">
        <f aca="false">AB217*N(R217)</f>
        <v>0</v>
      </c>
      <c r="AO217" s="21" t="str">
        <f aca="false">IF(F217&lt;&gt;"Y","n/a",IF(AND(N217&lt;&gt;"",OR(Q217&lt;&gt;"",G217="Other / bench",G217="None"),U217&lt;&gt;""),"OK","Missing"))</f>
        <v>Missing</v>
      </c>
    </row>
    <row r="218" customFormat="false" ht="15" hidden="false" customHeight="false" outlineLevel="0" collapsed="false">
      <c r="A218" s="10" t="s">
        <v>342</v>
      </c>
      <c r="B218" s="10" t="s">
        <v>659</v>
      </c>
      <c r="C218" s="10" t="s">
        <v>711</v>
      </c>
      <c r="D218" s="10" t="s">
        <v>665</v>
      </c>
      <c r="E218" s="21" t="str">
        <f aca="false">IF(A218="","",A218&amp;"|"&amp;D218)</f>
        <v>F36|Dissolution</v>
      </c>
      <c r="F218" s="16" t="s">
        <v>662</v>
      </c>
      <c r="G218" s="16" t="s">
        <v>147</v>
      </c>
      <c r="H218" s="16" t="s">
        <v>663</v>
      </c>
      <c r="I218" s="16" t="n">
        <v>1</v>
      </c>
      <c r="J218" s="16"/>
      <c r="K218" s="14"/>
      <c r="L218" s="14"/>
      <c r="M218" s="14"/>
      <c r="N218" s="14"/>
      <c r="O218" s="14"/>
      <c r="P218" s="18" t="n">
        <f aca="false">IF(N218="",0,IF(OR(M218="",O218=""),N218,(M218+4*N218+O218)/6))</f>
        <v>0</v>
      </c>
      <c r="Q218" s="14"/>
      <c r="R218" s="14"/>
      <c r="S218" s="14"/>
      <c r="T218" s="14"/>
      <c r="U218" s="16"/>
      <c r="V218" s="13"/>
      <c r="W218" s="16" t="s">
        <v>662</v>
      </c>
      <c r="X218" s="16"/>
      <c r="Y218" s="16"/>
      <c r="Z218" s="16"/>
      <c r="AA218" s="22" t="n">
        <f aca="false">IF(F218&lt;&gt;"Y",0,((SUMIF(Products!$E$5:$E$300,A218,Products!$F$5:$F$300)+SUMIF(RM_Lots!$A$5:$A$400,A218,RM_Lots!$D$5:$D$400))+IF(W218="Y",SUMIF(Products!$E$5:$E$300,A218,Products!$G$5:$G$300),0))*(1+N(V218)))</f>
        <v>0</v>
      </c>
      <c r="AB218" s="22" t="n">
        <f aca="false">IF(F218&lt;&gt;"Y",0,((SUMIF(Products!$E$5:$E$300,A218,Products!$K$5:$K$300)+SUMIF(RM_Lots!$A$5:$A$400,A218,RM_Lots!$F$5:$F$400))+IF(W218="Y",SUMIF(Products!$E$5:$E$300,A218,Products!$L$5:$L$300),0))*(1+N(V218)))</f>
        <v>0</v>
      </c>
      <c r="AC218" s="17" t="n">
        <f aca="false">IF(J218="",1,MAX(1,COUNTIFS($J$5:$J$863,J218,$F$5:$F$863,"Y")))</f>
        <v>1</v>
      </c>
      <c r="AD218" s="18" t="n">
        <f aca="false">(MAX(1,N(I218))*(P218+N(S218))+MAX(1,N(I218))*N(K218)/(MAX(1,N(U218))*AC218))*Settings!$B$9</f>
        <v>0</v>
      </c>
      <c r="AE218" s="18" t="n">
        <f aca="false">(MAX(1,N(I218))*N(Q218)+MAX(1,N(I218))*N(L218)/(MAX(1,N(U218))*AC218))*Settings!$B$8</f>
        <v>0</v>
      </c>
      <c r="AF218" s="18" t="n">
        <f aca="false">MAX(1,N(I218))*N(T218)</f>
        <v>0</v>
      </c>
      <c r="AG218" s="15" t="n">
        <f aca="false">AA218*N(AD218)</f>
        <v>0</v>
      </c>
      <c r="AH218" s="15" t="n">
        <f aca="false">AA218*N(AE218)</f>
        <v>0</v>
      </c>
      <c r="AI218" s="15" t="n">
        <f aca="false">AA218*N(AF218)</f>
        <v>0</v>
      </c>
      <c r="AJ218" s="15" t="n">
        <f aca="false">AA218*N(R218)</f>
        <v>0</v>
      </c>
      <c r="AK218" s="15" t="n">
        <f aca="false">AB218*N(AD218)</f>
        <v>0</v>
      </c>
      <c r="AL218" s="15" t="n">
        <f aca="false">AB218*N(AE218)</f>
        <v>0</v>
      </c>
      <c r="AM218" s="15" t="n">
        <f aca="false">AB218*N(AF218)</f>
        <v>0</v>
      </c>
      <c r="AN218" s="15" t="n">
        <f aca="false">AB218*N(R218)</f>
        <v>0</v>
      </c>
      <c r="AO218" s="21" t="str">
        <f aca="false">IF(F218&lt;&gt;"Y","n/a",IF(AND(N218&lt;&gt;"",OR(Q218&lt;&gt;"",G218="Other / bench",G218="None"),U218&lt;&gt;""),"OK","Missing"))</f>
        <v>Missing</v>
      </c>
    </row>
    <row r="219" customFormat="false" ht="15" hidden="false" customHeight="false" outlineLevel="0" collapsed="false">
      <c r="A219" s="10" t="s">
        <v>342</v>
      </c>
      <c r="B219" s="10" t="s">
        <v>659</v>
      </c>
      <c r="C219" s="10" t="s">
        <v>711</v>
      </c>
      <c r="D219" s="10" t="s">
        <v>666</v>
      </c>
      <c r="E219" s="21" t="str">
        <f aca="false">IF(A219="","",A219&amp;"|"&amp;D219)</f>
        <v>F36|Content uniformity</v>
      </c>
      <c r="F219" s="16" t="s">
        <v>662</v>
      </c>
      <c r="G219" s="16" t="s">
        <v>147</v>
      </c>
      <c r="H219" s="16" t="s">
        <v>663</v>
      </c>
      <c r="I219" s="16" t="n">
        <v>1</v>
      </c>
      <c r="J219" s="16"/>
      <c r="K219" s="14"/>
      <c r="L219" s="14"/>
      <c r="M219" s="14"/>
      <c r="N219" s="14"/>
      <c r="O219" s="14"/>
      <c r="P219" s="18" t="n">
        <f aca="false">IF(N219="",0,IF(OR(M219="",O219=""),N219,(M219+4*N219+O219)/6))</f>
        <v>0</v>
      </c>
      <c r="Q219" s="14"/>
      <c r="R219" s="14"/>
      <c r="S219" s="14"/>
      <c r="T219" s="14"/>
      <c r="U219" s="16"/>
      <c r="V219" s="13"/>
      <c r="W219" s="16" t="s">
        <v>667</v>
      </c>
      <c r="X219" s="16"/>
      <c r="Y219" s="16"/>
      <c r="Z219" s="16"/>
      <c r="AA219" s="22" t="n">
        <f aca="false">IF(F219&lt;&gt;"Y",0,((SUMIF(Products!$E$5:$E$300,A219,Products!$F$5:$F$300)+SUMIF(RM_Lots!$A$5:$A$400,A219,RM_Lots!$D$5:$D$400))+IF(W219="Y",SUMIF(Products!$E$5:$E$300,A219,Products!$G$5:$G$300),0))*(1+N(V219)))</f>
        <v>0</v>
      </c>
      <c r="AB219" s="22" t="n">
        <f aca="false">IF(F219&lt;&gt;"Y",0,((SUMIF(Products!$E$5:$E$300,A219,Products!$K$5:$K$300)+SUMIF(RM_Lots!$A$5:$A$400,A219,RM_Lots!$F$5:$F$400))+IF(W219="Y",SUMIF(Products!$E$5:$E$300,A219,Products!$L$5:$L$300),0))*(1+N(V219)))</f>
        <v>0</v>
      </c>
      <c r="AC219" s="17" t="n">
        <f aca="false">IF(J219="",1,MAX(1,COUNTIFS($J$5:$J$863,J219,$F$5:$F$863,"Y")))</f>
        <v>1</v>
      </c>
      <c r="AD219" s="18" t="n">
        <f aca="false">(MAX(1,N(I219))*(P219+N(S219))+MAX(1,N(I219))*N(K219)/(MAX(1,N(U219))*AC219))*Settings!$B$9</f>
        <v>0</v>
      </c>
      <c r="AE219" s="18" t="n">
        <f aca="false">(MAX(1,N(I219))*N(Q219)+MAX(1,N(I219))*N(L219)/(MAX(1,N(U219))*AC219))*Settings!$B$8</f>
        <v>0</v>
      </c>
      <c r="AF219" s="18" t="n">
        <f aca="false">MAX(1,N(I219))*N(T219)</f>
        <v>0</v>
      </c>
      <c r="AG219" s="15" t="n">
        <f aca="false">AA219*N(AD219)</f>
        <v>0</v>
      </c>
      <c r="AH219" s="15" t="n">
        <f aca="false">AA219*N(AE219)</f>
        <v>0</v>
      </c>
      <c r="AI219" s="15" t="n">
        <f aca="false">AA219*N(AF219)</f>
        <v>0</v>
      </c>
      <c r="AJ219" s="15" t="n">
        <f aca="false">AA219*N(R219)</f>
        <v>0</v>
      </c>
      <c r="AK219" s="15" t="n">
        <f aca="false">AB219*N(AD219)</f>
        <v>0</v>
      </c>
      <c r="AL219" s="15" t="n">
        <f aca="false">AB219*N(AE219)</f>
        <v>0</v>
      </c>
      <c r="AM219" s="15" t="n">
        <f aca="false">AB219*N(AF219)</f>
        <v>0</v>
      </c>
      <c r="AN219" s="15" t="n">
        <f aca="false">AB219*N(R219)</f>
        <v>0</v>
      </c>
      <c r="AO219" s="21" t="str">
        <f aca="false">IF(F219&lt;&gt;"Y","n/a",IF(AND(N219&lt;&gt;"",OR(Q219&lt;&gt;"",G219="Other / bench",G219="None"),U219&lt;&gt;""),"OK","Missing"))</f>
        <v>Missing</v>
      </c>
    </row>
    <row r="220" customFormat="false" ht="15" hidden="false" customHeight="false" outlineLevel="0" collapsed="false">
      <c r="A220" s="10" t="s">
        <v>342</v>
      </c>
      <c r="B220" s="10" t="s">
        <v>659</v>
      </c>
      <c r="C220" s="10" t="s">
        <v>711</v>
      </c>
      <c r="D220" s="10" t="s">
        <v>668</v>
      </c>
      <c r="E220" s="21" t="str">
        <f aca="false">IF(A220="","",A220&amp;"|"&amp;D220)</f>
        <v>F36|Identification (if separate from assay)</v>
      </c>
      <c r="F220" s="16" t="s">
        <v>667</v>
      </c>
      <c r="G220" s="16" t="s">
        <v>147</v>
      </c>
      <c r="H220" s="16" t="s">
        <v>663</v>
      </c>
      <c r="I220" s="16" t="n">
        <v>1</v>
      </c>
      <c r="J220" s="16"/>
      <c r="K220" s="14"/>
      <c r="L220" s="14"/>
      <c r="M220" s="14"/>
      <c r="N220" s="14"/>
      <c r="O220" s="14"/>
      <c r="P220" s="18" t="n">
        <f aca="false">IF(N220="",0,IF(OR(M220="",O220=""),N220,(M220+4*N220+O220)/6))</f>
        <v>0</v>
      </c>
      <c r="Q220" s="14"/>
      <c r="R220" s="14"/>
      <c r="S220" s="14"/>
      <c r="T220" s="14"/>
      <c r="U220" s="16"/>
      <c r="V220" s="13"/>
      <c r="W220" s="16" t="s">
        <v>667</v>
      </c>
      <c r="X220" s="16"/>
      <c r="Y220" s="16"/>
      <c r="Z220" s="16"/>
      <c r="AA220" s="22" t="n">
        <f aca="false">IF(F220&lt;&gt;"Y",0,((SUMIF(Products!$E$5:$E$300,A220,Products!$F$5:$F$300)+SUMIF(RM_Lots!$A$5:$A$400,A220,RM_Lots!$D$5:$D$400))+IF(W220="Y",SUMIF(Products!$E$5:$E$300,A220,Products!$G$5:$G$300),0))*(1+N(V220)))</f>
        <v>0</v>
      </c>
      <c r="AB220" s="22" t="n">
        <f aca="false">IF(F220&lt;&gt;"Y",0,((SUMIF(Products!$E$5:$E$300,A220,Products!$K$5:$K$300)+SUMIF(RM_Lots!$A$5:$A$400,A220,RM_Lots!$F$5:$F$400))+IF(W220="Y",SUMIF(Products!$E$5:$E$300,A220,Products!$L$5:$L$300),0))*(1+N(V220)))</f>
        <v>0</v>
      </c>
      <c r="AC220" s="17" t="n">
        <f aca="false">IF(J220="",1,MAX(1,COUNTIFS($J$5:$J$863,J220,$F$5:$F$863,"Y")))</f>
        <v>1</v>
      </c>
      <c r="AD220" s="18" t="n">
        <f aca="false">(MAX(1,N(I220))*(P220+N(S220))+MAX(1,N(I220))*N(K220)/(MAX(1,N(U220))*AC220))*Settings!$B$9</f>
        <v>0</v>
      </c>
      <c r="AE220" s="18" t="n">
        <f aca="false">(MAX(1,N(I220))*N(Q220)+MAX(1,N(I220))*N(L220)/(MAX(1,N(U220))*AC220))*Settings!$B$8</f>
        <v>0</v>
      </c>
      <c r="AF220" s="18" t="n">
        <f aca="false">MAX(1,N(I220))*N(T220)</f>
        <v>0</v>
      </c>
      <c r="AG220" s="15" t="n">
        <f aca="false">AA220*N(AD220)</f>
        <v>0</v>
      </c>
      <c r="AH220" s="15" t="n">
        <f aca="false">AA220*N(AE220)</f>
        <v>0</v>
      </c>
      <c r="AI220" s="15" t="n">
        <f aca="false">AA220*N(AF220)</f>
        <v>0</v>
      </c>
      <c r="AJ220" s="15" t="n">
        <f aca="false">AA220*N(R220)</f>
        <v>0</v>
      </c>
      <c r="AK220" s="15" t="n">
        <f aca="false">AB220*N(AD220)</f>
        <v>0</v>
      </c>
      <c r="AL220" s="15" t="n">
        <f aca="false">AB220*N(AE220)</f>
        <v>0</v>
      </c>
      <c r="AM220" s="15" t="n">
        <f aca="false">AB220*N(AF220)</f>
        <v>0</v>
      </c>
      <c r="AN220" s="15" t="n">
        <f aca="false">AB220*N(R220)</f>
        <v>0</v>
      </c>
      <c r="AO220" s="21" t="str">
        <f aca="false">IF(F220&lt;&gt;"Y","n/a",IF(AND(N220&lt;&gt;"",OR(Q220&lt;&gt;"",G220="Other / bench",G220="None"),U220&lt;&gt;""),"OK","Missing"))</f>
        <v>n/a</v>
      </c>
    </row>
    <row r="221" customFormat="false" ht="15" hidden="false" customHeight="false" outlineLevel="0" collapsed="false">
      <c r="A221" s="10" t="s">
        <v>342</v>
      </c>
      <c r="B221" s="10" t="s">
        <v>659</v>
      </c>
      <c r="C221" s="10" t="s">
        <v>711</v>
      </c>
      <c r="D221" s="10" t="s">
        <v>669</v>
      </c>
      <c r="E221" s="21" t="str">
        <f aca="false">IF(A221="","",A221&amp;"|"&amp;D221)</f>
        <v>F36|Other tests (non-HPLC: physical, LOD/KF, disintegration, pH, micro...)</v>
      </c>
      <c r="F221" s="16" t="s">
        <v>662</v>
      </c>
      <c r="G221" s="16" t="s">
        <v>670</v>
      </c>
      <c r="H221" s="16" t="s">
        <v>663</v>
      </c>
      <c r="I221" s="16" t="n">
        <v>1</v>
      </c>
      <c r="J221" s="16"/>
      <c r="K221" s="14"/>
      <c r="L221" s="14"/>
      <c r="M221" s="14"/>
      <c r="N221" s="14"/>
      <c r="O221" s="14"/>
      <c r="P221" s="18" t="n">
        <f aca="false">IF(N221="",0,IF(OR(M221="",O221=""),N221,(M221+4*N221+O221)/6))</f>
        <v>0</v>
      </c>
      <c r="Q221" s="14"/>
      <c r="R221" s="14"/>
      <c r="S221" s="14"/>
      <c r="T221" s="14"/>
      <c r="U221" s="16"/>
      <c r="V221" s="13"/>
      <c r="W221" s="16" t="s">
        <v>662</v>
      </c>
      <c r="X221" s="16"/>
      <c r="Y221" s="16"/>
      <c r="Z221" s="16"/>
      <c r="AA221" s="22" t="n">
        <f aca="false">IF(F221&lt;&gt;"Y",0,((SUMIF(Products!$E$5:$E$300,A221,Products!$F$5:$F$300)+SUMIF(RM_Lots!$A$5:$A$400,A221,RM_Lots!$D$5:$D$400))+IF(W221="Y",SUMIF(Products!$E$5:$E$300,A221,Products!$G$5:$G$300),0))*(1+N(V221)))</f>
        <v>0</v>
      </c>
      <c r="AB221" s="22" t="n">
        <f aca="false">IF(F221&lt;&gt;"Y",0,((SUMIF(Products!$E$5:$E$300,A221,Products!$K$5:$K$300)+SUMIF(RM_Lots!$A$5:$A$400,A221,RM_Lots!$F$5:$F$400))+IF(W221="Y",SUMIF(Products!$E$5:$E$300,A221,Products!$L$5:$L$300),0))*(1+N(V221)))</f>
        <v>0</v>
      </c>
      <c r="AC221" s="17" t="n">
        <f aca="false">IF(J221="",1,MAX(1,COUNTIFS($J$5:$J$863,J221,$F$5:$F$863,"Y")))</f>
        <v>1</v>
      </c>
      <c r="AD221" s="18" t="n">
        <f aca="false">(MAX(1,N(I221))*(P221+N(S221))+MAX(1,N(I221))*N(K221)/(MAX(1,N(U221))*AC221))*Settings!$B$9</f>
        <v>0</v>
      </c>
      <c r="AE221" s="18" t="n">
        <f aca="false">(MAX(1,N(I221))*N(Q221)+MAX(1,N(I221))*N(L221)/(MAX(1,N(U221))*AC221))*Settings!$B$8</f>
        <v>0</v>
      </c>
      <c r="AF221" s="18" t="n">
        <f aca="false">MAX(1,N(I221))*N(T221)</f>
        <v>0</v>
      </c>
      <c r="AG221" s="15" t="n">
        <f aca="false">AA221*N(AD221)</f>
        <v>0</v>
      </c>
      <c r="AH221" s="15" t="n">
        <f aca="false">AA221*N(AE221)</f>
        <v>0</v>
      </c>
      <c r="AI221" s="15" t="n">
        <f aca="false">AA221*N(AF221)</f>
        <v>0</v>
      </c>
      <c r="AJ221" s="15" t="n">
        <f aca="false">AA221*N(R221)</f>
        <v>0</v>
      </c>
      <c r="AK221" s="15" t="n">
        <f aca="false">AB221*N(AD221)</f>
        <v>0</v>
      </c>
      <c r="AL221" s="15" t="n">
        <f aca="false">AB221*N(AE221)</f>
        <v>0</v>
      </c>
      <c r="AM221" s="15" t="n">
        <f aca="false">AB221*N(AF221)</f>
        <v>0</v>
      </c>
      <c r="AN221" s="15" t="n">
        <f aca="false">AB221*N(R221)</f>
        <v>0</v>
      </c>
      <c r="AO221" s="21" t="str">
        <f aca="false">IF(F221&lt;&gt;"Y","n/a",IF(AND(N221&lt;&gt;"",OR(Q221&lt;&gt;"",G221="Other / bench",G221="None"),U221&lt;&gt;""),"OK","Missing"))</f>
        <v>Missing</v>
      </c>
    </row>
    <row r="222" customFormat="false" ht="15" hidden="false" customHeight="false" outlineLevel="0" collapsed="false">
      <c r="A222" s="10" t="s">
        <v>344</v>
      </c>
      <c r="B222" s="10" t="s">
        <v>659</v>
      </c>
      <c r="C222" s="10" t="s">
        <v>712</v>
      </c>
      <c r="D222" s="10" t="s">
        <v>661</v>
      </c>
      <c r="E222" s="21" t="str">
        <f aca="false">IF(A222="","",A222&amp;"|"&amp;D222)</f>
        <v>F37|Assay</v>
      </c>
      <c r="F222" s="16" t="s">
        <v>662</v>
      </c>
      <c r="G222" s="16" t="s">
        <v>147</v>
      </c>
      <c r="H222" s="16" t="s">
        <v>663</v>
      </c>
      <c r="I222" s="16" t="n">
        <v>1</v>
      </c>
      <c r="J222" s="16"/>
      <c r="K222" s="14"/>
      <c r="L222" s="14"/>
      <c r="M222" s="14"/>
      <c r="N222" s="14"/>
      <c r="O222" s="14"/>
      <c r="P222" s="18" t="n">
        <f aca="false">IF(N222="",0,IF(OR(M222="",O222=""),N222,(M222+4*N222+O222)/6))</f>
        <v>0</v>
      </c>
      <c r="Q222" s="14"/>
      <c r="R222" s="14"/>
      <c r="S222" s="14"/>
      <c r="T222" s="14"/>
      <c r="U222" s="16"/>
      <c r="V222" s="13"/>
      <c r="W222" s="16" t="s">
        <v>662</v>
      </c>
      <c r="X222" s="16"/>
      <c r="Y222" s="16"/>
      <c r="Z222" s="16" t="s">
        <v>696</v>
      </c>
      <c r="AA222" s="22" t="n">
        <f aca="false">IF(F222&lt;&gt;"Y",0,((SUMIF(Products!$E$5:$E$300,A222,Products!$F$5:$F$300)+SUMIF(RM_Lots!$A$5:$A$400,A222,RM_Lots!$D$5:$D$400))+IF(W222="Y",SUMIF(Products!$E$5:$E$300,A222,Products!$G$5:$G$300),0))*(1+N(V222)))</f>
        <v>0</v>
      </c>
      <c r="AB222" s="22" t="n">
        <f aca="false">IF(F222&lt;&gt;"Y",0,((SUMIF(Products!$E$5:$E$300,A222,Products!$K$5:$K$300)+SUMIF(RM_Lots!$A$5:$A$400,A222,RM_Lots!$F$5:$F$400))+IF(W222="Y",SUMIF(Products!$E$5:$E$300,A222,Products!$L$5:$L$300),0))*(1+N(V222)))</f>
        <v>0</v>
      </c>
      <c r="AC222" s="17" t="n">
        <f aca="false">IF(J222="",1,MAX(1,COUNTIFS($J$5:$J$863,J222,$F$5:$F$863,"Y")))</f>
        <v>1</v>
      </c>
      <c r="AD222" s="18" t="n">
        <f aca="false">(MAX(1,N(I222))*(P222+N(S222))+MAX(1,N(I222))*N(K222)/(MAX(1,N(U222))*AC222))*Settings!$B$9</f>
        <v>0</v>
      </c>
      <c r="AE222" s="18" t="n">
        <f aca="false">(MAX(1,N(I222))*N(Q222)+MAX(1,N(I222))*N(L222)/(MAX(1,N(U222))*AC222))*Settings!$B$8</f>
        <v>0</v>
      </c>
      <c r="AF222" s="18" t="n">
        <f aca="false">MAX(1,N(I222))*N(T222)</f>
        <v>0</v>
      </c>
      <c r="AG222" s="15" t="n">
        <f aca="false">AA222*N(AD222)</f>
        <v>0</v>
      </c>
      <c r="AH222" s="15" t="n">
        <f aca="false">AA222*N(AE222)</f>
        <v>0</v>
      </c>
      <c r="AI222" s="15" t="n">
        <f aca="false">AA222*N(AF222)</f>
        <v>0</v>
      </c>
      <c r="AJ222" s="15" t="n">
        <f aca="false">AA222*N(R222)</f>
        <v>0</v>
      </c>
      <c r="AK222" s="15" t="n">
        <f aca="false">AB222*N(AD222)</f>
        <v>0</v>
      </c>
      <c r="AL222" s="15" t="n">
        <f aca="false">AB222*N(AE222)</f>
        <v>0</v>
      </c>
      <c r="AM222" s="15" t="n">
        <f aca="false">AB222*N(AF222)</f>
        <v>0</v>
      </c>
      <c r="AN222" s="15" t="n">
        <f aca="false">AB222*N(R222)</f>
        <v>0</v>
      </c>
      <c r="AO222" s="21" t="str">
        <f aca="false">IF(F222&lt;&gt;"Y","n/a",IF(AND(N222&lt;&gt;"",OR(Q222&lt;&gt;"",G222="Other / bench",G222="None"),U222&lt;&gt;""),"OK","Missing"))</f>
        <v>Missing</v>
      </c>
    </row>
    <row r="223" customFormat="false" ht="15" hidden="false" customHeight="false" outlineLevel="0" collapsed="false">
      <c r="A223" s="10" t="s">
        <v>344</v>
      </c>
      <c r="B223" s="10" t="s">
        <v>659</v>
      </c>
      <c r="C223" s="10" t="s">
        <v>712</v>
      </c>
      <c r="D223" s="10" t="s">
        <v>664</v>
      </c>
      <c r="E223" s="21" t="str">
        <f aca="false">IF(A223="","",A223&amp;"|"&amp;D223)</f>
        <v>F37|Related substances / impurities</v>
      </c>
      <c r="F223" s="16" t="s">
        <v>662</v>
      </c>
      <c r="G223" s="16" t="s">
        <v>147</v>
      </c>
      <c r="H223" s="16" t="s">
        <v>663</v>
      </c>
      <c r="I223" s="16" t="n">
        <v>1</v>
      </c>
      <c r="J223" s="16"/>
      <c r="K223" s="14"/>
      <c r="L223" s="14"/>
      <c r="M223" s="14"/>
      <c r="N223" s="14"/>
      <c r="O223" s="14"/>
      <c r="P223" s="18" t="n">
        <f aca="false">IF(N223="",0,IF(OR(M223="",O223=""),N223,(M223+4*N223+O223)/6))</f>
        <v>0</v>
      </c>
      <c r="Q223" s="14"/>
      <c r="R223" s="14"/>
      <c r="S223" s="14"/>
      <c r="T223" s="14"/>
      <c r="U223" s="16"/>
      <c r="V223" s="13"/>
      <c r="W223" s="16" t="s">
        <v>662</v>
      </c>
      <c r="X223" s="16"/>
      <c r="Y223" s="16"/>
      <c r="Z223" s="16" t="s">
        <v>696</v>
      </c>
      <c r="AA223" s="22" t="n">
        <f aca="false">IF(F223&lt;&gt;"Y",0,((SUMIF(Products!$E$5:$E$300,A223,Products!$F$5:$F$300)+SUMIF(RM_Lots!$A$5:$A$400,A223,RM_Lots!$D$5:$D$400))+IF(W223="Y",SUMIF(Products!$E$5:$E$300,A223,Products!$G$5:$G$300),0))*(1+N(V223)))</f>
        <v>0</v>
      </c>
      <c r="AB223" s="22" t="n">
        <f aca="false">IF(F223&lt;&gt;"Y",0,((SUMIF(Products!$E$5:$E$300,A223,Products!$K$5:$K$300)+SUMIF(RM_Lots!$A$5:$A$400,A223,RM_Lots!$F$5:$F$400))+IF(W223="Y",SUMIF(Products!$E$5:$E$300,A223,Products!$L$5:$L$300),0))*(1+N(V223)))</f>
        <v>0</v>
      </c>
      <c r="AC223" s="17" t="n">
        <f aca="false">IF(J223="",1,MAX(1,COUNTIFS($J$5:$J$863,J223,$F$5:$F$863,"Y")))</f>
        <v>1</v>
      </c>
      <c r="AD223" s="18" t="n">
        <f aca="false">(MAX(1,N(I223))*(P223+N(S223))+MAX(1,N(I223))*N(K223)/(MAX(1,N(U223))*AC223))*Settings!$B$9</f>
        <v>0</v>
      </c>
      <c r="AE223" s="18" t="n">
        <f aca="false">(MAX(1,N(I223))*N(Q223)+MAX(1,N(I223))*N(L223)/(MAX(1,N(U223))*AC223))*Settings!$B$8</f>
        <v>0</v>
      </c>
      <c r="AF223" s="18" t="n">
        <f aca="false">MAX(1,N(I223))*N(T223)</f>
        <v>0</v>
      </c>
      <c r="AG223" s="15" t="n">
        <f aca="false">AA223*N(AD223)</f>
        <v>0</v>
      </c>
      <c r="AH223" s="15" t="n">
        <f aca="false">AA223*N(AE223)</f>
        <v>0</v>
      </c>
      <c r="AI223" s="15" t="n">
        <f aca="false">AA223*N(AF223)</f>
        <v>0</v>
      </c>
      <c r="AJ223" s="15" t="n">
        <f aca="false">AA223*N(R223)</f>
        <v>0</v>
      </c>
      <c r="AK223" s="15" t="n">
        <f aca="false">AB223*N(AD223)</f>
        <v>0</v>
      </c>
      <c r="AL223" s="15" t="n">
        <f aca="false">AB223*N(AE223)</f>
        <v>0</v>
      </c>
      <c r="AM223" s="15" t="n">
        <f aca="false">AB223*N(AF223)</f>
        <v>0</v>
      </c>
      <c r="AN223" s="15" t="n">
        <f aca="false">AB223*N(R223)</f>
        <v>0</v>
      </c>
      <c r="AO223" s="21" t="str">
        <f aca="false">IF(F223&lt;&gt;"Y","n/a",IF(AND(N223&lt;&gt;"",OR(Q223&lt;&gt;"",G223="Other / bench",G223="None"),U223&lt;&gt;""),"OK","Missing"))</f>
        <v>Missing</v>
      </c>
    </row>
    <row r="224" customFormat="false" ht="15" hidden="false" customHeight="false" outlineLevel="0" collapsed="false">
      <c r="A224" s="10" t="s">
        <v>344</v>
      </c>
      <c r="B224" s="10" t="s">
        <v>659</v>
      </c>
      <c r="C224" s="10" t="s">
        <v>712</v>
      </c>
      <c r="D224" s="10" t="s">
        <v>665</v>
      </c>
      <c r="E224" s="21" t="str">
        <f aca="false">IF(A224="","",A224&amp;"|"&amp;D224)</f>
        <v>F37|Dissolution</v>
      </c>
      <c r="F224" s="16" t="s">
        <v>662</v>
      </c>
      <c r="G224" s="16" t="s">
        <v>147</v>
      </c>
      <c r="H224" s="16" t="s">
        <v>663</v>
      </c>
      <c r="I224" s="16" t="n">
        <v>1</v>
      </c>
      <c r="J224" s="16"/>
      <c r="K224" s="14"/>
      <c r="L224" s="14"/>
      <c r="M224" s="14"/>
      <c r="N224" s="14"/>
      <c r="O224" s="14"/>
      <c r="P224" s="18" t="n">
        <f aca="false">IF(N224="",0,IF(OR(M224="",O224=""),N224,(M224+4*N224+O224)/6))</f>
        <v>0</v>
      </c>
      <c r="Q224" s="14"/>
      <c r="R224" s="14"/>
      <c r="S224" s="14"/>
      <c r="T224" s="14"/>
      <c r="U224" s="16"/>
      <c r="V224" s="13"/>
      <c r="W224" s="16" t="s">
        <v>662</v>
      </c>
      <c r="X224" s="16"/>
      <c r="Y224" s="16"/>
      <c r="Z224" s="16" t="s">
        <v>696</v>
      </c>
      <c r="AA224" s="22" t="n">
        <f aca="false">IF(F224&lt;&gt;"Y",0,((SUMIF(Products!$E$5:$E$300,A224,Products!$F$5:$F$300)+SUMIF(RM_Lots!$A$5:$A$400,A224,RM_Lots!$D$5:$D$400))+IF(W224="Y",SUMIF(Products!$E$5:$E$300,A224,Products!$G$5:$G$300),0))*(1+N(V224)))</f>
        <v>0</v>
      </c>
      <c r="AB224" s="22" t="n">
        <f aca="false">IF(F224&lt;&gt;"Y",0,((SUMIF(Products!$E$5:$E$300,A224,Products!$K$5:$K$300)+SUMIF(RM_Lots!$A$5:$A$400,A224,RM_Lots!$F$5:$F$400))+IF(W224="Y",SUMIF(Products!$E$5:$E$300,A224,Products!$L$5:$L$300),0))*(1+N(V224)))</f>
        <v>0</v>
      </c>
      <c r="AC224" s="17" t="n">
        <f aca="false">IF(J224="",1,MAX(1,COUNTIFS($J$5:$J$863,J224,$F$5:$F$863,"Y")))</f>
        <v>1</v>
      </c>
      <c r="AD224" s="18" t="n">
        <f aca="false">(MAX(1,N(I224))*(P224+N(S224))+MAX(1,N(I224))*N(K224)/(MAX(1,N(U224))*AC224))*Settings!$B$9</f>
        <v>0</v>
      </c>
      <c r="AE224" s="18" t="n">
        <f aca="false">(MAX(1,N(I224))*N(Q224)+MAX(1,N(I224))*N(L224)/(MAX(1,N(U224))*AC224))*Settings!$B$8</f>
        <v>0</v>
      </c>
      <c r="AF224" s="18" t="n">
        <f aca="false">MAX(1,N(I224))*N(T224)</f>
        <v>0</v>
      </c>
      <c r="AG224" s="15" t="n">
        <f aca="false">AA224*N(AD224)</f>
        <v>0</v>
      </c>
      <c r="AH224" s="15" t="n">
        <f aca="false">AA224*N(AE224)</f>
        <v>0</v>
      </c>
      <c r="AI224" s="15" t="n">
        <f aca="false">AA224*N(AF224)</f>
        <v>0</v>
      </c>
      <c r="AJ224" s="15" t="n">
        <f aca="false">AA224*N(R224)</f>
        <v>0</v>
      </c>
      <c r="AK224" s="15" t="n">
        <f aca="false">AB224*N(AD224)</f>
        <v>0</v>
      </c>
      <c r="AL224" s="15" t="n">
        <f aca="false">AB224*N(AE224)</f>
        <v>0</v>
      </c>
      <c r="AM224" s="15" t="n">
        <f aca="false">AB224*N(AF224)</f>
        <v>0</v>
      </c>
      <c r="AN224" s="15" t="n">
        <f aca="false">AB224*N(R224)</f>
        <v>0</v>
      </c>
      <c r="AO224" s="21" t="str">
        <f aca="false">IF(F224&lt;&gt;"Y","n/a",IF(AND(N224&lt;&gt;"",OR(Q224&lt;&gt;"",G224="Other / bench",G224="None"),U224&lt;&gt;""),"OK","Missing"))</f>
        <v>Missing</v>
      </c>
    </row>
    <row r="225" customFormat="false" ht="15" hidden="false" customHeight="false" outlineLevel="0" collapsed="false">
      <c r="A225" s="10" t="s">
        <v>344</v>
      </c>
      <c r="B225" s="10" t="s">
        <v>659</v>
      </c>
      <c r="C225" s="10" t="s">
        <v>712</v>
      </c>
      <c r="D225" s="10" t="s">
        <v>666</v>
      </c>
      <c r="E225" s="21" t="str">
        <f aca="false">IF(A225="","",A225&amp;"|"&amp;D225)</f>
        <v>F37|Content uniformity</v>
      </c>
      <c r="F225" s="16" t="s">
        <v>662</v>
      </c>
      <c r="G225" s="16" t="s">
        <v>147</v>
      </c>
      <c r="H225" s="16" t="s">
        <v>663</v>
      </c>
      <c r="I225" s="16" t="n">
        <v>1</v>
      </c>
      <c r="J225" s="16"/>
      <c r="K225" s="14"/>
      <c r="L225" s="14"/>
      <c r="M225" s="14"/>
      <c r="N225" s="14"/>
      <c r="O225" s="14"/>
      <c r="P225" s="18" t="n">
        <f aca="false">IF(N225="",0,IF(OR(M225="",O225=""),N225,(M225+4*N225+O225)/6))</f>
        <v>0</v>
      </c>
      <c r="Q225" s="14"/>
      <c r="R225" s="14"/>
      <c r="S225" s="14"/>
      <c r="T225" s="14"/>
      <c r="U225" s="16"/>
      <c r="V225" s="13"/>
      <c r="W225" s="16" t="s">
        <v>667</v>
      </c>
      <c r="X225" s="16"/>
      <c r="Y225" s="16"/>
      <c r="Z225" s="16" t="s">
        <v>696</v>
      </c>
      <c r="AA225" s="22" t="n">
        <f aca="false">IF(F225&lt;&gt;"Y",0,((SUMIF(Products!$E$5:$E$300,A225,Products!$F$5:$F$300)+SUMIF(RM_Lots!$A$5:$A$400,A225,RM_Lots!$D$5:$D$400))+IF(W225="Y",SUMIF(Products!$E$5:$E$300,A225,Products!$G$5:$G$300),0))*(1+N(V225)))</f>
        <v>0</v>
      </c>
      <c r="AB225" s="22" t="n">
        <f aca="false">IF(F225&lt;&gt;"Y",0,((SUMIF(Products!$E$5:$E$300,A225,Products!$K$5:$K$300)+SUMIF(RM_Lots!$A$5:$A$400,A225,RM_Lots!$F$5:$F$400))+IF(W225="Y",SUMIF(Products!$E$5:$E$300,A225,Products!$L$5:$L$300),0))*(1+N(V225)))</f>
        <v>0</v>
      </c>
      <c r="AC225" s="17" t="n">
        <f aca="false">IF(J225="",1,MAX(1,COUNTIFS($J$5:$J$863,J225,$F$5:$F$863,"Y")))</f>
        <v>1</v>
      </c>
      <c r="AD225" s="18" t="n">
        <f aca="false">(MAX(1,N(I225))*(P225+N(S225))+MAX(1,N(I225))*N(K225)/(MAX(1,N(U225))*AC225))*Settings!$B$9</f>
        <v>0</v>
      </c>
      <c r="AE225" s="18" t="n">
        <f aca="false">(MAX(1,N(I225))*N(Q225)+MAX(1,N(I225))*N(L225)/(MAX(1,N(U225))*AC225))*Settings!$B$8</f>
        <v>0</v>
      </c>
      <c r="AF225" s="18" t="n">
        <f aca="false">MAX(1,N(I225))*N(T225)</f>
        <v>0</v>
      </c>
      <c r="AG225" s="15" t="n">
        <f aca="false">AA225*N(AD225)</f>
        <v>0</v>
      </c>
      <c r="AH225" s="15" t="n">
        <f aca="false">AA225*N(AE225)</f>
        <v>0</v>
      </c>
      <c r="AI225" s="15" t="n">
        <f aca="false">AA225*N(AF225)</f>
        <v>0</v>
      </c>
      <c r="AJ225" s="15" t="n">
        <f aca="false">AA225*N(R225)</f>
        <v>0</v>
      </c>
      <c r="AK225" s="15" t="n">
        <f aca="false">AB225*N(AD225)</f>
        <v>0</v>
      </c>
      <c r="AL225" s="15" t="n">
        <f aca="false">AB225*N(AE225)</f>
        <v>0</v>
      </c>
      <c r="AM225" s="15" t="n">
        <f aca="false">AB225*N(AF225)</f>
        <v>0</v>
      </c>
      <c r="AN225" s="15" t="n">
        <f aca="false">AB225*N(R225)</f>
        <v>0</v>
      </c>
      <c r="AO225" s="21" t="str">
        <f aca="false">IF(F225&lt;&gt;"Y","n/a",IF(AND(N225&lt;&gt;"",OR(Q225&lt;&gt;"",G225="Other / bench",G225="None"),U225&lt;&gt;""),"OK","Missing"))</f>
        <v>Missing</v>
      </c>
    </row>
    <row r="226" customFormat="false" ht="15" hidden="false" customHeight="false" outlineLevel="0" collapsed="false">
      <c r="A226" s="10" t="s">
        <v>344</v>
      </c>
      <c r="B226" s="10" t="s">
        <v>659</v>
      </c>
      <c r="C226" s="10" t="s">
        <v>712</v>
      </c>
      <c r="D226" s="10" t="s">
        <v>668</v>
      </c>
      <c r="E226" s="21" t="str">
        <f aca="false">IF(A226="","",A226&amp;"|"&amp;D226)</f>
        <v>F37|Identification (if separate from assay)</v>
      </c>
      <c r="F226" s="16" t="s">
        <v>667</v>
      </c>
      <c r="G226" s="16" t="s">
        <v>147</v>
      </c>
      <c r="H226" s="16" t="s">
        <v>663</v>
      </c>
      <c r="I226" s="16" t="n">
        <v>1</v>
      </c>
      <c r="J226" s="16"/>
      <c r="K226" s="14"/>
      <c r="L226" s="14"/>
      <c r="M226" s="14"/>
      <c r="N226" s="14"/>
      <c r="O226" s="14"/>
      <c r="P226" s="18" t="n">
        <f aca="false">IF(N226="",0,IF(OR(M226="",O226=""),N226,(M226+4*N226+O226)/6))</f>
        <v>0</v>
      </c>
      <c r="Q226" s="14"/>
      <c r="R226" s="14"/>
      <c r="S226" s="14"/>
      <c r="T226" s="14"/>
      <c r="U226" s="16"/>
      <c r="V226" s="13"/>
      <c r="W226" s="16" t="s">
        <v>667</v>
      </c>
      <c r="X226" s="16"/>
      <c r="Y226" s="16"/>
      <c r="Z226" s="16" t="s">
        <v>696</v>
      </c>
      <c r="AA226" s="22" t="n">
        <f aca="false">IF(F226&lt;&gt;"Y",0,((SUMIF(Products!$E$5:$E$300,A226,Products!$F$5:$F$300)+SUMIF(RM_Lots!$A$5:$A$400,A226,RM_Lots!$D$5:$D$400))+IF(W226="Y",SUMIF(Products!$E$5:$E$300,A226,Products!$G$5:$G$300),0))*(1+N(V226)))</f>
        <v>0</v>
      </c>
      <c r="AB226" s="22" t="n">
        <f aca="false">IF(F226&lt;&gt;"Y",0,((SUMIF(Products!$E$5:$E$300,A226,Products!$K$5:$K$300)+SUMIF(RM_Lots!$A$5:$A$400,A226,RM_Lots!$F$5:$F$400))+IF(W226="Y",SUMIF(Products!$E$5:$E$300,A226,Products!$L$5:$L$300),0))*(1+N(V226)))</f>
        <v>0</v>
      </c>
      <c r="AC226" s="17" t="n">
        <f aca="false">IF(J226="",1,MAX(1,COUNTIFS($J$5:$J$863,J226,$F$5:$F$863,"Y")))</f>
        <v>1</v>
      </c>
      <c r="AD226" s="18" t="n">
        <f aca="false">(MAX(1,N(I226))*(P226+N(S226))+MAX(1,N(I226))*N(K226)/(MAX(1,N(U226))*AC226))*Settings!$B$9</f>
        <v>0</v>
      </c>
      <c r="AE226" s="18" t="n">
        <f aca="false">(MAX(1,N(I226))*N(Q226)+MAX(1,N(I226))*N(L226)/(MAX(1,N(U226))*AC226))*Settings!$B$8</f>
        <v>0</v>
      </c>
      <c r="AF226" s="18" t="n">
        <f aca="false">MAX(1,N(I226))*N(T226)</f>
        <v>0</v>
      </c>
      <c r="AG226" s="15" t="n">
        <f aca="false">AA226*N(AD226)</f>
        <v>0</v>
      </c>
      <c r="AH226" s="15" t="n">
        <f aca="false">AA226*N(AE226)</f>
        <v>0</v>
      </c>
      <c r="AI226" s="15" t="n">
        <f aca="false">AA226*N(AF226)</f>
        <v>0</v>
      </c>
      <c r="AJ226" s="15" t="n">
        <f aca="false">AA226*N(R226)</f>
        <v>0</v>
      </c>
      <c r="AK226" s="15" t="n">
        <f aca="false">AB226*N(AD226)</f>
        <v>0</v>
      </c>
      <c r="AL226" s="15" t="n">
        <f aca="false">AB226*N(AE226)</f>
        <v>0</v>
      </c>
      <c r="AM226" s="15" t="n">
        <f aca="false">AB226*N(AF226)</f>
        <v>0</v>
      </c>
      <c r="AN226" s="15" t="n">
        <f aca="false">AB226*N(R226)</f>
        <v>0</v>
      </c>
      <c r="AO226" s="21" t="str">
        <f aca="false">IF(F226&lt;&gt;"Y","n/a",IF(AND(N226&lt;&gt;"",OR(Q226&lt;&gt;"",G226="Other / bench",G226="None"),U226&lt;&gt;""),"OK","Missing"))</f>
        <v>n/a</v>
      </c>
    </row>
    <row r="227" customFormat="false" ht="15" hidden="false" customHeight="false" outlineLevel="0" collapsed="false">
      <c r="A227" s="10" t="s">
        <v>344</v>
      </c>
      <c r="B227" s="10" t="s">
        <v>659</v>
      </c>
      <c r="C227" s="10" t="s">
        <v>712</v>
      </c>
      <c r="D227" s="10" t="s">
        <v>669</v>
      </c>
      <c r="E227" s="21" t="str">
        <f aca="false">IF(A227="","",A227&amp;"|"&amp;D227)</f>
        <v>F37|Other tests (non-HPLC: physical, LOD/KF, disintegration, pH, micro...)</v>
      </c>
      <c r="F227" s="16" t="s">
        <v>662</v>
      </c>
      <c r="G227" s="16" t="s">
        <v>670</v>
      </c>
      <c r="H227" s="16" t="s">
        <v>663</v>
      </c>
      <c r="I227" s="16" t="n">
        <v>1</v>
      </c>
      <c r="J227" s="16"/>
      <c r="K227" s="14"/>
      <c r="L227" s="14"/>
      <c r="M227" s="14"/>
      <c r="N227" s="14"/>
      <c r="O227" s="14"/>
      <c r="P227" s="18" t="n">
        <f aca="false">IF(N227="",0,IF(OR(M227="",O227=""),N227,(M227+4*N227+O227)/6))</f>
        <v>0</v>
      </c>
      <c r="Q227" s="14"/>
      <c r="R227" s="14"/>
      <c r="S227" s="14"/>
      <c r="T227" s="14"/>
      <c r="U227" s="16"/>
      <c r="V227" s="13"/>
      <c r="W227" s="16" t="s">
        <v>662</v>
      </c>
      <c r="X227" s="16"/>
      <c r="Y227" s="16"/>
      <c r="Z227" s="16" t="s">
        <v>696</v>
      </c>
      <c r="AA227" s="22" t="n">
        <f aca="false">IF(F227&lt;&gt;"Y",0,((SUMIF(Products!$E$5:$E$300,A227,Products!$F$5:$F$300)+SUMIF(RM_Lots!$A$5:$A$400,A227,RM_Lots!$D$5:$D$400))+IF(W227="Y",SUMIF(Products!$E$5:$E$300,A227,Products!$G$5:$G$300),0))*(1+N(V227)))</f>
        <v>0</v>
      </c>
      <c r="AB227" s="22" t="n">
        <f aca="false">IF(F227&lt;&gt;"Y",0,((SUMIF(Products!$E$5:$E$300,A227,Products!$K$5:$K$300)+SUMIF(RM_Lots!$A$5:$A$400,A227,RM_Lots!$F$5:$F$400))+IF(W227="Y",SUMIF(Products!$E$5:$E$300,A227,Products!$L$5:$L$300),0))*(1+N(V227)))</f>
        <v>0</v>
      </c>
      <c r="AC227" s="17" t="n">
        <f aca="false">IF(J227="",1,MAX(1,COUNTIFS($J$5:$J$863,J227,$F$5:$F$863,"Y")))</f>
        <v>1</v>
      </c>
      <c r="AD227" s="18" t="n">
        <f aca="false">(MAX(1,N(I227))*(P227+N(S227))+MAX(1,N(I227))*N(K227)/(MAX(1,N(U227))*AC227))*Settings!$B$9</f>
        <v>0</v>
      </c>
      <c r="AE227" s="18" t="n">
        <f aca="false">(MAX(1,N(I227))*N(Q227)+MAX(1,N(I227))*N(L227)/(MAX(1,N(U227))*AC227))*Settings!$B$8</f>
        <v>0</v>
      </c>
      <c r="AF227" s="18" t="n">
        <f aca="false">MAX(1,N(I227))*N(T227)</f>
        <v>0</v>
      </c>
      <c r="AG227" s="15" t="n">
        <f aca="false">AA227*N(AD227)</f>
        <v>0</v>
      </c>
      <c r="AH227" s="15" t="n">
        <f aca="false">AA227*N(AE227)</f>
        <v>0</v>
      </c>
      <c r="AI227" s="15" t="n">
        <f aca="false">AA227*N(AF227)</f>
        <v>0</v>
      </c>
      <c r="AJ227" s="15" t="n">
        <f aca="false">AA227*N(R227)</f>
        <v>0</v>
      </c>
      <c r="AK227" s="15" t="n">
        <f aca="false">AB227*N(AD227)</f>
        <v>0</v>
      </c>
      <c r="AL227" s="15" t="n">
        <f aca="false">AB227*N(AE227)</f>
        <v>0</v>
      </c>
      <c r="AM227" s="15" t="n">
        <f aca="false">AB227*N(AF227)</f>
        <v>0</v>
      </c>
      <c r="AN227" s="15" t="n">
        <f aca="false">AB227*N(R227)</f>
        <v>0</v>
      </c>
      <c r="AO227" s="21" t="str">
        <f aca="false">IF(F227&lt;&gt;"Y","n/a",IF(AND(N227&lt;&gt;"",OR(Q227&lt;&gt;"",G227="Other / bench",G227="None"),U227&lt;&gt;""),"OK","Missing"))</f>
        <v>Missing</v>
      </c>
    </row>
    <row r="228" customFormat="false" ht="15" hidden="false" customHeight="false" outlineLevel="0" collapsed="false">
      <c r="A228" s="10" t="s">
        <v>347</v>
      </c>
      <c r="B228" s="10" t="s">
        <v>659</v>
      </c>
      <c r="C228" s="10" t="s">
        <v>713</v>
      </c>
      <c r="D228" s="10" t="s">
        <v>661</v>
      </c>
      <c r="E228" s="21" t="str">
        <f aca="false">IF(A228="","",A228&amp;"|"&amp;D228)</f>
        <v>F38|Assay</v>
      </c>
      <c r="F228" s="16" t="s">
        <v>662</v>
      </c>
      <c r="G228" s="16" t="s">
        <v>147</v>
      </c>
      <c r="H228" s="16" t="s">
        <v>672</v>
      </c>
      <c r="I228" s="16" t="n">
        <v>1</v>
      </c>
      <c r="J228" s="16"/>
      <c r="K228" s="14"/>
      <c r="L228" s="14"/>
      <c r="M228" s="14"/>
      <c r="N228" s="14"/>
      <c r="O228" s="14"/>
      <c r="P228" s="18" t="n">
        <f aca="false">IF(N228="",0,IF(OR(M228="",O228=""),N228,(M228+4*N228+O228)/6))</f>
        <v>0</v>
      </c>
      <c r="Q228" s="14"/>
      <c r="R228" s="14"/>
      <c r="S228" s="14"/>
      <c r="T228" s="14"/>
      <c r="U228" s="16"/>
      <c r="V228" s="13"/>
      <c r="W228" s="16" t="s">
        <v>662</v>
      </c>
      <c r="X228" s="16"/>
      <c r="Y228" s="16"/>
      <c r="Z228" s="16"/>
      <c r="AA228" s="22" t="n">
        <f aca="false">IF(F228&lt;&gt;"Y",0,((SUMIF(Products!$E$5:$E$300,A228,Products!$F$5:$F$300)+SUMIF(RM_Lots!$A$5:$A$400,A228,RM_Lots!$D$5:$D$400))+IF(W228="Y",SUMIF(Products!$E$5:$E$300,A228,Products!$G$5:$G$300),0))*(1+N(V228)))</f>
        <v>0</v>
      </c>
      <c r="AB228" s="22" t="n">
        <f aca="false">IF(F228&lt;&gt;"Y",0,((SUMIF(Products!$E$5:$E$300,A228,Products!$K$5:$K$300)+SUMIF(RM_Lots!$A$5:$A$400,A228,RM_Lots!$F$5:$F$400))+IF(W228="Y",SUMIF(Products!$E$5:$E$300,A228,Products!$L$5:$L$300),0))*(1+N(V228)))</f>
        <v>0</v>
      </c>
      <c r="AC228" s="17" t="n">
        <f aca="false">IF(J228="",1,MAX(1,COUNTIFS($J$5:$J$863,J228,$F$5:$F$863,"Y")))</f>
        <v>1</v>
      </c>
      <c r="AD228" s="18" t="n">
        <f aca="false">(MAX(1,N(I228))*(P228+N(S228))+MAX(1,N(I228))*N(K228)/(MAX(1,N(U228))*AC228))*Settings!$B$9</f>
        <v>0</v>
      </c>
      <c r="AE228" s="18" t="n">
        <f aca="false">(MAX(1,N(I228))*N(Q228)+MAX(1,N(I228))*N(L228)/(MAX(1,N(U228))*AC228))*Settings!$B$8</f>
        <v>0</v>
      </c>
      <c r="AF228" s="18" t="n">
        <f aca="false">MAX(1,N(I228))*N(T228)</f>
        <v>0</v>
      </c>
      <c r="AG228" s="15" t="n">
        <f aca="false">AA228*N(AD228)</f>
        <v>0</v>
      </c>
      <c r="AH228" s="15" t="n">
        <f aca="false">AA228*N(AE228)</f>
        <v>0</v>
      </c>
      <c r="AI228" s="15" t="n">
        <f aca="false">AA228*N(AF228)</f>
        <v>0</v>
      </c>
      <c r="AJ228" s="15" t="n">
        <f aca="false">AA228*N(R228)</f>
        <v>0</v>
      </c>
      <c r="AK228" s="15" t="n">
        <f aca="false">AB228*N(AD228)</f>
        <v>0</v>
      </c>
      <c r="AL228" s="15" t="n">
        <f aca="false">AB228*N(AE228)</f>
        <v>0</v>
      </c>
      <c r="AM228" s="15" t="n">
        <f aca="false">AB228*N(AF228)</f>
        <v>0</v>
      </c>
      <c r="AN228" s="15" t="n">
        <f aca="false">AB228*N(R228)</f>
        <v>0</v>
      </c>
      <c r="AO228" s="21" t="str">
        <f aca="false">IF(F228&lt;&gt;"Y","n/a",IF(AND(N228&lt;&gt;"",OR(Q228&lt;&gt;"",G228="Other / bench",G228="None"),U228&lt;&gt;""),"OK","Missing"))</f>
        <v>Missing</v>
      </c>
    </row>
    <row r="229" customFormat="false" ht="15" hidden="false" customHeight="false" outlineLevel="0" collapsed="false">
      <c r="A229" s="10" t="s">
        <v>347</v>
      </c>
      <c r="B229" s="10" t="s">
        <v>659</v>
      </c>
      <c r="C229" s="10" t="s">
        <v>713</v>
      </c>
      <c r="D229" s="10" t="s">
        <v>664</v>
      </c>
      <c r="E229" s="21" t="str">
        <f aca="false">IF(A229="","",A229&amp;"|"&amp;D229)</f>
        <v>F38|Related substances / impurities</v>
      </c>
      <c r="F229" s="16" t="s">
        <v>662</v>
      </c>
      <c r="G229" s="16" t="s">
        <v>147</v>
      </c>
      <c r="H229" s="16" t="s">
        <v>672</v>
      </c>
      <c r="I229" s="16" t="n">
        <v>1</v>
      </c>
      <c r="J229" s="16"/>
      <c r="K229" s="14"/>
      <c r="L229" s="14"/>
      <c r="M229" s="14"/>
      <c r="N229" s="14"/>
      <c r="O229" s="14"/>
      <c r="P229" s="18" t="n">
        <f aca="false">IF(N229="",0,IF(OR(M229="",O229=""),N229,(M229+4*N229+O229)/6))</f>
        <v>0</v>
      </c>
      <c r="Q229" s="14"/>
      <c r="R229" s="14"/>
      <c r="S229" s="14"/>
      <c r="T229" s="14"/>
      <c r="U229" s="16"/>
      <c r="V229" s="13"/>
      <c r="W229" s="16" t="s">
        <v>662</v>
      </c>
      <c r="X229" s="16"/>
      <c r="Y229" s="16"/>
      <c r="Z229" s="16"/>
      <c r="AA229" s="22" t="n">
        <f aca="false">IF(F229&lt;&gt;"Y",0,((SUMIF(Products!$E$5:$E$300,A229,Products!$F$5:$F$300)+SUMIF(RM_Lots!$A$5:$A$400,A229,RM_Lots!$D$5:$D$400))+IF(W229="Y",SUMIF(Products!$E$5:$E$300,A229,Products!$G$5:$G$300),0))*(1+N(V229)))</f>
        <v>0</v>
      </c>
      <c r="AB229" s="22" t="n">
        <f aca="false">IF(F229&lt;&gt;"Y",0,((SUMIF(Products!$E$5:$E$300,A229,Products!$K$5:$K$300)+SUMIF(RM_Lots!$A$5:$A$400,A229,RM_Lots!$F$5:$F$400))+IF(W229="Y",SUMIF(Products!$E$5:$E$300,A229,Products!$L$5:$L$300),0))*(1+N(V229)))</f>
        <v>0</v>
      </c>
      <c r="AC229" s="17" t="n">
        <f aca="false">IF(J229="",1,MAX(1,COUNTIFS($J$5:$J$863,J229,$F$5:$F$863,"Y")))</f>
        <v>1</v>
      </c>
      <c r="AD229" s="18" t="n">
        <f aca="false">(MAX(1,N(I229))*(P229+N(S229))+MAX(1,N(I229))*N(K229)/(MAX(1,N(U229))*AC229))*Settings!$B$9</f>
        <v>0</v>
      </c>
      <c r="AE229" s="18" t="n">
        <f aca="false">(MAX(1,N(I229))*N(Q229)+MAX(1,N(I229))*N(L229)/(MAX(1,N(U229))*AC229))*Settings!$B$8</f>
        <v>0</v>
      </c>
      <c r="AF229" s="18" t="n">
        <f aca="false">MAX(1,N(I229))*N(T229)</f>
        <v>0</v>
      </c>
      <c r="AG229" s="15" t="n">
        <f aca="false">AA229*N(AD229)</f>
        <v>0</v>
      </c>
      <c r="AH229" s="15" t="n">
        <f aca="false">AA229*N(AE229)</f>
        <v>0</v>
      </c>
      <c r="AI229" s="15" t="n">
        <f aca="false">AA229*N(AF229)</f>
        <v>0</v>
      </c>
      <c r="AJ229" s="15" t="n">
        <f aca="false">AA229*N(R229)</f>
        <v>0</v>
      </c>
      <c r="AK229" s="15" t="n">
        <f aca="false">AB229*N(AD229)</f>
        <v>0</v>
      </c>
      <c r="AL229" s="15" t="n">
        <f aca="false">AB229*N(AE229)</f>
        <v>0</v>
      </c>
      <c r="AM229" s="15" t="n">
        <f aca="false">AB229*N(AF229)</f>
        <v>0</v>
      </c>
      <c r="AN229" s="15" t="n">
        <f aca="false">AB229*N(R229)</f>
        <v>0</v>
      </c>
      <c r="AO229" s="21" t="str">
        <f aca="false">IF(F229&lt;&gt;"Y","n/a",IF(AND(N229&lt;&gt;"",OR(Q229&lt;&gt;"",G229="Other / bench",G229="None"),U229&lt;&gt;""),"OK","Missing"))</f>
        <v>Missing</v>
      </c>
    </row>
    <row r="230" customFormat="false" ht="15" hidden="false" customHeight="false" outlineLevel="0" collapsed="false">
      <c r="A230" s="10" t="s">
        <v>347</v>
      </c>
      <c r="B230" s="10" t="s">
        <v>659</v>
      </c>
      <c r="C230" s="10" t="s">
        <v>713</v>
      </c>
      <c r="D230" s="10" t="s">
        <v>665</v>
      </c>
      <c r="E230" s="21" t="str">
        <f aca="false">IF(A230="","",A230&amp;"|"&amp;D230)</f>
        <v>F38|Dissolution</v>
      </c>
      <c r="F230" s="16" t="s">
        <v>662</v>
      </c>
      <c r="G230" s="16" t="s">
        <v>147</v>
      </c>
      <c r="H230" s="16" t="s">
        <v>672</v>
      </c>
      <c r="I230" s="16" t="n">
        <v>1</v>
      </c>
      <c r="J230" s="16"/>
      <c r="K230" s="14"/>
      <c r="L230" s="14"/>
      <c r="M230" s="14"/>
      <c r="N230" s="14"/>
      <c r="O230" s="14"/>
      <c r="P230" s="18" t="n">
        <f aca="false">IF(N230="",0,IF(OR(M230="",O230=""),N230,(M230+4*N230+O230)/6))</f>
        <v>0</v>
      </c>
      <c r="Q230" s="14"/>
      <c r="R230" s="14"/>
      <c r="S230" s="14"/>
      <c r="T230" s="14"/>
      <c r="U230" s="16"/>
      <c r="V230" s="13"/>
      <c r="W230" s="16" t="s">
        <v>662</v>
      </c>
      <c r="X230" s="16"/>
      <c r="Y230" s="16"/>
      <c r="Z230" s="16"/>
      <c r="AA230" s="22" t="n">
        <f aca="false">IF(F230&lt;&gt;"Y",0,((SUMIF(Products!$E$5:$E$300,A230,Products!$F$5:$F$300)+SUMIF(RM_Lots!$A$5:$A$400,A230,RM_Lots!$D$5:$D$400))+IF(W230="Y",SUMIF(Products!$E$5:$E$300,A230,Products!$G$5:$G$300),0))*(1+N(V230)))</f>
        <v>0</v>
      </c>
      <c r="AB230" s="22" t="n">
        <f aca="false">IF(F230&lt;&gt;"Y",0,((SUMIF(Products!$E$5:$E$300,A230,Products!$K$5:$K$300)+SUMIF(RM_Lots!$A$5:$A$400,A230,RM_Lots!$F$5:$F$400))+IF(W230="Y",SUMIF(Products!$E$5:$E$300,A230,Products!$L$5:$L$300),0))*(1+N(V230)))</f>
        <v>0</v>
      </c>
      <c r="AC230" s="17" t="n">
        <f aca="false">IF(J230="",1,MAX(1,COUNTIFS($J$5:$J$863,J230,$F$5:$F$863,"Y")))</f>
        <v>1</v>
      </c>
      <c r="AD230" s="18" t="n">
        <f aca="false">(MAX(1,N(I230))*(P230+N(S230))+MAX(1,N(I230))*N(K230)/(MAX(1,N(U230))*AC230))*Settings!$B$9</f>
        <v>0</v>
      </c>
      <c r="AE230" s="18" t="n">
        <f aca="false">(MAX(1,N(I230))*N(Q230)+MAX(1,N(I230))*N(L230)/(MAX(1,N(U230))*AC230))*Settings!$B$8</f>
        <v>0</v>
      </c>
      <c r="AF230" s="18" t="n">
        <f aca="false">MAX(1,N(I230))*N(T230)</f>
        <v>0</v>
      </c>
      <c r="AG230" s="15" t="n">
        <f aca="false">AA230*N(AD230)</f>
        <v>0</v>
      </c>
      <c r="AH230" s="15" t="n">
        <f aca="false">AA230*N(AE230)</f>
        <v>0</v>
      </c>
      <c r="AI230" s="15" t="n">
        <f aca="false">AA230*N(AF230)</f>
        <v>0</v>
      </c>
      <c r="AJ230" s="15" t="n">
        <f aca="false">AA230*N(R230)</f>
        <v>0</v>
      </c>
      <c r="AK230" s="15" t="n">
        <f aca="false">AB230*N(AD230)</f>
        <v>0</v>
      </c>
      <c r="AL230" s="15" t="n">
        <f aca="false">AB230*N(AE230)</f>
        <v>0</v>
      </c>
      <c r="AM230" s="15" t="n">
        <f aca="false">AB230*N(AF230)</f>
        <v>0</v>
      </c>
      <c r="AN230" s="15" t="n">
        <f aca="false">AB230*N(R230)</f>
        <v>0</v>
      </c>
      <c r="AO230" s="21" t="str">
        <f aca="false">IF(F230&lt;&gt;"Y","n/a",IF(AND(N230&lt;&gt;"",OR(Q230&lt;&gt;"",G230="Other / bench",G230="None"),U230&lt;&gt;""),"OK","Missing"))</f>
        <v>Missing</v>
      </c>
    </row>
    <row r="231" customFormat="false" ht="15" hidden="false" customHeight="false" outlineLevel="0" collapsed="false">
      <c r="A231" s="10" t="s">
        <v>347</v>
      </c>
      <c r="B231" s="10" t="s">
        <v>659</v>
      </c>
      <c r="C231" s="10" t="s">
        <v>713</v>
      </c>
      <c r="D231" s="10" t="s">
        <v>666</v>
      </c>
      <c r="E231" s="21" t="str">
        <f aca="false">IF(A231="","",A231&amp;"|"&amp;D231)</f>
        <v>F38|Content uniformity</v>
      </c>
      <c r="F231" s="16" t="s">
        <v>662</v>
      </c>
      <c r="G231" s="16" t="s">
        <v>147</v>
      </c>
      <c r="H231" s="16" t="s">
        <v>672</v>
      </c>
      <c r="I231" s="16" t="n">
        <v>1</v>
      </c>
      <c r="J231" s="16"/>
      <c r="K231" s="14"/>
      <c r="L231" s="14"/>
      <c r="M231" s="14"/>
      <c r="N231" s="14"/>
      <c r="O231" s="14"/>
      <c r="P231" s="18" t="n">
        <f aca="false">IF(N231="",0,IF(OR(M231="",O231=""),N231,(M231+4*N231+O231)/6))</f>
        <v>0</v>
      </c>
      <c r="Q231" s="14"/>
      <c r="R231" s="14"/>
      <c r="S231" s="14"/>
      <c r="T231" s="14"/>
      <c r="U231" s="16"/>
      <c r="V231" s="13"/>
      <c r="W231" s="16" t="s">
        <v>667</v>
      </c>
      <c r="X231" s="16"/>
      <c r="Y231" s="16"/>
      <c r="Z231" s="16"/>
      <c r="AA231" s="22" t="n">
        <f aca="false">IF(F231&lt;&gt;"Y",0,((SUMIF(Products!$E$5:$E$300,A231,Products!$F$5:$F$300)+SUMIF(RM_Lots!$A$5:$A$400,A231,RM_Lots!$D$5:$D$400))+IF(W231="Y",SUMIF(Products!$E$5:$E$300,A231,Products!$G$5:$G$300),0))*(1+N(V231)))</f>
        <v>0</v>
      </c>
      <c r="AB231" s="22" t="n">
        <f aca="false">IF(F231&lt;&gt;"Y",0,((SUMIF(Products!$E$5:$E$300,A231,Products!$K$5:$K$300)+SUMIF(RM_Lots!$A$5:$A$400,A231,RM_Lots!$F$5:$F$400))+IF(W231="Y",SUMIF(Products!$E$5:$E$300,A231,Products!$L$5:$L$300),0))*(1+N(V231)))</f>
        <v>0</v>
      </c>
      <c r="AC231" s="17" t="n">
        <f aca="false">IF(J231="",1,MAX(1,COUNTIFS($J$5:$J$863,J231,$F$5:$F$863,"Y")))</f>
        <v>1</v>
      </c>
      <c r="AD231" s="18" t="n">
        <f aca="false">(MAX(1,N(I231))*(P231+N(S231))+MAX(1,N(I231))*N(K231)/(MAX(1,N(U231))*AC231))*Settings!$B$9</f>
        <v>0</v>
      </c>
      <c r="AE231" s="18" t="n">
        <f aca="false">(MAX(1,N(I231))*N(Q231)+MAX(1,N(I231))*N(L231)/(MAX(1,N(U231))*AC231))*Settings!$B$8</f>
        <v>0</v>
      </c>
      <c r="AF231" s="18" t="n">
        <f aca="false">MAX(1,N(I231))*N(T231)</f>
        <v>0</v>
      </c>
      <c r="AG231" s="15" t="n">
        <f aca="false">AA231*N(AD231)</f>
        <v>0</v>
      </c>
      <c r="AH231" s="15" t="n">
        <f aca="false">AA231*N(AE231)</f>
        <v>0</v>
      </c>
      <c r="AI231" s="15" t="n">
        <f aca="false">AA231*N(AF231)</f>
        <v>0</v>
      </c>
      <c r="AJ231" s="15" t="n">
        <f aca="false">AA231*N(R231)</f>
        <v>0</v>
      </c>
      <c r="AK231" s="15" t="n">
        <f aca="false">AB231*N(AD231)</f>
        <v>0</v>
      </c>
      <c r="AL231" s="15" t="n">
        <f aca="false">AB231*N(AE231)</f>
        <v>0</v>
      </c>
      <c r="AM231" s="15" t="n">
        <f aca="false">AB231*N(AF231)</f>
        <v>0</v>
      </c>
      <c r="AN231" s="15" t="n">
        <f aca="false">AB231*N(R231)</f>
        <v>0</v>
      </c>
      <c r="AO231" s="21" t="str">
        <f aca="false">IF(F231&lt;&gt;"Y","n/a",IF(AND(N231&lt;&gt;"",OR(Q231&lt;&gt;"",G231="Other / bench",G231="None"),U231&lt;&gt;""),"OK","Missing"))</f>
        <v>Missing</v>
      </c>
    </row>
    <row r="232" customFormat="false" ht="15" hidden="false" customHeight="false" outlineLevel="0" collapsed="false">
      <c r="A232" s="10" t="s">
        <v>347</v>
      </c>
      <c r="B232" s="10" t="s">
        <v>659</v>
      </c>
      <c r="C232" s="10" t="s">
        <v>713</v>
      </c>
      <c r="D232" s="10" t="s">
        <v>668</v>
      </c>
      <c r="E232" s="21" t="str">
        <f aca="false">IF(A232="","",A232&amp;"|"&amp;D232)</f>
        <v>F38|Identification (if separate from assay)</v>
      </c>
      <c r="F232" s="16" t="s">
        <v>667</v>
      </c>
      <c r="G232" s="16" t="s">
        <v>147</v>
      </c>
      <c r="H232" s="16" t="s">
        <v>672</v>
      </c>
      <c r="I232" s="16" t="n">
        <v>1</v>
      </c>
      <c r="J232" s="16"/>
      <c r="K232" s="14"/>
      <c r="L232" s="14"/>
      <c r="M232" s="14"/>
      <c r="N232" s="14"/>
      <c r="O232" s="14"/>
      <c r="P232" s="18" t="n">
        <f aca="false">IF(N232="",0,IF(OR(M232="",O232=""),N232,(M232+4*N232+O232)/6))</f>
        <v>0</v>
      </c>
      <c r="Q232" s="14"/>
      <c r="R232" s="14"/>
      <c r="S232" s="14"/>
      <c r="T232" s="14"/>
      <c r="U232" s="16"/>
      <c r="V232" s="13"/>
      <c r="W232" s="16" t="s">
        <v>667</v>
      </c>
      <c r="X232" s="16"/>
      <c r="Y232" s="16"/>
      <c r="Z232" s="16"/>
      <c r="AA232" s="22" t="n">
        <f aca="false">IF(F232&lt;&gt;"Y",0,((SUMIF(Products!$E$5:$E$300,A232,Products!$F$5:$F$300)+SUMIF(RM_Lots!$A$5:$A$400,A232,RM_Lots!$D$5:$D$400))+IF(W232="Y",SUMIF(Products!$E$5:$E$300,A232,Products!$G$5:$G$300),0))*(1+N(V232)))</f>
        <v>0</v>
      </c>
      <c r="AB232" s="22" t="n">
        <f aca="false">IF(F232&lt;&gt;"Y",0,((SUMIF(Products!$E$5:$E$300,A232,Products!$K$5:$K$300)+SUMIF(RM_Lots!$A$5:$A$400,A232,RM_Lots!$F$5:$F$400))+IF(W232="Y",SUMIF(Products!$E$5:$E$300,A232,Products!$L$5:$L$300),0))*(1+N(V232)))</f>
        <v>0</v>
      </c>
      <c r="AC232" s="17" t="n">
        <f aca="false">IF(J232="",1,MAX(1,COUNTIFS($J$5:$J$863,J232,$F$5:$F$863,"Y")))</f>
        <v>1</v>
      </c>
      <c r="AD232" s="18" t="n">
        <f aca="false">(MAX(1,N(I232))*(P232+N(S232))+MAX(1,N(I232))*N(K232)/(MAX(1,N(U232))*AC232))*Settings!$B$9</f>
        <v>0</v>
      </c>
      <c r="AE232" s="18" t="n">
        <f aca="false">(MAX(1,N(I232))*N(Q232)+MAX(1,N(I232))*N(L232)/(MAX(1,N(U232))*AC232))*Settings!$B$8</f>
        <v>0</v>
      </c>
      <c r="AF232" s="18" t="n">
        <f aca="false">MAX(1,N(I232))*N(T232)</f>
        <v>0</v>
      </c>
      <c r="AG232" s="15" t="n">
        <f aca="false">AA232*N(AD232)</f>
        <v>0</v>
      </c>
      <c r="AH232" s="15" t="n">
        <f aca="false">AA232*N(AE232)</f>
        <v>0</v>
      </c>
      <c r="AI232" s="15" t="n">
        <f aca="false">AA232*N(AF232)</f>
        <v>0</v>
      </c>
      <c r="AJ232" s="15" t="n">
        <f aca="false">AA232*N(R232)</f>
        <v>0</v>
      </c>
      <c r="AK232" s="15" t="n">
        <f aca="false">AB232*N(AD232)</f>
        <v>0</v>
      </c>
      <c r="AL232" s="15" t="n">
        <f aca="false">AB232*N(AE232)</f>
        <v>0</v>
      </c>
      <c r="AM232" s="15" t="n">
        <f aca="false">AB232*N(AF232)</f>
        <v>0</v>
      </c>
      <c r="AN232" s="15" t="n">
        <f aca="false">AB232*N(R232)</f>
        <v>0</v>
      </c>
      <c r="AO232" s="21" t="str">
        <f aca="false">IF(F232&lt;&gt;"Y","n/a",IF(AND(N232&lt;&gt;"",OR(Q232&lt;&gt;"",G232="Other / bench",G232="None"),U232&lt;&gt;""),"OK","Missing"))</f>
        <v>n/a</v>
      </c>
    </row>
    <row r="233" customFormat="false" ht="15" hidden="false" customHeight="false" outlineLevel="0" collapsed="false">
      <c r="A233" s="10" t="s">
        <v>347</v>
      </c>
      <c r="B233" s="10" t="s">
        <v>659</v>
      </c>
      <c r="C233" s="10" t="s">
        <v>713</v>
      </c>
      <c r="D233" s="10" t="s">
        <v>669</v>
      </c>
      <c r="E233" s="21" t="str">
        <f aca="false">IF(A233="","",A233&amp;"|"&amp;D233)</f>
        <v>F38|Other tests (non-HPLC: physical, LOD/KF, disintegration, pH, micro...)</v>
      </c>
      <c r="F233" s="16" t="s">
        <v>662</v>
      </c>
      <c r="G233" s="16" t="s">
        <v>670</v>
      </c>
      <c r="H233" s="16" t="s">
        <v>672</v>
      </c>
      <c r="I233" s="16" t="n">
        <v>1</v>
      </c>
      <c r="J233" s="16"/>
      <c r="K233" s="14"/>
      <c r="L233" s="14"/>
      <c r="M233" s="14"/>
      <c r="N233" s="14"/>
      <c r="O233" s="14"/>
      <c r="P233" s="18" t="n">
        <f aca="false">IF(N233="",0,IF(OR(M233="",O233=""),N233,(M233+4*N233+O233)/6))</f>
        <v>0</v>
      </c>
      <c r="Q233" s="14"/>
      <c r="R233" s="14"/>
      <c r="S233" s="14"/>
      <c r="T233" s="14"/>
      <c r="U233" s="16"/>
      <c r="V233" s="13"/>
      <c r="W233" s="16" t="s">
        <v>662</v>
      </c>
      <c r="X233" s="16"/>
      <c r="Y233" s="16"/>
      <c r="Z233" s="16"/>
      <c r="AA233" s="22" t="n">
        <f aca="false">IF(F233&lt;&gt;"Y",0,((SUMIF(Products!$E$5:$E$300,A233,Products!$F$5:$F$300)+SUMIF(RM_Lots!$A$5:$A$400,A233,RM_Lots!$D$5:$D$400))+IF(W233="Y",SUMIF(Products!$E$5:$E$300,A233,Products!$G$5:$G$300),0))*(1+N(V233)))</f>
        <v>0</v>
      </c>
      <c r="AB233" s="22" t="n">
        <f aca="false">IF(F233&lt;&gt;"Y",0,((SUMIF(Products!$E$5:$E$300,A233,Products!$K$5:$K$300)+SUMIF(RM_Lots!$A$5:$A$400,A233,RM_Lots!$F$5:$F$400))+IF(W233="Y",SUMIF(Products!$E$5:$E$300,A233,Products!$L$5:$L$300),0))*(1+N(V233)))</f>
        <v>0</v>
      </c>
      <c r="AC233" s="17" t="n">
        <f aca="false">IF(J233="",1,MAX(1,COUNTIFS($J$5:$J$863,J233,$F$5:$F$863,"Y")))</f>
        <v>1</v>
      </c>
      <c r="AD233" s="18" t="n">
        <f aca="false">(MAX(1,N(I233))*(P233+N(S233))+MAX(1,N(I233))*N(K233)/(MAX(1,N(U233))*AC233))*Settings!$B$9</f>
        <v>0</v>
      </c>
      <c r="AE233" s="18" t="n">
        <f aca="false">(MAX(1,N(I233))*N(Q233)+MAX(1,N(I233))*N(L233)/(MAX(1,N(U233))*AC233))*Settings!$B$8</f>
        <v>0</v>
      </c>
      <c r="AF233" s="18" t="n">
        <f aca="false">MAX(1,N(I233))*N(T233)</f>
        <v>0</v>
      </c>
      <c r="AG233" s="15" t="n">
        <f aca="false">AA233*N(AD233)</f>
        <v>0</v>
      </c>
      <c r="AH233" s="15" t="n">
        <f aca="false">AA233*N(AE233)</f>
        <v>0</v>
      </c>
      <c r="AI233" s="15" t="n">
        <f aca="false">AA233*N(AF233)</f>
        <v>0</v>
      </c>
      <c r="AJ233" s="15" t="n">
        <f aca="false">AA233*N(R233)</f>
        <v>0</v>
      </c>
      <c r="AK233" s="15" t="n">
        <f aca="false">AB233*N(AD233)</f>
        <v>0</v>
      </c>
      <c r="AL233" s="15" t="n">
        <f aca="false">AB233*N(AE233)</f>
        <v>0</v>
      </c>
      <c r="AM233" s="15" t="n">
        <f aca="false">AB233*N(AF233)</f>
        <v>0</v>
      </c>
      <c r="AN233" s="15" t="n">
        <f aca="false">AB233*N(R233)</f>
        <v>0</v>
      </c>
      <c r="AO233" s="21" t="str">
        <f aca="false">IF(F233&lt;&gt;"Y","n/a",IF(AND(N233&lt;&gt;"",OR(Q233&lt;&gt;"",G233="Other / bench",G233="None"),U233&lt;&gt;""),"OK","Missing"))</f>
        <v>Missing</v>
      </c>
    </row>
    <row r="234" customFormat="false" ht="15" hidden="false" customHeight="false" outlineLevel="0" collapsed="false">
      <c r="A234" s="10" t="s">
        <v>350</v>
      </c>
      <c r="B234" s="10" t="s">
        <v>659</v>
      </c>
      <c r="C234" s="10" t="s">
        <v>714</v>
      </c>
      <c r="D234" s="10" t="s">
        <v>661</v>
      </c>
      <c r="E234" s="21" t="str">
        <f aca="false">IF(A234="","",A234&amp;"|"&amp;D234)</f>
        <v>F39|Assay</v>
      </c>
      <c r="F234" s="16" t="s">
        <v>662</v>
      </c>
      <c r="G234" s="16" t="s">
        <v>147</v>
      </c>
      <c r="H234" s="16" t="s">
        <v>672</v>
      </c>
      <c r="I234" s="16" t="n">
        <v>1</v>
      </c>
      <c r="J234" s="16"/>
      <c r="K234" s="14"/>
      <c r="L234" s="14"/>
      <c r="M234" s="14"/>
      <c r="N234" s="14"/>
      <c r="O234" s="14"/>
      <c r="P234" s="18" t="n">
        <f aca="false">IF(N234="",0,IF(OR(M234="",O234=""),N234,(M234+4*N234+O234)/6))</f>
        <v>0</v>
      </c>
      <c r="Q234" s="14"/>
      <c r="R234" s="14"/>
      <c r="S234" s="14"/>
      <c r="T234" s="14"/>
      <c r="U234" s="16"/>
      <c r="V234" s="13"/>
      <c r="W234" s="16" t="s">
        <v>662</v>
      </c>
      <c r="X234" s="16"/>
      <c r="Y234" s="16"/>
      <c r="Z234" s="16"/>
      <c r="AA234" s="22" t="n">
        <f aca="false">IF(F234&lt;&gt;"Y",0,((SUMIF(Products!$E$5:$E$300,A234,Products!$F$5:$F$300)+SUMIF(RM_Lots!$A$5:$A$400,A234,RM_Lots!$D$5:$D$400))+IF(W234="Y",SUMIF(Products!$E$5:$E$300,A234,Products!$G$5:$G$300),0))*(1+N(V234)))</f>
        <v>0</v>
      </c>
      <c r="AB234" s="22" t="n">
        <f aca="false">IF(F234&lt;&gt;"Y",0,((SUMIF(Products!$E$5:$E$300,A234,Products!$K$5:$K$300)+SUMIF(RM_Lots!$A$5:$A$400,A234,RM_Lots!$F$5:$F$400))+IF(W234="Y",SUMIF(Products!$E$5:$E$300,A234,Products!$L$5:$L$300),0))*(1+N(V234)))</f>
        <v>0</v>
      </c>
      <c r="AC234" s="17" t="n">
        <f aca="false">IF(J234="",1,MAX(1,COUNTIFS($J$5:$J$863,J234,$F$5:$F$863,"Y")))</f>
        <v>1</v>
      </c>
      <c r="AD234" s="18" t="n">
        <f aca="false">(MAX(1,N(I234))*(P234+N(S234))+MAX(1,N(I234))*N(K234)/(MAX(1,N(U234))*AC234))*Settings!$B$9</f>
        <v>0</v>
      </c>
      <c r="AE234" s="18" t="n">
        <f aca="false">(MAX(1,N(I234))*N(Q234)+MAX(1,N(I234))*N(L234)/(MAX(1,N(U234))*AC234))*Settings!$B$8</f>
        <v>0</v>
      </c>
      <c r="AF234" s="18" t="n">
        <f aca="false">MAX(1,N(I234))*N(T234)</f>
        <v>0</v>
      </c>
      <c r="AG234" s="15" t="n">
        <f aca="false">AA234*N(AD234)</f>
        <v>0</v>
      </c>
      <c r="AH234" s="15" t="n">
        <f aca="false">AA234*N(AE234)</f>
        <v>0</v>
      </c>
      <c r="AI234" s="15" t="n">
        <f aca="false">AA234*N(AF234)</f>
        <v>0</v>
      </c>
      <c r="AJ234" s="15" t="n">
        <f aca="false">AA234*N(R234)</f>
        <v>0</v>
      </c>
      <c r="AK234" s="15" t="n">
        <f aca="false">AB234*N(AD234)</f>
        <v>0</v>
      </c>
      <c r="AL234" s="15" t="n">
        <f aca="false">AB234*N(AE234)</f>
        <v>0</v>
      </c>
      <c r="AM234" s="15" t="n">
        <f aca="false">AB234*N(AF234)</f>
        <v>0</v>
      </c>
      <c r="AN234" s="15" t="n">
        <f aca="false">AB234*N(R234)</f>
        <v>0</v>
      </c>
      <c r="AO234" s="21" t="str">
        <f aca="false">IF(F234&lt;&gt;"Y","n/a",IF(AND(N234&lt;&gt;"",OR(Q234&lt;&gt;"",G234="Other / bench",G234="None"),U234&lt;&gt;""),"OK","Missing"))</f>
        <v>Missing</v>
      </c>
    </row>
    <row r="235" customFormat="false" ht="15" hidden="false" customHeight="false" outlineLevel="0" collapsed="false">
      <c r="A235" s="10" t="s">
        <v>350</v>
      </c>
      <c r="B235" s="10" t="s">
        <v>659</v>
      </c>
      <c r="C235" s="10" t="s">
        <v>714</v>
      </c>
      <c r="D235" s="10" t="s">
        <v>664</v>
      </c>
      <c r="E235" s="21" t="str">
        <f aca="false">IF(A235="","",A235&amp;"|"&amp;D235)</f>
        <v>F39|Related substances / impurities</v>
      </c>
      <c r="F235" s="16" t="s">
        <v>662</v>
      </c>
      <c r="G235" s="16" t="s">
        <v>147</v>
      </c>
      <c r="H235" s="16" t="s">
        <v>672</v>
      </c>
      <c r="I235" s="16" t="n">
        <v>1</v>
      </c>
      <c r="J235" s="16"/>
      <c r="K235" s="14"/>
      <c r="L235" s="14"/>
      <c r="M235" s="14"/>
      <c r="N235" s="14"/>
      <c r="O235" s="14"/>
      <c r="P235" s="18" t="n">
        <f aca="false">IF(N235="",0,IF(OR(M235="",O235=""),N235,(M235+4*N235+O235)/6))</f>
        <v>0</v>
      </c>
      <c r="Q235" s="14"/>
      <c r="R235" s="14"/>
      <c r="S235" s="14"/>
      <c r="T235" s="14"/>
      <c r="U235" s="16"/>
      <c r="V235" s="13"/>
      <c r="W235" s="16" t="s">
        <v>662</v>
      </c>
      <c r="X235" s="16"/>
      <c r="Y235" s="16"/>
      <c r="Z235" s="16"/>
      <c r="AA235" s="22" t="n">
        <f aca="false">IF(F235&lt;&gt;"Y",0,((SUMIF(Products!$E$5:$E$300,A235,Products!$F$5:$F$300)+SUMIF(RM_Lots!$A$5:$A$400,A235,RM_Lots!$D$5:$D$400))+IF(W235="Y",SUMIF(Products!$E$5:$E$300,A235,Products!$G$5:$G$300),0))*(1+N(V235)))</f>
        <v>0</v>
      </c>
      <c r="AB235" s="22" t="n">
        <f aca="false">IF(F235&lt;&gt;"Y",0,((SUMIF(Products!$E$5:$E$300,A235,Products!$K$5:$K$300)+SUMIF(RM_Lots!$A$5:$A$400,A235,RM_Lots!$F$5:$F$400))+IF(W235="Y",SUMIF(Products!$E$5:$E$300,A235,Products!$L$5:$L$300),0))*(1+N(V235)))</f>
        <v>0</v>
      </c>
      <c r="AC235" s="17" t="n">
        <f aca="false">IF(J235="",1,MAX(1,COUNTIFS($J$5:$J$863,J235,$F$5:$F$863,"Y")))</f>
        <v>1</v>
      </c>
      <c r="AD235" s="18" t="n">
        <f aca="false">(MAX(1,N(I235))*(P235+N(S235))+MAX(1,N(I235))*N(K235)/(MAX(1,N(U235))*AC235))*Settings!$B$9</f>
        <v>0</v>
      </c>
      <c r="AE235" s="18" t="n">
        <f aca="false">(MAX(1,N(I235))*N(Q235)+MAX(1,N(I235))*N(L235)/(MAX(1,N(U235))*AC235))*Settings!$B$8</f>
        <v>0</v>
      </c>
      <c r="AF235" s="18" t="n">
        <f aca="false">MAX(1,N(I235))*N(T235)</f>
        <v>0</v>
      </c>
      <c r="AG235" s="15" t="n">
        <f aca="false">AA235*N(AD235)</f>
        <v>0</v>
      </c>
      <c r="AH235" s="15" t="n">
        <f aca="false">AA235*N(AE235)</f>
        <v>0</v>
      </c>
      <c r="AI235" s="15" t="n">
        <f aca="false">AA235*N(AF235)</f>
        <v>0</v>
      </c>
      <c r="AJ235" s="15" t="n">
        <f aca="false">AA235*N(R235)</f>
        <v>0</v>
      </c>
      <c r="AK235" s="15" t="n">
        <f aca="false">AB235*N(AD235)</f>
        <v>0</v>
      </c>
      <c r="AL235" s="15" t="n">
        <f aca="false">AB235*N(AE235)</f>
        <v>0</v>
      </c>
      <c r="AM235" s="15" t="n">
        <f aca="false">AB235*N(AF235)</f>
        <v>0</v>
      </c>
      <c r="AN235" s="15" t="n">
        <f aca="false">AB235*N(R235)</f>
        <v>0</v>
      </c>
      <c r="AO235" s="21" t="str">
        <f aca="false">IF(F235&lt;&gt;"Y","n/a",IF(AND(N235&lt;&gt;"",OR(Q235&lt;&gt;"",G235="Other / bench",G235="None"),U235&lt;&gt;""),"OK","Missing"))</f>
        <v>Missing</v>
      </c>
    </row>
    <row r="236" customFormat="false" ht="15" hidden="false" customHeight="false" outlineLevel="0" collapsed="false">
      <c r="A236" s="10" t="s">
        <v>350</v>
      </c>
      <c r="B236" s="10" t="s">
        <v>659</v>
      </c>
      <c r="C236" s="10" t="s">
        <v>714</v>
      </c>
      <c r="D236" s="10" t="s">
        <v>665</v>
      </c>
      <c r="E236" s="21" t="str">
        <f aca="false">IF(A236="","",A236&amp;"|"&amp;D236)</f>
        <v>F39|Dissolution</v>
      </c>
      <c r="F236" s="16" t="s">
        <v>662</v>
      </c>
      <c r="G236" s="16" t="s">
        <v>147</v>
      </c>
      <c r="H236" s="16" t="s">
        <v>672</v>
      </c>
      <c r="I236" s="16" t="n">
        <v>1</v>
      </c>
      <c r="J236" s="16"/>
      <c r="K236" s="14"/>
      <c r="L236" s="14"/>
      <c r="M236" s="14"/>
      <c r="N236" s="14"/>
      <c r="O236" s="14"/>
      <c r="P236" s="18" t="n">
        <f aca="false">IF(N236="",0,IF(OR(M236="",O236=""),N236,(M236+4*N236+O236)/6))</f>
        <v>0</v>
      </c>
      <c r="Q236" s="14"/>
      <c r="R236" s="14"/>
      <c r="S236" s="14"/>
      <c r="T236" s="14"/>
      <c r="U236" s="16"/>
      <c r="V236" s="13"/>
      <c r="W236" s="16" t="s">
        <v>662</v>
      </c>
      <c r="X236" s="16"/>
      <c r="Y236" s="16"/>
      <c r="Z236" s="16"/>
      <c r="AA236" s="22" t="n">
        <f aca="false">IF(F236&lt;&gt;"Y",0,((SUMIF(Products!$E$5:$E$300,A236,Products!$F$5:$F$300)+SUMIF(RM_Lots!$A$5:$A$400,A236,RM_Lots!$D$5:$D$400))+IF(W236="Y",SUMIF(Products!$E$5:$E$300,A236,Products!$G$5:$G$300),0))*(1+N(V236)))</f>
        <v>0</v>
      </c>
      <c r="AB236" s="22" t="n">
        <f aca="false">IF(F236&lt;&gt;"Y",0,((SUMIF(Products!$E$5:$E$300,A236,Products!$K$5:$K$300)+SUMIF(RM_Lots!$A$5:$A$400,A236,RM_Lots!$F$5:$F$400))+IF(W236="Y",SUMIF(Products!$E$5:$E$300,A236,Products!$L$5:$L$300),0))*(1+N(V236)))</f>
        <v>0</v>
      </c>
      <c r="AC236" s="17" t="n">
        <f aca="false">IF(J236="",1,MAX(1,COUNTIFS($J$5:$J$863,J236,$F$5:$F$863,"Y")))</f>
        <v>1</v>
      </c>
      <c r="AD236" s="18" t="n">
        <f aca="false">(MAX(1,N(I236))*(P236+N(S236))+MAX(1,N(I236))*N(K236)/(MAX(1,N(U236))*AC236))*Settings!$B$9</f>
        <v>0</v>
      </c>
      <c r="AE236" s="18" t="n">
        <f aca="false">(MAX(1,N(I236))*N(Q236)+MAX(1,N(I236))*N(L236)/(MAX(1,N(U236))*AC236))*Settings!$B$8</f>
        <v>0</v>
      </c>
      <c r="AF236" s="18" t="n">
        <f aca="false">MAX(1,N(I236))*N(T236)</f>
        <v>0</v>
      </c>
      <c r="AG236" s="15" t="n">
        <f aca="false">AA236*N(AD236)</f>
        <v>0</v>
      </c>
      <c r="AH236" s="15" t="n">
        <f aca="false">AA236*N(AE236)</f>
        <v>0</v>
      </c>
      <c r="AI236" s="15" t="n">
        <f aca="false">AA236*N(AF236)</f>
        <v>0</v>
      </c>
      <c r="AJ236" s="15" t="n">
        <f aca="false">AA236*N(R236)</f>
        <v>0</v>
      </c>
      <c r="AK236" s="15" t="n">
        <f aca="false">AB236*N(AD236)</f>
        <v>0</v>
      </c>
      <c r="AL236" s="15" t="n">
        <f aca="false">AB236*N(AE236)</f>
        <v>0</v>
      </c>
      <c r="AM236" s="15" t="n">
        <f aca="false">AB236*N(AF236)</f>
        <v>0</v>
      </c>
      <c r="AN236" s="15" t="n">
        <f aca="false">AB236*N(R236)</f>
        <v>0</v>
      </c>
      <c r="AO236" s="21" t="str">
        <f aca="false">IF(F236&lt;&gt;"Y","n/a",IF(AND(N236&lt;&gt;"",OR(Q236&lt;&gt;"",G236="Other / bench",G236="None"),U236&lt;&gt;""),"OK","Missing"))</f>
        <v>Missing</v>
      </c>
    </row>
    <row r="237" customFormat="false" ht="15" hidden="false" customHeight="false" outlineLevel="0" collapsed="false">
      <c r="A237" s="10" t="s">
        <v>350</v>
      </c>
      <c r="B237" s="10" t="s">
        <v>659</v>
      </c>
      <c r="C237" s="10" t="s">
        <v>714</v>
      </c>
      <c r="D237" s="10" t="s">
        <v>666</v>
      </c>
      <c r="E237" s="21" t="str">
        <f aca="false">IF(A237="","",A237&amp;"|"&amp;D237)</f>
        <v>F39|Content uniformity</v>
      </c>
      <c r="F237" s="16" t="s">
        <v>662</v>
      </c>
      <c r="G237" s="16" t="s">
        <v>147</v>
      </c>
      <c r="H237" s="16" t="s">
        <v>672</v>
      </c>
      <c r="I237" s="16" t="n">
        <v>1</v>
      </c>
      <c r="J237" s="16"/>
      <c r="K237" s="14"/>
      <c r="L237" s="14"/>
      <c r="M237" s="14"/>
      <c r="N237" s="14"/>
      <c r="O237" s="14"/>
      <c r="P237" s="18" t="n">
        <f aca="false">IF(N237="",0,IF(OR(M237="",O237=""),N237,(M237+4*N237+O237)/6))</f>
        <v>0</v>
      </c>
      <c r="Q237" s="14"/>
      <c r="R237" s="14"/>
      <c r="S237" s="14"/>
      <c r="T237" s="14"/>
      <c r="U237" s="16"/>
      <c r="V237" s="13"/>
      <c r="W237" s="16" t="s">
        <v>667</v>
      </c>
      <c r="X237" s="16"/>
      <c r="Y237" s="16"/>
      <c r="Z237" s="16"/>
      <c r="AA237" s="22" t="n">
        <f aca="false">IF(F237&lt;&gt;"Y",0,((SUMIF(Products!$E$5:$E$300,A237,Products!$F$5:$F$300)+SUMIF(RM_Lots!$A$5:$A$400,A237,RM_Lots!$D$5:$D$400))+IF(W237="Y",SUMIF(Products!$E$5:$E$300,A237,Products!$G$5:$G$300),0))*(1+N(V237)))</f>
        <v>0</v>
      </c>
      <c r="AB237" s="22" t="n">
        <f aca="false">IF(F237&lt;&gt;"Y",0,((SUMIF(Products!$E$5:$E$300,A237,Products!$K$5:$K$300)+SUMIF(RM_Lots!$A$5:$A$400,A237,RM_Lots!$F$5:$F$400))+IF(W237="Y",SUMIF(Products!$E$5:$E$300,A237,Products!$L$5:$L$300),0))*(1+N(V237)))</f>
        <v>0</v>
      </c>
      <c r="AC237" s="17" t="n">
        <f aca="false">IF(J237="",1,MAX(1,COUNTIFS($J$5:$J$863,J237,$F$5:$F$863,"Y")))</f>
        <v>1</v>
      </c>
      <c r="AD237" s="18" t="n">
        <f aca="false">(MAX(1,N(I237))*(P237+N(S237))+MAX(1,N(I237))*N(K237)/(MAX(1,N(U237))*AC237))*Settings!$B$9</f>
        <v>0</v>
      </c>
      <c r="AE237" s="18" t="n">
        <f aca="false">(MAX(1,N(I237))*N(Q237)+MAX(1,N(I237))*N(L237)/(MAX(1,N(U237))*AC237))*Settings!$B$8</f>
        <v>0</v>
      </c>
      <c r="AF237" s="18" t="n">
        <f aca="false">MAX(1,N(I237))*N(T237)</f>
        <v>0</v>
      </c>
      <c r="AG237" s="15" t="n">
        <f aca="false">AA237*N(AD237)</f>
        <v>0</v>
      </c>
      <c r="AH237" s="15" t="n">
        <f aca="false">AA237*N(AE237)</f>
        <v>0</v>
      </c>
      <c r="AI237" s="15" t="n">
        <f aca="false">AA237*N(AF237)</f>
        <v>0</v>
      </c>
      <c r="AJ237" s="15" t="n">
        <f aca="false">AA237*N(R237)</f>
        <v>0</v>
      </c>
      <c r="AK237" s="15" t="n">
        <f aca="false">AB237*N(AD237)</f>
        <v>0</v>
      </c>
      <c r="AL237" s="15" t="n">
        <f aca="false">AB237*N(AE237)</f>
        <v>0</v>
      </c>
      <c r="AM237" s="15" t="n">
        <f aca="false">AB237*N(AF237)</f>
        <v>0</v>
      </c>
      <c r="AN237" s="15" t="n">
        <f aca="false">AB237*N(R237)</f>
        <v>0</v>
      </c>
      <c r="AO237" s="21" t="str">
        <f aca="false">IF(F237&lt;&gt;"Y","n/a",IF(AND(N237&lt;&gt;"",OR(Q237&lt;&gt;"",G237="Other / bench",G237="None"),U237&lt;&gt;""),"OK","Missing"))</f>
        <v>Missing</v>
      </c>
    </row>
    <row r="238" customFormat="false" ht="15" hidden="false" customHeight="false" outlineLevel="0" collapsed="false">
      <c r="A238" s="10" t="s">
        <v>350</v>
      </c>
      <c r="B238" s="10" t="s">
        <v>659</v>
      </c>
      <c r="C238" s="10" t="s">
        <v>714</v>
      </c>
      <c r="D238" s="10" t="s">
        <v>668</v>
      </c>
      <c r="E238" s="21" t="str">
        <f aca="false">IF(A238="","",A238&amp;"|"&amp;D238)</f>
        <v>F39|Identification (if separate from assay)</v>
      </c>
      <c r="F238" s="16" t="s">
        <v>667</v>
      </c>
      <c r="G238" s="16" t="s">
        <v>147</v>
      </c>
      <c r="H238" s="16" t="s">
        <v>672</v>
      </c>
      <c r="I238" s="16" t="n">
        <v>1</v>
      </c>
      <c r="J238" s="16"/>
      <c r="K238" s="14"/>
      <c r="L238" s="14"/>
      <c r="M238" s="14"/>
      <c r="N238" s="14"/>
      <c r="O238" s="14"/>
      <c r="P238" s="18" t="n">
        <f aca="false">IF(N238="",0,IF(OR(M238="",O238=""),N238,(M238+4*N238+O238)/6))</f>
        <v>0</v>
      </c>
      <c r="Q238" s="14"/>
      <c r="R238" s="14"/>
      <c r="S238" s="14"/>
      <c r="T238" s="14"/>
      <c r="U238" s="16"/>
      <c r="V238" s="13"/>
      <c r="W238" s="16" t="s">
        <v>667</v>
      </c>
      <c r="X238" s="16"/>
      <c r="Y238" s="16"/>
      <c r="Z238" s="16"/>
      <c r="AA238" s="22" t="n">
        <f aca="false">IF(F238&lt;&gt;"Y",0,((SUMIF(Products!$E$5:$E$300,A238,Products!$F$5:$F$300)+SUMIF(RM_Lots!$A$5:$A$400,A238,RM_Lots!$D$5:$D$400))+IF(W238="Y",SUMIF(Products!$E$5:$E$300,A238,Products!$G$5:$G$300),0))*(1+N(V238)))</f>
        <v>0</v>
      </c>
      <c r="AB238" s="22" t="n">
        <f aca="false">IF(F238&lt;&gt;"Y",0,((SUMIF(Products!$E$5:$E$300,A238,Products!$K$5:$K$300)+SUMIF(RM_Lots!$A$5:$A$400,A238,RM_Lots!$F$5:$F$400))+IF(W238="Y",SUMIF(Products!$E$5:$E$300,A238,Products!$L$5:$L$300),0))*(1+N(V238)))</f>
        <v>0</v>
      </c>
      <c r="AC238" s="17" t="n">
        <f aca="false">IF(J238="",1,MAX(1,COUNTIFS($J$5:$J$863,J238,$F$5:$F$863,"Y")))</f>
        <v>1</v>
      </c>
      <c r="AD238" s="18" t="n">
        <f aca="false">(MAX(1,N(I238))*(P238+N(S238))+MAX(1,N(I238))*N(K238)/(MAX(1,N(U238))*AC238))*Settings!$B$9</f>
        <v>0</v>
      </c>
      <c r="AE238" s="18" t="n">
        <f aca="false">(MAX(1,N(I238))*N(Q238)+MAX(1,N(I238))*N(L238)/(MAX(1,N(U238))*AC238))*Settings!$B$8</f>
        <v>0</v>
      </c>
      <c r="AF238" s="18" t="n">
        <f aca="false">MAX(1,N(I238))*N(T238)</f>
        <v>0</v>
      </c>
      <c r="AG238" s="15" t="n">
        <f aca="false">AA238*N(AD238)</f>
        <v>0</v>
      </c>
      <c r="AH238" s="15" t="n">
        <f aca="false">AA238*N(AE238)</f>
        <v>0</v>
      </c>
      <c r="AI238" s="15" t="n">
        <f aca="false">AA238*N(AF238)</f>
        <v>0</v>
      </c>
      <c r="AJ238" s="15" t="n">
        <f aca="false">AA238*N(R238)</f>
        <v>0</v>
      </c>
      <c r="AK238" s="15" t="n">
        <f aca="false">AB238*N(AD238)</f>
        <v>0</v>
      </c>
      <c r="AL238" s="15" t="n">
        <f aca="false">AB238*N(AE238)</f>
        <v>0</v>
      </c>
      <c r="AM238" s="15" t="n">
        <f aca="false">AB238*N(AF238)</f>
        <v>0</v>
      </c>
      <c r="AN238" s="15" t="n">
        <f aca="false">AB238*N(R238)</f>
        <v>0</v>
      </c>
      <c r="AO238" s="21" t="str">
        <f aca="false">IF(F238&lt;&gt;"Y","n/a",IF(AND(N238&lt;&gt;"",OR(Q238&lt;&gt;"",G238="Other / bench",G238="None"),U238&lt;&gt;""),"OK","Missing"))</f>
        <v>n/a</v>
      </c>
    </row>
    <row r="239" customFormat="false" ht="15" hidden="false" customHeight="false" outlineLevel="0" collapsed="false">
      <c r="A239" s="10" t="s">
        <v>350</v>
      </c>
      <c r="B239" s="10" t="s">
        <v>659</v>
      </c>
      <c r="C239" s="10" t="s">
        <v>714</v>
      </c>
      <c r="D239" s="10" t="s">
        <v>669</v>
      </c>
      <c r="E239" s="21" t="str">
        <f aca="false">IF(A239="","",A239&amp;"|"&amp;D239)</f>
        <v>F39|Other tests (non-HPLC: physical, LOD/KF, disintegration, pH, micro...)</v>
      </c>
      <c r="F239" s="16" t="s">
        <v>662</v>
      </c>
      <c r="G239" s="16" t="s">
        <v>670</v>
      </c>
      <c r="H239" s="16" t="s">
        <v>672</v>
      </c>
      <c r="I239" s="16" t="n">
        <v>1</v>
      </c>
      <c r="J239" s="16"/>
      <c r="K239" s="14"/>
      <c r="L239" s="14"/>
      <c r="M239" s="14"/>
      <c r="N239" s="14"/>
      <c r="O239" s="14"/>
      <c r="P239" s="18" t="n">
        <f aca="false">IF(N239="",0,IF(OR(M239="",O239=""),N239,(M239+4*N239+O239)/6))</f>
        <v>0</v>
      </c>
      <c r="Q239" s="14"/>
      <c r="R239" s="14"/>
      <c r="S239" s="14"/>
      <c r="T239" s="14"/>
      <c r="U239" s="16"/>
      <c r="V239" s="13"/>
      <c r="W239" s="16" t="s">
        <v>662</v>
      </c>
      <c r="X239" s="16"/>
      <c r="Y239" s="16"/>
      <c r="Z239" s="16"/>
      <c r="AA239" s="22" t="n">
        <f aca="false">IF(F239&lt;&gt;"Y",0,((SUMIF(Products!$E$5:$E$300,A239,Products!$F$5:$F$300)+SUMIF(RM_Lots!$A$5:$A$400,A239,RM_Lots!$D$5:$D$400))+IF(W239="Y",SUMIF(Products!$E$5:$E$300,A239,Products!$G$5:$G$300),0))*(1+N(V239)))</f>
        <v>0</v>
      </c>
      <c r="AB239" s="22" t="n">
        <f aca="false">IF(F239&lt;&gt;"Y",0,((SUMIF(Products!$E$5:$E$300,A239,Products!$K$5:$K$300)+SUMIF(RM_Lots!$A$5:$A$400,A239,RM_Lots!$F$5:$F$400))+IF(W239="Y",SUMIF(Products!$E$5:$E$300,A239,Products!$L$5:$L$300),0))*(1+N(V239)))</f>
        <v>0</v>
      </c>
      <c r="AC239" s="17" t="n">
        <f aca="false">IF(J239="",1,MAX(1,COUNTIFS($J$5:$J$863,J239,$F$5:$F$863,"Y")))</f>
        <v>1</v>
      </c>
      <c r="AD239" s="18" t="n">
        <f aca="false">(MAX(1,N(I239))*(P239+N(S239))+MAX(1,N(I239))*N(K239)/(MAX(1,N(U239))*AC239))*Settings!$B$9</f>
        <v>0</v>
      </c>
      <c r="AE239" s="18" t="n">
        <f aca="false">(MAX(1,N(I239))*N(Q239)+MAX(1,N(I239))*N(L239)/(MAX(1,N(U239))*AC239))*Settings!$B$8</f>
        <v>0</v>
      </c>
      <c r="AF239" s="18" t="n">
        <f aca="false">MAX(1,N(I239))*N(T239)</f>
        <v>0</v>
      </c>
      <c r="AG239" s="15" t="n">
        <f aca="false">AA239*N(AD239)</f>
        <v>0</v>
      </c>
      <c r="AH239" s="15" t="n">
        <f aca="false">AA239*N(AE239)</f>
        <v>0</v>
      </c>
      <c r="AI239" s="15" t="n">
        <f aca="false">AA239*N(AF239)</f>
        <v>0</v>
      </c>
      <c r="AJ239" s="15" t="n">
        <f aca="false">AA239*N(R239)</f>
        <v>0</v>
      </c>
      <c r="AK239" s="15" t="n">
        <f aca="false">AB239*N(AD239)</f>
        <v>0</v>
      </c>
      <c r="AL239" s="15" t="n">
        <f aca="false">AB239*N(AE239)</f>
        <v>0</v>
      </c>
      <c r="AM239" s="15" t="n">
        <f aca="false">AB239*N(AF239)</f>
        <v>0</v>
      </c>
      <c r="AN239" s="15" t="n">
        <f aca="false">AB239*N(R239)</f>
        <v>0</v>
      </c>
      <c r="AO239" s="21" t="str">
        <f aca="false">IF(F239&lt;&gt;"Y","n/a",IF(AND(N239&lt;&gt;"",OR(Q239&lt;&gt;"",G239="Other / bench",G239="None"),U239&lt;&gt;""),"OK","Missing"))</f>
        <v>Missing</v>
      </c>
    </row>
    <row r="240" customFormat="false" ht="15" hidden="false" customHeight="false" outlineLevel="0" collapsed="false">
      <c r="A240" s="10" t="s">
        <v>353</v>
      </c>
      <c r="B240" s="10" t="s">
        <v>659</v>
      </c>
      <c r="C240" s="10" t="s">
        <v>715</v>
      </c>
      <c r="D240" s="10" t="s">
        <v>661</v>
      </c>
      <c r="E240" s="21" t="str">
        <f aca="false">IF(A240="","",A240&amp;"|"&amp;D240)</f>
        <v>F40|Assay</v>
      </c>
      <c r="F240" s="16" t="s">
        <v>662</v>
      </c>
      <c r="G240" s="16" t="s">
        <v>147</v>
      </c>
      <c r="H240" s="16" t="s">
        <v>685</v>
      </c>
      <c r="I240" s="16" t="n">
        <v>1</v>
      </c>
      <c r="J240" s="16"/>
      <c r="K240" s="14"/>
      <c r="L240" s="14"/>
      <c r="M240" s="14"/>
      <c r="N240" s="14"/>
      <c r="O240" s="14"/>
      <c r="P240" s="18" t="n">
        <f aca="false">IF(N240="",0,IF(OR(M240="",O240=""),N240,(M240+4*N240+O240)/6))</f>
        <v>0</v>
      </c>
      <c r="Q240" s="14"/>
      <c r="R240" s="14"/>
      <c r="S240" s="14"/>
      <c r="T240" s="14"/>
      <c r="U240" s="16"/>
      <c r="V240" s="13"/>
      <c r="W240" s="16" t="s">
        <v>662</v>
      </c>
      <c r="X240" s="16"/>
      <c r="Y240" s="16"/>
      <c r="Z240" s="16" t="s">
        <v>693</v>
      </c>
      <c r="AA240" s="22" t="n">
        <f aca="false">IF(F240&lt;&gt;"Y",0,((SUMIF(Products!$E$5:$E$300,A240,Products!$F$5:$F$300)+SUMIF(RM_Lots!$A$5:$A$400,A240,RM_Lots!$D$5:$D$400))+IF(W240="Y",SUMIF(Products!$E$5:$E$300,A240,Products!$G$5:$G$300),0))*(1+N(V240)))</f>
        <v>0</v>
      </c>
      <c r="AB240" s="22" t="n">
        <f aca="false">IF(F240&lt;&gt;"Y",0,((SUMIF(Products!$E$5:$E$300,A240,Products!$K$5:$K$300)+SUMIF(RM_Lots!$A$5:$A$400,A240,RM_Lots!$F$5:$F$400))+IF(W240="Y",SUMIF(Products!$E$5:$E$300,A240,Products!$L$5:$L$300),0))*(1+N(V240)))</f>
        <v>0</v>
      </c>
      <c r="AC240" s="17" t="n">
        <f aca="false">IF(J240="",1,MAX(1,COUNTIFS($J$5:$J$863,J240,$F$5:$F$863,"Y")))</f>
        <v>1</v>
      </c>
      <c r="AD240" s="18" t="n">
        <f aca="false">(MAX(1,N(I240))*(P240+N(S240))+MAX(1,N(I240))*N(K240)/(MAX(1,N(U240))*AC240))*Settings!$B$9</f>
        <v>0</v>
      </c>
      <c r="AE240" s="18" t="n">
        <f aca="false">(MAX(1,N(I240))*N(Q240)+MAX(1,N(I240))*N(L240)/(MAX(1,N(U240))*AC240))*Settings!$B$8</f>
        <v>0</v>
      </c>
      <c r="AF240" s="18" t="n">
        <f aca="false">MAX(1,N(I240))*N(T240)</f>
        <v>0</v>
      </c>
      <c r="AG240" s="15" t="n">
        <f aca="false">AA240*N(AD240)</f>
        <v>0</v>
      </c>
      <c r="AH240" s="15" t="n">
        <f aca="false">AA240*N(AE240)</f>
        <v>0</v>
      </c>
      <c r="AI240" s="15" t="n">
        <f aca="false">AA240*N(AF240)</f>
        <v>0</v>
      </c>
      <c r="AJ240" s="15" t="n">
        <f aca="false">AA240*N(R240)</f>
        <v>0</v>
      </c>
      <c r="AK240" s="15" t="n">
        <f aca="false">AB240*N(AD240)</f>
        <v>0</v>
      </c>
      <c r="AL240" s="15" t="n">
        <f aca="false">AB240*N(AE240)</f>
        <v>0</v>
      </c>
      <c r="AM240" s="15" t="n">
        <f aca="false">AB240*N(AF240)</f>
        <v>0</v>
      </c>
      <c r="AN240" s="15" t="n">
        <f aca="false">AB240*N(R240)</f>
        <v>0</v>
      </c>
      <c r="AO240" s="21" t="str">
        <f aca="false">IF(F240&lt;&gt;"Y","n/a",IF(AND(N240&lt;&gt;"",OR(Q240&lt;&gt;"",G240="Other / bench",G240="None"),U240&lt;&gt;""),"OK","Missing"))</f>
        <v>Missing</v>
      </c>
    </row>
    <row r="241" customFormat="false" ht="15" hidden="false" customHeight="false" outlineLevel="0" collapsed="false">
      <c r="A241" s="10" t="s">
        <v>353</v>
      </c>
      <c r="B241" s="10" t="s">
        <v>659</v>
      </c>
      <c r="C241" s="10" t="s">
        <v>715</v>
      </c>
      <c r="D241" s="10" t="s">
        <v>664</v>
      </c>
      <c r="E241" s="21" t="str">
        <f aca="false">IF(A241="","",A241&amp;"|"&amp;D241)</f>
        <v>F40|Related substances / impurities</v>
      </c>
      <c r="F241" s="16" t="s">
        <v>667</v>
      </c>
      <c r="G241" s="16" t="s">
        <v>147</v>
      </c>
      <c r="H241" s="16" t="s">
        <v>685</v>
      </c>
      <c r="I241" s="16" t="n">
        <v>1</v>
      </c>
      <c r="J241" s="16"/>
      <c r="K241" s="14"/>
      <c r="L241" s="14"/>
      <c r="M241" s="14"/>
      <c r="N241" s="14"/>
      <c r="O241" s="14"/>
      <c r="P241" s="18" t="n">
        <f aca="false">IF(N241="",0,IF(OR(M241="",O241=""),N241,(M241+4*N241+O241)/6))</f>
        <v>0</v>
      </c>
      <c r="Q241" s="14"/>
      <c r="R241" s="14"/>
      <c r="S241" s="14"/>
      <c r="T241" s="14"/>
      <c r="U241" s="16"/>
      <c r="V241" s="13"/>
      <c r="W241" s="16" t="s">
        <v>662</v>
      </c>
      <c r="X241" s="16"/>
      <c r="Y241" s="16"/>
      <c r="Z241" s="16"/>
      <c r="AA241" s="22" t="n">
        <f aca="false">IF(F241&lt;&gt;"Y",0,((SUMIF(Products!$E$5:$E$300,A241,Products!$F$5:$F$300)+SUMIF(RM_Lots!$A$5:$A$400,A241,RM_Lots!$D$5:$D$400))+IF(W241="Y",SUMIF(Products!$E$5:$E$300,A241,Products!$G$5:$G$300),0))*(1+N(V241)))</f>
        <v>0</v>
      </c>
      <c r="AB241" s="22" t="n">
        <f aca="false">IF(F241&lt;&gt;"Y",0,((SUMIF(Products!$E$5:$E$300,A241,Products!$K$5:$K$300)+SUMIF(RM_Lots!$A$5:$A$400,A241,RM_Lots!$F$5:$F$400))+IF(W241="Y",SUMIF(Products!$E$5:$E$300,A241,Products!$L$5:$L$300),0))*(1+N(V241)))</f>
        <v>0</v>
      </c>
      <c r="AC241" s="17" t="n">
        <f aca="false">IF(J241="",1,MAX(1,COUNTIFS($J$5:$J$863,J241,$F$5:$F$863,"Y")))</f>
        <v>1</v>
      </c>
      <c r="AD241" s="18" t="n">
        <f aca="false">(MAX(1,N(I241))*(P241+N(S241))+MAX(1,N(I241))*N(K241)/(MAX(1,N(U241))*AC241))*Settings!$B$9</f>
        <v>0</v>
      </c>
      <c r="AE241" s="18" t="n">
        <f aca="false">(MAX(1,N(I241))*N(Q241)+MAX(1,N(I241))*N(L241)/(MAX(1,N(U241))*AC241))*Settings!$B$8</f>
        <v>0</v>
      </c>
      <c r="AF241" s="18" t="n">
        <f aca="false">MAX(1,N(I241))*N(T241)</f>
        <v>0</v>
      </c>
      <c r="AG241" s="15" t="n">
        <f aca="false">AA241*N(AD241)</f>
        <v>0</v>
      </c>
      <c r="AH241" s="15" t="n">
        <f aca="false">AA241*N(AE241)</f>
        <v>0</v>
      </c>
      <c r="AI241" s="15" t="n">
        <f aca="false">AA241*N(AF241)</f>
        <v>0</v>
      </c>
      <c r="AJ241" s="15" t="n">
        <f aca="false">AA241*N(R241)</f>
        <v>0</v>
      </c>
      <c r="AK241" s="15" t="n">
        <f aca="false">AB241*N(AD241)</f>
        <v>0</v>
      </c>
      <c r="AL241" s="15" t="n">
        <f aca="false">AB241*N(AE241)</f>
        <v>0</v>
      </c>
      <c r="AM241" s="15" t="n">
        <f aca="false">AB241*N(AF241)</f>
        <v>0</v>
      </c>
      <c r="AN241" s="15" t="n">
        <f aca="false">AB241*N(R241)</f>
        <v>0</v>
      </c>
      <c r="AO241" s="21" t="str">
        <f aca="false">IF(F241&lt;&gt;"Y","n/a",IF(AND(N241&lt;&gt;"",OR(Q241&lt;&gt;"",G241="Other / bench",G241="None"),U241&lt;&gt;""),"OK","Missing"))</f>
        <v>n/a</v>
      </c>
    </row>
    <row r="242" customFormat="false" ht="15" hidden="false" customHeight="false" outlineLevel="0" collapsed="false">
      <c r="A242" s="10" t="s">
        <v>353</v>
      </c>
      <c r="B242" s="10" t="s">
        <v>659</v>
      </c>
      <c r="C242" s="10" t="s">
        <v>715</v>
      </c>
      <c r="D242" s="10" t="s">
        <v>665</v>
      </c>
      <c r="E242" s="21" t="str">
        <f aca="false">IF(A242="","",A242&amp;"|"&amp;D242)</f>
        <v>F40|Dissolution</v>
      </c>
      <c r="F242" s="16" t="s">
        <v>662</v>
      </c>
      <c r="G242" s="16" t="s">
        <v>147</v>
      </c>
      <c r="H242" s="16" t="s">
        <v>685</v>
      </c>
      <c r="I242" s="16" t="n">
        <v>1</v>
      </c>
      <c r="J242" s="16"/>
      <c r="K242" s="14"/>
      <c r="L242" s="14"/>
      <c r="M242" s="14"/>
      <c r="N242" s="14"/>
      <c r="O242" s="14"/>
      <c r="P242" s="18" t="n">
        <f aca="false">IF(N242="",0,IF(OR(M242="",O242=""),N242,(M242+4*N242+O242)/6))</f>
        <v>0</v>
      </c>
      <c r="Q242" s="14"/>
      <c r="R242" s="14"/>
      <c r="S242" s="14"/>
      <c r="T242" s="14"/>
      <c r="U242" s="16"/>
      <c r="V242" s="13"/>
      <c r="W242" s="16" t="s">
        <v>662</v>
      </c>
      <c r="X242" s="16"/>
      <c r="Y242" s="16"/>
      <c r="Z242" s="16"/>
      <c r="AA242" s="22" t="n">
        <f aca="false">IF(F242&lt;&gt;"Y",0,((SUMIF(Products!$E$5:$E$300,A242,Products!$F$5:$F$300)+SUMIF(RM_Lots!$A$5:$A$400,A242,RM_Lots!$D$5:$D$400))+IF(W242="Y",SUMIF(Products!$E$5:$E$300,A242,Products!$G$5:$G$300),0))*(1+N(V242)))</f>
        <v>0</v>
      </c>
      <c r="AB242" s="22" t="n">
        <f aca="false">IF(F242&lt;&gt;"Y",0,((SUMIF(Products!$E$5:$E$300,A242,Products!$K$5:$K$300)+SUMIF(RM_Lots!$A$5:$A$400,A242,RM_Lots!$F$5:$F$400))+IF(W242="Y",SUMIF(Products!$E$5:$E$300,A242,Products!$L$5:$L$300),0))*(1+N(V242)))</f>
        <v>0</v>
      </c>
      <c r="AC242" s="17" t="n">
        <f aca="false">IF(J242="",1,MAX(1,COUNTIFS($J$5:$J$863,J242,$F$5:$F$863,"Y")))</f>
        <v>1</v>
      </c>
      <c r="AD242" s="18" t="n">
        <f aca="false">(MAX(1,N(I242))*(P242+N(S242))+MAX(1,N(I242))*N(K242)/(MAX(1,N(U242))*AC242))*Settings!$B$9</f>
        <v>0</v>
      </c>
      <c r="AE242" s="18" t="n">
        <f aca="false">(MAX(1,N(I242))*N(Q242)+MAX(1,N(I242))*N(L242)/(MAX(1,N(U242))*AC242))*Settings!$B$8</f>
        <v>0</v>
      </c>
      <c r="AF242" s="18" t="n">
        <f aca="false">MAX(1,N(I242))*N(T242)</f>
        <v>0</v>
      </c>
      <c r="AG242" s="15" t="n">
        <f aca="false">AA242*N(AD242)</f>
        <v>0</v>
      </c>
      <c r="AH242" s="15" t="n">
        <f aca="false">AA242*N(AE242)</f>
        <v>0</v>
      </c>
      <c r="AI242" s="15" t="n">
        <f aca="false">AA242*N(AF242)</f>
        <v>0</v>
      </c>
      <c r="AJ242" s="15" t="n">
        <f aca="false">AA242*N(R242)</f>
        <v>0</v>
      </c>
      <c r="AK242" s="15" t="n">
        <f aca="false">AB242*N(AD242)</f>
        <v>0</v>
      </c>
      <c r="AL242" s="15" t="n">
        <f aca="false">AB242*N(AE242)</f>
        <v>0</v>
      </c>
      <c r="AM242" s="15" t="n">
        <f aca="false">AB242*N(AF242)</f>
        <v>0</v>
      </c>
      <c r="AN242" s="15" t="n">
        <f aca="false">AB242*N(R242)</f>
        <v>0</v>
      </c>
      <c r="AO242" s="21" t="str">
        <f aca="false">IF(F242&lt;&gt;"Y","n/a",IF(AND(N242&lt;&gt;"",OR(Q242&lt;&gt;"",G242="Other / bench",G242="None"),U242&lt;&gt;""),"OK","Missing"))</f>
        <v>Missing</v>
      </c>
    </row>
    <row r="243" customFormat="false" ht="15" hidden="false" customHeight="false" outlineLevel="0" collapsed="false">
      <c r="A243" s="10" t="s">
        <v>353</v>
      </c>
      <c r="B243" s="10" t="s">
        <v>659</v>
      </c>
      <c r="C243" s="10" t="s">
        <v>715</v>
      </c>
      <c r="D243" s="10" t="s">
        <v>666</v>
      </c>
      <c r="E243" s="21" t="str">
        <f aca="false">IF(A243="","",A243&amp;"|"&amp;D243)</f>
        <v>F40|Content uniformity</v>
      </c>
      <c r="F243" s="16" t="s">
        <v>667</v>
      </c>
      <c r="G243" s="16" t="s">
        <v>147</v>
      </c>
      <c r="H243" s="16" t="s">
        <v>685</v>
      </c>
      <c r="I243" s="16" t="n">
        <v>1</v>
      </c>
      <c r="J243" s="16"/>
      <c r="K243" s="14"/>
      <c r="L243" s="14"/>
      <c r="M243" s="14"/>
      <c r="N243" s="14"/>
      <c r="O243" s="14"/>
      <c r="P243" s="18" t="n">
        <f aca="false">IF(N243="",0,IF(OR(M243="",O243=""),N243,(M243+4*N243+O243)/6))</f>
        <v>0</v>
      </c>
      <c r="Q243" s="14"/>
      <c r="R243" s="14"/>
      <c r="S243" s="14"/>
      <c r="T243" s="14"/>
      <c r="U243" s="16"/>
      <c r="V243" s="13"/>
      <c r="W243" s="16" t="s">
        <v>667</v>
      </c>
      <c r="X243" s="16"/>
      <c r="Y243" s="16"/>
      <c r="Z243" s="16"/>
      <c r="AA243" s="22" t="n">
        <f aca="false">IF(F243&lt;&gt;"Y",0,((SUMIF(Products!$E$5:$E$300,A243,Products!$F$5:$F$300)+SUMIF(RM_Lots!$A$5:$A$400,A243,RM_Lots!$D$5:$D$400))+IF(W243="Y",SUMIF(Products!$E$5:$E$300,A243,Products!$G$5:$G$300),0))*(1+N(V243)))</f>
        <v>0</v>
      </c>
      <c r="AB243" s="22" t="n">
        <f aca="false">IF(F243&lt;&gt;"Y",0,((SUMIF(Products!$E$5:$E$300,A243,Products!$K$5:$K$300)+SUMIF(RM_Lots!$A$5:$A$400,A243,RM_Lots!$F$5:$F$400))+IF(W243="Y",SUMIF(Products!$E$5:$E$300,A243,Products!$L$5:$L$300),0))*(1+N(V243)))</f>
        <v>0</v>
      </c>
      <c r="AC243" s="17" t="n">
        <f aca="false">IF(J243="",1,MAX(1,COUNTIFS($J$5:$J$863,J243,$F$5:$F$863,"Y")))</f>
        <v>1</v>
      </c>
      <c r="AD243" s="18" t="n">
        <f aca="false">(MAX(1,N(I243))*(P243+N(S243))+MAX(1,N(I243))*N(K243)/(MAX(1,N(U243))*AC243))*Settings!$B$9</f>
        <v>0</v>
      </c>
      <c r="AE243" s="18" t="n">
        <f aca="false">(MAX(1,N(I243))*N(Q243)+MAX(1,N(I243))*N(L243)/(MAX(1,N(U243))*AC243))*Settings!$B$8</f>
        <v>0</v>
      </c>
      <c r="AF243" s="18" t="n">
        <f aca="false">MAX(1,N(I243))*N(T243)</f>
        <v>0</v>
      </c>
      <c r="AG243" s="15" t="n">
        <f aca="false">AA243*N(AD243)</f>
        <v>0</v>
      </c>
      <c r="AH243" s="15" t="n">
        <f aca="false">AA243*N(AE243)</f>
        <v>0</v>
      </c>
      <c r="AI243" s="15" t="n">
        <f aca="false">AA243*N(AF243)</f>
        <v>0</v>
      </c>
      <c r="AJ243" s="15" t="n">
        <f aca="false">AA243*N(R243)</f>
        <v>0</v>
      </c>
      <c r="AK243" s="15" t="n">
        <f aca="false">AB243*N(AD243)</f>
        <v>0</v>
      </c>
      <c r="AL243" s="15" t="n">
        <f aca="false">AB243*N(AE243)</f>
        <v>0</v>
      </c>
      <c r="AM243" s="15" t="n">
        <f aca="false">AB243*N(AF243)</f>
        <v>0</v>
      </c>
      <c r="AN243" s="15" t="n">
        <f aca="false">AB243*N(R243)</f>
        <v>0</v>
      </c>
      <c r="AO243" s="21" t="str">
        <f aca="false">IF(F243&lt;&gt;"Y","n/a",IF(AND(N243&lt;&gt;"",OR(Q243&lt;&gt;"",G243="Other / bench",G243="None"),U243&lt;&gt;""),"OK","Missing"))</f>
        <v>n/a</v>
      </c>
    </row>
    <row r="244" customFormat="false" ht="15" hidden="false" customHeight="false" outlineLevel="0" collapsed="false">
      <c r="A244" s="10" t="s">
        <v>353</v>
      </c>
      <c r="B244" s="10" t="s">
        <v>659</v>
      </c>
      <c r="C244" s="10" t="s">
        <v>715</v>
      </c>
      <c r="D244" s="10" t="s">
        <v>668</v>
      </c>
      <c r="E244" s="21" t="str">
        <f aca="false">IF(A244="","",A244&amp;"|"&amp;D244)</f>
        <v>F40|Identification (if separate from assay)</v>
      </c>
      <c r="F244" s="16" t="s">
        <v>667</v>
      </c>
      <c r="G244" s="16" t="s">
        <v>147</v>
      </c>
      <c r="H244" s="16" t="s">
        <v>685</v>
      </c>
      <c r="I244" s="16" t="n">
        <v>1</v>
      </c>
      <c r="J244" s="16"/>
      <c r="K244" s="14"/>
      <c r="L244" s="14"/>
      <c r="M244" s="14"/>
      <c r="N244" s="14"/>
      <c r="O244" s="14"/>
      <c r="P244" s="18" t="n">
        <f aca="false">IF(N244="",0,IF(OR(M244="",O244=""),N244,(M244+4*N244+O244)/6))</f>
        <v>0</v>
      </c>
      <c r="Q244" s="14"/>
      <c r="R244" s="14"/>
      <c r="S244" s="14"/>
      <c r="T244" s="14"/>
      <c r="U244" s="16"/>
      <c r="V244" s="13"/>
      <c r="W244" s="16" t="s">
        <v>667</v>
      </c>
      <c r="X244" s="16"/>
      <c r="Y244" s="16"/>
      <c r="Z244" s="16"/>
      <c r="AA244" s="22" t="n">
        <f aca="false">IF(F244&lt;&gt;"Y",0,((SUMIF(Products!$E$5:$E$300,A244,Products!$F$5:$F$300)+SUMIF(RM_Lots!$A$5:$A$400,A244,RM_Lots!$D$5:$D$400))+IF(W244="Y",SUMIF(Products!$E$5:$E$300,A244,Products!$G$5:$G$300),0))*(1+N(V244)))</f>
        <v>0</v>
      </c>
      <c r="AB244" s="22" t="n">
        <f aca="false">IF(F244&lt;&gt;"Y",0,((SUMIF(Products!$E$5:$E$300,A244,Products!$K$5:$K$300)+SUMIF(RM_Lots!$A$5:$A$400,A244,RM_Lots!$F$5:$F$400))+IF(W244="Y",SUMIF(Products!$E$5:$E$300,A244,Products!$L$5:$L$300),0))*(1+N(V244)))</f>
        <v>0</v>
      </c>
      <c r="AC244" s="17" t="n">
        <f aca="false">IF(J244="",1,MAX(1,COUNTIFS($J$5:$J$863,J244,$F$5:$F$863,"Y")))</f>
        <v>1</v>
      </c>
      <c r="AD244" s="18" t="n">
        <f aca="false">(MAX(1,N(I244))*(P244+N(S244))+MAX(1,N(I244))*N(K244)/(MAX(1,N(U244))*AC244))*Settings!$B$9</f>
        <v>0</v>
      </c>
      <c r="AE244" s="18" t="n">
        <f aca="false">(MAX(1,N(I244))*N(Q244)+MAX(1,N(I244))*N(L244)/(MAX(1,N(U244))*AC244))*Settings!$B$8</f>
        <v>0</v>
      </c>
      <c r="AF244" s="18" t="n">
        <f aca="false">MAX(1,N(I244))*N(T244)</f>
        <v>0</v>
      </c>
      <c r="AG244" s="15" t="n">
        <f aca="false">AA244*N(AD244)</f>
        <v>0</v>
      </c>
      <c r="AH244" s="15" t="n">
        <f aca="false">AA244*N(AE244)</f>
        <v>0</v>
      </c>
      <c r="AI244" s="15" t="n">
        <f aca="false">AA244*N(AF244)</f>
        <v>0</v>
      </c>
      <c r="AJ244" s="15" t="n">
        <f aca="false">AA244*N(R244)</f>
        <v>0</v>
      </c>
      <c r="AK244" s="15" t="n">
        <f aca="false">AB244*N(AD244)</f>
        <v>0</v>
      </c>
      <c r="AL244" s="15" t="n">
        <f aca="false">AB244*N(AE244)</f>
        <v>0</v>
      </c>
      <c r="AM244" s="15" t="n">
        <f aca="false">AB244*N(AF244)</f>
        <v>0</v>
      </c>
      <c r="AN244" s="15" t="n">
        <f aca="false">AB244*N(R244)</f>
        <v>0</v>
      </c>
      <c r="AO244" s="21" t="str">
        <f aca="false">IF(F244&lt;&gt;"Y","n/a",IF(AND(N244&lt;&gt;"",OR(Q244&lt;&gt;"",G244="Other / bench",G244="None"),U244&lt;&gt;""),"OK","Missing"))</f>
        <v>n/a</v>
      </c>
    </row>
    <row r="245" customFormat="false" ht="15" hidden="false" customHeight="false" outlineLevel="0" collapsed="false">
      <c r="A245" s="10" t="s">
        <v>353</v>
      </c>
      <c r="B245" s="10" t="s">
        <v>659</v>
      </c>
      <c r="C245" s="10" t="s">
        <v>715</v>
      </c>
      <c r="D245" s="10" t="s">
        <v>669</v>
      </c>
      <c r="E245" s="21" t="str">
        <f aca="false">IF(A245="","",A245&amp;"|"&amp;D245)</f>
        <v>F40|Other tests (non-HPLC: physical, LOD/KF, disintegration, pH, micro...)</v>
      </c>
      <c r="F245" s="16" t="s">
        <v>662</v>
      </c>
      <c r="G245" s="16" t="s">
        <v>670</v>
      </c>
      <c r="H245" s="16" t="s">
        <v>685</v>
      </c>
      <c r="I245" s="16" t="n">
        <v>1</v>
      </c>
      <c r="J245" s="16"/>
      <c r="K245" s="14"/>
      <c r="L245" s="14"/>
      <c r="M245" s="14"/>
      <c r="N245" s="14"/>
      <c r="O245" s="14"/>
      <c r="P245" s="18" t="n">
        <f aca="false">IF(N245="",0,IF(OR(M245="",O245=""),N245,(M245+4*N245+O245)/6))</f>
        <v>0</v>
      </c>
      <c r="Q245" s="14"/>
      <c r="R245" s="14"/>
      <c r="S245" s="14"/>
      <c r="T245" s="14"/>
      <c r="U245" s="16"/>
      <c r="V245" s="13"/>
      <c r="W245" s="16" t="s">
        <v>662</v>
      </c>
      <c r="X245" s="16"/>
      <c r="Y245" s="16"/>
      <c r="Z245" s="16"/>
      <c r="AA245" s="22" t="n">
        <f aca="false">IF(F245&lt;&gt;"Y",0,((SUMIF(Products!$E$5:$E$300,A245,Products!$F$5:$F$300)+SUMIF(RM_Lots!$A$5:$A$400,A245,RM_Lots!$D$5:$D$400))+IF(W245="Y",SUMIF(Products!$E$5:$E$300,A245,Products!$G$5:$G$300),0))*(1+N(V245)))</f>
        <v>0</v>
      </c>
      <c r="AB245" s="22" t="n">
        <f aca="false">IF(F245&lt;&gt;"Y",0,((SUMIF(Products!$E$5:$E$300,A245,Products!$K$5:$K$300)+SUMIF(RM_Lots!$A$5:$A$400,A245,RM_Lots!$F$5:$F$400))+IF(W245="Y",SUMIF(Products!$E$5:$E$300,A245,Products!$L$5:$L$300),0))*(1+N(V245)))</f>
        <v>0</v>
      </c>
      <c r="AC245" s="17" t="n">
        <f aca="false">IF(J245="",1,MAX(1,COUNTIFS($J$5:$J$863,J245,$F$5:$F$863,"Y")))</f>
        <v>1</v>
      </c>
      <c r="AD245" s="18" t="n">
        <f aca="false">(MAX(1,N(I245))*(P245+N(S245))+MAX(1,N(I245))*N(K245)/(MAX(1,N(U245))*AC245))*Settings!$B$9</f>
        <v>0</v>
      </c>
      <c r="AE245" s="18" t="n">
        <f aca="false">(MAX(1,N(I245))*N(Q245)+MAX(1,N(I245))*N(L245)/(MAX(1,N(U245))*AC245))*Settings!$B$8</f>
        <v>0</v>
      </c>
      <c r="AF245" s="18" t="n">
        <f aca="false">MAX(1,N(I245))*N(T245)</f>
        <v>0</v>
      </c>
      <c r="AG245" s="15" t="n">
        <f aca="false">AA245*N(AD245)</f>
        <v>0</v>
      </c>
      <c r="AH245" s="15" t="n">
        <f aca="false">AA245*N(AE245)</f>
        <v>0</v>
      </c>
      <c r="AI245" s="15" t="n">
        <f aca="false">AA245*N(AF245)</f>
        <v>0</v>
      </c>
      <c r="AJ245" s="15" t="n">
        <f aca="false">AA245*N(R245)</f>
        <v>0</v>
      </c>
      <c r="AK245" s="15" t="n">
        <f aca="false">AB245*N(AD245)</f>
        <v>0</v>
      </c>
      <c r="AL245" s="15" t="n">
        <f aca="false">AB245*N(AE245)</f>
        <v>0</v>
      </c>
      <c r="AM245" s="15" t="n">
        <f aca="false">AB245*N(AF245)</f>
        <v>0</v>
      </c>
      <c r="AN245" s="15" t="n">
        <f aca="false">AB245*N(R245)</f>
        <v>0</v>
      </c>
      <c r="AO245" s="21" t="str">
        <f aca="false">IF(F245&lt;&gt;"Y","n/a",IF(AND(N245&lt;&gt;"",OR(Q245&lt;&gt;"",G245="Other / bench",G245="None"),U245&lt;&gt;""),"OK","Missing"))</f>
        <v>Missing</v>
      </c>
    </row>
    <row r="246" customFormat="false" ht="15" hidden="false" customHeight="false" outlineLevel="0" collapsed="false">
      <c r="A246" s="10" t="s">
        <v>355</v>
      </c>
      <c r="B246" s="10" t="s">
        <v>659</v>
      </c>
      <c r="C246" s="10" t="s">
        <v>716</v>
      </c>
      <c r="D246" s="10" t="s">
        <v>661</v>
      </c>
      <c r="E246" s="21" t="str">
        <f aca="false">IF(A246="","",A246&amp;"|"&amp;D246)</f>
        <v>F41|Assay</v>
      </c>
      <c r="F246" s="16" t="s">
        <v>662</v>
      </c>
      <c r="G246" s="16" t="s">
        <v>147</v>
      </c>
      <c r="H246" s="16" t="s">
        <v>663</v>
      </c>
      <c r="I246" s="16" t="n">
        <v>1</v>
      </c>
      <c r="J246" s="16"/>
      <c r="K246" s="14"/>
      <c r="L246" s="14"/>
      <c r="M246" s="14"/>
      <c r="N246" s="14"/>
      <c r="O246" s="14"/>
      <c r="P246" s="18" t="n">
        <f aca="false">IF(N246="",0,IF(OR(M246="",O246=""),N246,(M246+4*N246+O246)/6))</f>
        <v>0</v>
      </c>
      <c r="Q246" s="14"/>
      <c r="R246" s="14"/>
      <c r="S246" s="14"/>
      <c r="T246" s="14"/>
      <c r="U246" s="16"/>
      <c r="V246" s="13"/>
      <c r="W246" s="16" t="s">
        <v>662</v>
      </c>
      <c r="X246" s="16"/>
      <c r="Y246" s="16"/>
      <c r="Z246" s="16" t="s">
        <v>696</v>
      </c>
      <c r="AA246" s="22" t="n">
        <f aca="false">IF(F246&lt;&gt;"Y",0,((SUMIF(Products!$E$5:$E$300,A246,Products!$F$5:$F$300)+SUMIF(RM_Lots!$A$5:$A$400,A246,RM_Lots!$D$5:$D$400))+IF(W246="Y",SUMIF(Products!$E$5:$E$300,A246,Products!$G$5:$G$300),0))*(1+N(V246)))</f>
        <v>0</v>
      </c>
      <c r="AB246" s="22" t="n">
        <f aca="false">IF(F246&lt;&gt;"Y",0,((SUMIF(Products!$E$5:$E$300,A246,Products!$K$5:$K$300)+SUMIF(RM_Lots!$A$5:$A$400,A246,RM_Lots!$F$5:$F$400))+IF(W246="Y",SUMIF(Products!$E$5:$E$300,A246,Products!$L$5:$L$300),0))*(1+N(V246)))</f>
        <v>0</v>
      </c>
      <c r="AC246" s="17" t="n">
        <f aca="false">IF(J246="",1,MAX(1,COUNTIFS($J$5:$J$863,J246,$F$5:$F$863,"Y")))</f>
        <v>1</v>
      </c>
      <c r="AD246" s="18" t="n">
        <f aca="false">(MAX(1,N(I246))*(P246+N(S246))+MAX(1,N(I246))*N(K246)/(MAX(1,N(U246))*AC246))*Settings!$B$9</f>
        <v>0</v>
      </c>
      <c r="AE246" s="18" t="n">
        <f aca="false">(MAX(1,N(I246))*N(Q246)+MAX(1,N(I246))*N(L246)/(MAX(1,N(U246))*AC246))*Settings!$B$8</f>
        <v>0</v>
      </c>
      <c r="AF246" s="18" t="n">
        <f aca="false">MAX(1,N(I246))*N(T246)</f>
        <v>0</v>
      </c>
      <c r="AG246" s="15" t="n">
        <f aca="false">AA246*N(AD246)</f>
        <v>0</v>
      </c>
      <c r="AH246" s="15" t="n">
        <f aca="false">AA246*N(AE246)</f>
        <v>0</v>
      </c>
      <c r="AI246" s="15" t="n">
        <f aca="false">AA246*N(AF246)</f>
        <v>0</v>
      </c>
      <c r="AJ246" s="15" t="n">
        <f aca="false">AA246*N(R246)</f>
        <v>0</v>
      </c>
      <c r="AK246" s="15" t="n">
        <f aca="false">AB246*N(AD246)</f>
        <v>0</v>
      </c>
      <c r="AL246" s="15" t="n">
        <f aca="false">AB246*N(AE246)</f>
        <v>0</v>
      </c>
      <c r="AM246" s="15" t="n">
        <f aca="false">AB246*N(AF246)</f>
        <v>0</v>
      </c>
      <c r="AN246" s="15" t="n">
        <f aca="false">AB246*N(R246)</f>
        <v>0</v>
      </c>
      <c r="AO246" s="21" t="str">
        <f aca="false">IF(F246&lt;&gt;"Y","n/a",IF(AND(N246&lt;&gt;"",OR(Q246&lt;&gt;"",G246="Other / bench",G246="None"),U246&lt;&gt;""),"OK","Missing"))</f>
        <v>Missing</v>
      </c>
    </row>
    <row r="247" customFormat="false" ht="15" hidden="false" customHeight="false" outlineLevel="0" collapsed="false">
      <c r="A247" s="10" t="s">
        <v>355</v>
      </c>
      <c r="B247" s="10" t="s">
        <v>659</v>
      </c>
      <c r="C247" s="10" t="s">
        <v>716</v>
      </c>
      <c r="D247" s="10" t="s">
        <v>664</v>
      </c>
      <c r="E247" s="21" t="str">
        <f aca="false">IF(A247="","",A247&amp;"|"&amp;D247)</f>
        <v>F41|Related substances / impurities</v>
      </c>
      <c r="F247" s="16" t="s">
        <v>662</v>
      </c>
      <c r="G247" s="16" t="s">
        <v>147</v>
      </c>
      <c r="H247" s="16" t="s">
        <v>663</v>
      </c>
      <c r="I247" s="16" t="n">
        <v>1</v>
      </c>
      <c r="J247" s="16"/>
      <c r="K247" s="14"/>
      <c r="L247" s="14"/>
      <c r="M247" s="14"/>
      <c r="N247" s="14"/>
      <c r="O247" s="14"/>
      <c r="P247" s="18" t="n">
        <f aca="false">IF(N247="",0,IF(OR(M247="",O247=""),N247,(M247+4*N247+O247)/6))</f>
        <v>0</v>
      </c>
      <c r="Q247" s="14"/>
      <c r="R247" s="14"/>
      <c r="S247" s="14"/>
      <c r="T247" s="14"/>
      <c r="U247" s="16"/>
      <c r="V247" s="13"/>
      <c r="W247" s="16" t="s">
        <v>662</v>
      </c>
      <c r="X247" s="16"/>
      <c r="Y247" s="16"/>
      <c r="Z247" s="16" t="s">
        <v>696</v>
      </c>
      <c r="AA247" s="22" t="n">
        <f aca="false">IF(F247&lt;&gt;"Y",0,((SUMIF(Products!$E$5:$E$300,A247,Products!$F$5:$F$300)+SUMIF(RM_Lots!$A$5:$A$400,A247,RM_Lots!$D$5:$D$400))+IF(W247="Y",SUMIF(Products!$E$5:$E$300,A247,Products!$G$5:$G$300),0))*(1+N(V247)))</f>
        <v>0</v>
      </c>
      <c r="AB247" s="22" t="n">
        <f aca="false">IF(F247&lt;&gt;"Y",0,((SUMIF(Products!$E$5:$E$300,A247,Products!$K$5:$K$300)+SUMIF(RM_Lots!$A$5:$A$400,A247,RM_Lots!$F$5:$F$400))+IF(W247="Y",SUMIF(Products!$E$5:$E$300,A247,Products!$L$5:$L$300),0))*(1+N(V247)))</f>
        <v>0</v>
      </c>
      <c r="AC247" s="17" t="n">
        <f aca="false">IF(J247="",1,MAX(1,COUNTIFS($J$5:$J$863,J247,$F$5:$F$863,"Y")))</f>
        <v>1</v>
      </c>
      <c r="AD247" s="18" t="n">
        <f aca="false">(MAX(1,N(I247))*(P247+N(S247))+MAX(1,N(I247))*N(K247)/(MAX(1,N(U247))*AC247))*Settings!$B$9</f>
        <v>0</v>
      </c>
      <c r="AE247" s="18" t="n">
        <f aca="false">(MAX(1,N(I247))*N(Q247)+MAX(1,N(I247))*N(L247)/(MAX(1,N(U247))*AC247))*Settings!$B$8</f>
        <v>0</v>
      </c>
      <c r="AF247" s="18" t="n">
        <f aca="false">MAX(1,N(I247))*N(T247)</f>
        <v>0</v>
      </c>
      <c r="AG247" s="15" t="n">
        <f aca="false">AA247*N(AD247)</f>
        <v>0</v>
      </c>
      <c r="AH247" s="15" t="n">
        <f aca="false">AA247*N(AE247)</f>
        <v>0</v>
      </c>
      <c r="AI247" s="15" t="n">
        <f aca="false">AA247*N(AF247)</f>
        <v>0</v>
      </c>
      <c r="AJ247" s="15" t="n">
        <f aca="false">AA247*N(R247)</f>
        <v>0</v>
      </c>
      <c r="AK247" s="15" t="n">
        <f aca="false">AB247*N(AD247)</f>
        <v>0</v>
      </c>
      <c r="AL247" s="15" t="n">
        <f aca="false">AB247*N(AE247)</f>
        <v>0</v>
      </c>
      <c r="AM247" s="15" t="n">
        <f aca="false">AB247*N(AF247)</f>
        <v>0</v>
      </c>
      <c r="AN247" s="15" t="n">
        <f aca="false">AB247*N(R247)</f>
        <v>0</v>
      </c>
      <c r="AO247" s="21" t="str">
        <f aca="false">IF(F247&lt;&gt;"Y","n/a",IF(AND(N247&lt;&gt;"",OR(Q247&lt;&gt;"",G247="Other / bench",G247="None"),U247&lt;&gt;""),"OK","Missing"))</f>
        <v>Missing</v>
      </c>
    </row>
    <row r="248" customFormat="false" ht="15" hidden="false" customHeight="false" outlineLevel="0" collapsed="false">
      <c r="A248" s="10" t="s">
        <v>355</v>
      </c>
      <c r="B248" s="10" t="s">
        <v>659</v>
      </c>
      <c r="C248" s="10" t="s">
        <v>716</v>
      </c>
      <c r="D248" s="10" t="s">
        <v>665</v>
      </c>
      <c r="E248" s="21" t="str">
        <f aca="false">IF(A248="","",A248&amp;"|"&amp;D248)</f>
        <v>F41|Dissolution</v>
      </c>
      <c r="F248" s="16" t="s">
        <v>662</v>
      </c>
      <c r="G248" s="16" t="s">
        <v>147</v>
      </c>
      <c r="H248" s="16" t="s">
        <v>663</v>
      </c>
      <c r="I248" s="16" t="n">
        <v>1</v>
      </c>
      <c r="J248" s="16"/>
      <c r="K248" s="14"/>
      <c r="L248" s="14"/>
      <c r="M248" s="14"/>
      <c r="N248" s="14"/>
      <c r="O248" s="14"/>
      <c r="P248" s="18" t="n">
        <f aca="false">IF(N248="",0,IF(OR(M248="",O248=""),N248,(M248+4*N248+O248)/6))</f>
        <v>0</v>
      </c>
      <c r="Q248" s="14"/>
      <c r="R248" s="14"/>
      <c r="S248" s="14"/>
      <c r="T248" s="14"/>
      <c r="U248" s="16"/>
      <c r="V248" s="13"/>
      <c r="W248" s="16" t="s">
        <v>662</v>
      </c>
      <c r="X248" s="16"/>
      <c r="Y248" s="16"/>
      <c r="Z248" s="16" t="s">
        <v>696</v>
      </c>
      <c r="AA248" s="22" t="n">
        <f aca="false">IF(F248&lt;&gt;"Y",0,((SUMIF(Products!$E$5:$E$300,A248,Products!$F$5:$F$300)+SUMIF(RM_Lots!$A$5:$A$400,A248,RM_Lots!$D$5:$D$400))+IF(W248="Y",SUMIF(Products!$E$5:$E$300,A248,Products!$G$5:$G$300),0))*(1+N(V248)))</f>
        <v>0</v>
      </c>
      <c r="AB248" s="22" t="n">
        <f aca="false">IF(F248&lt;&gt;"Y",0,((SUMIF(Products!$E$5:$E$300,A248,Products!$K$5:$K$300)+SUMIF(RM_Lots!$A$5:$A$400,A248,RM_Lots!$F$5:$F$400))+IF(W248="Y",SUMIF(Products!$E$5:$E$300,A248,Products!$L$5:$L$300),0))*(1+N(V248)))</f>
        <v>0</v>
      </c>
      <c r="AC248" s="17" t="n">
        <f aca="false">IF(J248="",1,MAX(1,COUNTIFS($J$5:$J$863,J248,$F$5:$F$863,"Y")))</f>
        <v>1</v>
      </c>
      <c r="AD248" s="18" t="n">
        <f aca="false">(MAX(1,N(I248))*(P248+N(S248))+MAX(1,N(I248))*N(K248)/(MAX(1,N(U248))*AC248))*Settings!$B$9</f>
        <v>0</v>
      </c>
      <c r="AE248" s="18" t="n">
        <f aca="false">(MAX(1,N(I248))*N(Q248)+MAX(1,N(I248))*N(L248)/(MAX(1,N(U248))*AC248))*Settings!$B$8</f>
        <v>0</v>
      </c>
      <c r="AF248" s="18" t="n">
        <f aca="false">MAX(1,N(I248))*N(T248)</f>
        <v>0</v>
      </c>
      <c r="AG248" s="15" t="n">
        <f aca="false">AA248*N(AD248)</f>
        <v>0</v>
      </c>
      <c r="AH248" s="15" t="n">
        <f aca="false">AA248*N(AE248)</f>
        <v>0</v>
      </c>
      <c r="AI248" s="15" t="n">
        <f aca="false">AA248*N(AF248)</f>
        <v>0</v>
      </c>
      <c r="AJ248" s="15" t="n">
        <f aca="false">AA248*N(R248)</f>
        <v>0</v>
      </c>
      <c r="AK248" s="15" t="n">
        <f aca="false">AB248*N(AD248)</f>
        <v>0</v>
      </c>
      <c r="AL248" s="15" t="n">
        <f aca="false">AB248*N(AE248)</f>
        <v>0</v>
      </c>
      <c r="AM248" s="15" t="n">
        <f aca="false">AB248*N(AF248)</f>
        <v>0</v>
      </c>
      <c r="AN248" s="15" t="n">
        <f aca="false">AB248*N(R248)</f>
        <v>0</v>
      </c>
      <c r="AO248" s="21" t="str">
        <f aca="false">IF(F248&lt;&gt;"Y","n/a",IF(AND(N248&lt;&gt;"",OR(Q248&lt;&gt;"",G248="Other / bench",G248="None"),U248&lt;&gt;""),"OK","Missing"))</f>
        <v>Missing</v>
      </c>
    </row>
    <row r="249" customFormat="false" ht="15" hidden="false" customHeight="false" outlineLevel="0" collapsed="false">
      <c r="A249" s="10" t="s">
        <v>355</v>
      </c>
      <c r="B249" s="10" t="s">
        <v>659</v>
      </c>
      <c r="C249" s="10" t="s">
        <v>716</v>
      </c>
      <c r="D249" s="10" t="s">
        <v>666</v>
      </c>
      <c r="E249" s="21" t="str">
        <f aca="false">IF(A249="","",A249&amp;"|"&amp;D249)</f>
        <v>F41|Content uniformity</v>
      </c>
      <c r="F249" s="16" t="s">
        <v>662</v>
      </c>
      <c r="G249" s="16" t="s">
        <v>147</v>
      </c>
      <c r="H249" s="16" t="s">
        <v>663</v>
      </c>
      <c r="I249" s="16" t="n">
        <v>1</v>
      </c>
      <c r="J249" s="16"/>
      <c r="K249" s="14"/>
      <c r="L249" s="14"/>
      <c r="M249" s="14"/>
      <c r="N249" s="14"/>
      <c r="O249" s="14"/>
      <c r="P249" s="18" t="n">
        <f aca="false">IF(N249="",0,IF(OR(M249="",O249=""),N249,(M249+4*N249+O249)/6))</f>
        <v>0</v>
      </c>
      <c r="Q249" s="14"/>
      <c r="R249" s="14"/>
      <c r="S249" s="14"/>
      <c r="T249" s="14"/>
      <c r="U249" s="16"/>
      <c r="V249" s="13"/>
      <c r="W249" s="16" t="s">
        <v>667</v>
      </c>
      <c r="X249" s="16"/>
      <c r="Y249" s="16"/>
      <c r="Z249" s="16" t="s">
        <v>696</v>
      </c>
      <c r="AA249" s="22" t="n">
        <f aca="false">IF(F249&lt;&gt;"Y",0,((SUMIF(Products!$E$5:$E$300,A249,Products!$F$5:$F$300)+SUMIF(RM_Lots!$A$5:$A$400,A249,RM_Lots!$D$5:$D$400))+IF(W249="Y",SUMIF(Products!$E$5:$E$300,A249,Products!$G$5:$G$300),0))*(1+N(V249)))</f>
        <v>0</v>
      </c>
      <c r="AB249" s="22" t="n">
        <f aca="false">IF(F249&lt;&gt;"Y",0,((SUMIF(Products!$E$5:$E$300,A249,Products!$K$5:$K$300)+SUMIF(RM_Lots!$A$5:$A$400,A249,RM_Lots!$F$5:$F$400))+IF(W249="Y",SUMIF(Products!$E$5:$E$300,A249,Products!$L$5:$L$300),0))*(1+N(V249)))</f>
        <v>0</v>
      </c>
      <c r="AC249" s="17" t="n">
        <f aca="false">IF(J249="",1,MAX(1,COUNTIFS($J$5:$J$863,J249,$F$5:$F$863,"Y")))</f>
        <v>1</v>
      </c>
      <c r="AD249" s="18" t="n">
        <f aca="false">(MAX(1,N(I249))*(P249+N(S249))+MAX(1,N(I249))*N(K249)/(MAX(1,N(U249))*AC249))*Settings!$B$9</f>
        <v>0</v>
      </c>
      <c r="AE249" s="18" t="n">
        <f aca="false">(MAX(1,N(I249))*N(Q249)+MAX(1,N(I249))*N(L249)/(MAX(1,N(U249))*AC249))*Settings!$B$8</f>
        <v>0</v>
      </c>
      <c r="AF249" s="18" t="n">
        <f aca="false">MAX(1,N(I249))*N(T249)</f>
        <v>0</v>
      </c>
      <c r="AG249" s="15" t="n">
        <f aca="false">AA249*N(AD249)</f>
        <v>0</v>
      </c>
      <c r="AH249" s="15" t="n">
        <f aca="false">AA249*N(AE249)</f>
        <v>0</v>
      </c>
      <c r="AI249" s="15" t="n">
        <f aca="false">AA249*N(AF249)</f>
        <v>0</v>
      </c>
      <c r="AJ249" s="15" t="n">
        <f aca="false">AA249*N(R249)</f>
        <v>0</v>
      </c>
      <c r="AK249" s="15" t="n">
        <f aca="false">AB249*N(AD249)</f>
        <v>0</v>
      </c>
      <c r="AL249" s="15" t="n">
        <f aca="false">AB249*N(AE249)</f>
        <v>0</v>
      </c>
      <c r="AM249" s="15" t="n">
        <f aca="false">AB249*N(AF249)</f>
        <v>0</v>
      </c>
      <c r="AN249" s="15" t="n">
        <f aca="false">AB249*N(R249)</f>
        <v>0</v>
      </c>
      <c r="AO249" s="21" t="str">
        <f aca="false">IF(F249&lt;&gt;"Y","n/a",IF(AND(N249&lt;&gt;"",OR(Q249&lt;&gt;"",G249="Other / bench",G249="None"),U249&lt;&gt;""),"OK","Missing"))</f>
        <v>Missing</v>
      </c>
    </row>
    <row r="250" customFormat="false" ht="15" hidden="false" customHeight="false" outlineLevel="0" collapsed="false">
      <c r="A250" s="10" t="s">
        <v>355</v>
      </c>
      <c r="B250" s="10" t="s">
        <v>659</v>
      </c>
      <c r="C250" s="10" t="s">
        <v>716</v>
      </c>
      <c r="D250" s="10" t="s">
        <v>668</v>
      </c>
      <c r="E250" s="21" t="str">
        <f aca="false">IF(A250="","",A250&amp;"|"&amp;D250)</f>
        <v>F41|Identification (if separate from assay)</v>
      </c>
      <c r="F250" s="16" t="s">
        <v>667</v>
      </c>
      <c r="G250" s="16" t="s">
        <v>147</v>
      </c>
      <c r="H250" s="16" t="s">
        <v>663</v>
      </c>
      <c r="I250" s="16" t="n">
        <v>1</v>
      </c>
      <c r="J250" s="16"/>
      <c r="K250" s="14"/>
      <c r="L250" s="14"/>
      <c r="M250" s="14"/>
      <c r="N250" s="14"/>
      <c r="O250" s="14"/>
      <c r="P250" s="18" t="n">
        <f aca="false">IF(N250="",0,IF(OR(M250="",O250=""),N250,(M250+4*N250+O250)/6))</f>
        <v>0</v>
      </c>
      <c r="Q250" s="14"/>
      <c r="R250" s="14"/>
      <c r="S250" s="14"/>
      <c r="T250" s="14"/>
      <c r="U250" s="16"/>
      <c r="V250" s="13"/>
      <c r="W250" s="16" t="s">
        <v>667</v>
      </c>
      <c r="X250" s="16"/>
      <c r="Y250" s="16"/>
      <c r="Z250" s="16" t="s">
        <v>696</v>
      </c>
      <c r="AA250" s="22" t="n">
        <f aca="false">IF(F250&lt;&gt;"Y",0,((SUMIF(Products!$E$5:$E$300,A250,Products!$F$5:$F$300)+SUMIF(RM_Lots!$A$5:$A$400,A250,RM_Lots!$D$5:$D$400))+IF(W250="Y",SUMIF(Products!$E$5:$E$300,A250,Products!$G$5:$G$300),0))*(1+N(V250)))</f>
        <v>0</v>
      </c>
      <c r="AB250" s="22" t="n">
        <f aca="false">IF(F250&lt;&gt;"Y",0,((SUMIF(Products!$E$5:$E$300,A250,Products!$K$5:$K$300)+SUMIF(RM_Lots!$A$5:$A$400,A250,RM_Lots!$F$5:$F$400))+IF(W250="Y",SUMIF(Products!$E$5:$E$300,A250,Products!$L$5:$L$300),0))*(1+N(V250)))</f>
        <v>0</v>
      </c>
      <c r="AC250" s="17" t="n">
        <f aca="false">IF(J250="",1,MAX(1,COUNTIFS($J$5:$J$863,J250,$F$5:$F$863,"Y")))</f>
        <v>1</v>
      </c>
      <c r="AD250" s="18" t="n">
        <f aca="false">(MAX(1,N(I250))*(P250+N(S250))+MAX(1,N(I250))*N(K250)/(MAX(1,N(U250))*AC250))*Settings!$B$9</f>
        <v>0</v>
      </c>
      <c r="AE250" s="18" t="n">
        <f aca="false">(MAX(1,N(I250))*N(Q250)+MAX(1,N(I250))*N(L250)/(MAX(1,N(U250))*AC250))*Settings!$B$8</f>
        <v>0</v>
      </c>
      <c r="AF250" s="18" t="n">
        <f aca="false">MAX(1,N(I250))*N(T250)</f>
        <v>0</v>
      </c>
      <c r="AG250" s="15" t="n">
        <f aca="false">AA250*N(AD250)</f>
        <v>0</v>
      </c>
      <c r="AH250" s="15" t="n">
        <f aca="false">AA250*N(AE250)</f>
        <v>0</v>
      </c>
      <c r="AI250" s="15" t="n">
        <f aca="false">AA250*N(AF250)</f>
        <v>0</v>
      </c>
      <c r="AJ250" s="15" t="n">
        <f aca="false">AA250*N(R250)</f>
        <v>0</v>
      </c>
      <c r="AK250" s="15" t="n">
        <f aca="false">AB250*N(AD250)</f>
        <v>0</v>
      </c>
      <c r="AL250" s="15" t="n">
        <f aca="false">AB250*N(AE250)</f>
        <v>0</v>
      </c>
      <c r="AM250" s="15" t="n">
        <f aca="false">AB250*N(AF250)</f>
        <v>0</v>
      </c>
      <c r="AN250" s="15" t="n">
        <f aca="false">AB250*N(R250)</f>
        <v>0</v>
      </c>
      <c r="AO250" s="21" t="str">
        <f aca="false">IF(F250&lt;&gt;"Y","n/a",IF(AND(N250&lt;&gt;"",OR(Q250&lt;&gt;"",G250="Other / bench",G250="None"),U250&lt;&gt;""),"OK","Missing"))</f>
        <v>n/a</v>
      </c>
    </row>
    <row r="251" customFormat="false" ht="15" hidden="false" customHeight="false" outlineLevel="0" collapsed="false">
      <c r="A251" s="10" t="s">
        <v>355</v>
      </c>
      <c r="B251" s="10" t="s">
        <v>659</v>
      </c>
      <c r="C251" s="10" t="s">
        <v>716</v>
      </c>
      <c r="D251" s="10" t="s">
        <v>669</v>
      </c>
      <c r="E251" s="21" t="str">
        <f aca="false">IF(A251="","",A251&amp;"|"&amp;D251)</f>
        <v>F41|Other tests (non-HPLC: physical, LOD/KF, disintegration, pH, micro...)</v>
      </c>
      <c r="F251" s="16" t="s">
        <v>662</v>
      </c>
      <c r="G251" s="16" t="s">
        <v>670</v>
      </c>
      <c r="H251" s="16" t="s">
        <v>663</v>
      </c>
      <c r="I251" s="16" t="n">
        <v>1</v>
      </c>
      <c r="J251" s="16"/>
      <c r="K251" s="14"/>
      <c r="L251" s="14"/>
      <c r="M251" s="14"/>
      <c r="N251" s="14"/>
      <c r="O251" s="14"/>
      <c r="P251" s="18" t="n">
        <f aca="false">IF(N251="",0,IF(OR(M251="",O251=""),N251,(M251+4*N251+O251)/6))</f>
        <v>0</v>
      </c>
      <c r="Q251" s="14"/>
      <c r="R251" s="14"/>
      <c r="S251" s="14"/>
      <c r="T251" s="14"/>
      <c r="U251" s="16"/>
      <c r="V251" s="13"/>
      <c r="W251" s="16" t="s">
        <v>662</v>
      </c>
      <c r="X251" s="16"/>
      <c r="Y251" s="16"/>
      <c r="Z251" s="16" t="s">
        <v>696</v>
      </c>
      <c r="AA251" s="22" t="n">
        <f aca="false">IF(F251&lt;&gt;"Y",0,((SUMIF(Products!$E$5:$E$300,A251,Products!$F$5:$F$300)+SUMIF(RM_Lots!$A$5:$A$400,A251,RM_Lots!$D$5:$D$400))+IF(W251="Y",SUMIF(Products!$E$5:$E$300,A251,Products!$G$5:$G$300),0))*(1+N(V251)))</f>
        <v>0</v>
      </c>
      <c r="AB251" s="22" t="n">
        <f aca="false">IF(F251&lt;&gt;"Y",0,((SUMIF(Products!$E$5:$E$300,A251,Products!$K$5:$K$300)+SUMIF(RM_Lots!$A$5:$A$400,A251,RM_Lots!$F$5:$F$400))+IF(W251="Y",SUMIF(Products!$E$5:$E$300,A251,Products!$L$5:$L$300),0))*(1+N(V251)))</f>
        <v>0</v>
      </c>
      <c r="AC251" s="17" t="n">
        <f aca="false">IF(J251="",1,MAX(1,COUNTIFS($J$5:$J$863,J251,$F$5:$F$863,"Y")))</f>
        <v>1</v>
      </c>
      <c r="AD251" s="18" t="n">
        <f aca="false">(MAX(1,N(I251))*(P251+N(S251))+MAX(1,N(I251))*N(K251)/(MAX(1,N(U251))*AC251))*Settings!$B$9</f>
        <v>0</v>
      </c>
      <c r="AE251" s="18" t="n">
        <f aca="false">(MAX(1,N(I251))*N(Q251)+MAX(1,N(I251))*N(L251)/(MAX(1,N(U251))*AC251))*Settings!$B$8</f>
        <v>0</v>
      </c>
      <c r="AF251" s="18" t="n">
        <f aca="false">MAX(1,N(I251))*N(T251)</f>
        <v>0</v>
      </c>
      <c r="AG251" s="15" t="n">
        <f aca="false">AA251*N(AD251)</f>
        <v>0</v>
      </c>
      <c r="AH251" s="15" t="n">
        <f aca="false">AA251*N(AE251)</f>
        <v>0</v>
      </c>
      <c r="AI251" s="15" t="n">
        <f aca="false">AA251*N(AF251)</f>
        <v>0</v>
      </c>
      <c r="AJ251" s="15" t="n">
        <f aca="false">AA251*N(R251)</f>
        <v>0</v>
      </c>
      <c r="AK251" s="15" t="n">
        <f aca="false">AB251*N(AD251)</f>
        <v>0</v>
      </c>
      <c r="AL251" s="15" t="n">
        <f aca="false">AB251*N(AE251)</f>
        <v>0</v>
      </c>
      <c r="AM251" s="15" t="n">
        <f aca="false">AB251*N(AF251)</f>
        <v>0</v>
      </c>
      <c r="AN251" s="15" t="n">
        <f aca="false">AB251*N(R251)</f>
        <v>0</v>
      </c>
      <c r="AO251" s="21" t="str">
        <f aca="false">IF(F251&lt;&gt;"Y","n/a",IF(AND(N251&lt;&gt;"",OR(Q251&lt;&gt;"",G251="Other / bench",G251="None"),U251&lt;&gt;""),"OK","Missing"))</f>
        <v>Missing</v>
      </c>
    </row>
    <row r="252" customFormat="false" ht="15" hidden="false" customHeight="false" outlineLevel="0" collapsed="false">
      <c r="A252" s="10" t="s">
        <v>357</v>
      </c>
      <c r="B252" s="10" t="s">
        <v>659</v>
      </c>
      <c r="C252" s="10" t="s">
        <v>717</v>
      </c>
      <c r="D252" s="10" t="s">
        <v>661</v>
      </c>
      <c r="E252" s="21" t="str">
        <f aca="false">IF(A252="","",A252&amp;"|"&amp;D252)</f>
        <v>F42|Assay</v>
      </c>
      <c r="F252" s="16" t="s">
        <v>662</v>
      </c>
      <c r="G252" s="16" t="s">
        <v>147</v>
      </c>
      <c r="H252" s="16" t="s">
        <v>663</v>
      </c>
      <c r="I252" s="16" t="n">
        <v>1</v>
      </c>
      <c r="J252" s="16"/>
      <c r="K252" s="14"/>
      <c r="L252" s="14"/>
      <c r="M252" s="14"/>
      <c r="N252" s="14"/>
      <c r="O252" s="14"/>
      <c r="P252" s="18" t="n">
        <f aca="false">IF(N252="",0,IF(OR(M252="",O252=""),N252,(M252+4*N252+O252)/6))</f>
        <v>0</v>
      </c>
      <c r="Q252" s="14"/>
      <c r="R252" s="14"/>
      <c r="S252" s="14"/>
      <c r="T252" s="14"/>
      <c r="U252" s="16"/>
      <c r="V252" s="13"/>
      <c r="W252" s="16" t="s">
        <v>662</v>
      </c>
      <c r="X252" s="16"/>
      <c r="Y252" s="16"/>
      <c r="Z252" s="16" t="s">
        <v>696</v>
      </c>
      <c r="AA252" s="22" t="n">
        <f aca="false">IF(F252&lt;&gt;"Y",0,((SUMIF(Products!$E$5:$E$300,A252,Products!$F$5:$F$300)+SUMIF(RM_Lots!$A$5:$A$400,A252,RM_Lots!$D$5:$D$400))+IF(W252="Y",SUMIF(Products!$E$5:$E$300,A252,Products!$G$5:$G$300),0))*(1+N(V252)))</f>
        <v>0</v>
      </c>
      <c r="AB252" s="22" t="n">
        <f aca="false">IF(F252&lt;&gt;"Y",0,((SUMIF(Products!$E$5:$E$300,A252,Products!$K$5:$K$300)+SUMIF(RM_Lots!$A$5:$A$400,A252,RM_Lots!$F$5:$F$400))+IF(W252="Y",SUMIF(Products!$E$5:$E$300,A252,Products!$L$5:$L$300),0))*(1+N(V252)))</f>
        <v>0</v>
      </c>
      <c r="AC252" s="17" t="n">
        <f aca="false">IF(J252="",1,MAX(1,COUNTIFS($J$5:$J$863,J252,$F$5:$F$863,"Y")))</f>
        <v>1</v>
      </c>
      <c r="AD252" s="18" t="n">
        <f aca="false">(MAX(1,N(I252))*(P252+N(S252))+MAX(1,N(I252))*N(K252)/(MAX(1,N(U252))*AC252))*Settings!$B$9</f>
        <v>0</v>
      </c>
      <c r="AE252" s="18" t="n">
        <f aca="false">(MAX(1,N(I252))*N(Q252)+MAX(1,N(I252))*N(L252)/(MAX(1,N(U252))*AC252))*Settings!$B$8</f>
        <v>0</v>
      </c>
      <c r="AF252" s="18" t="n">
        <f aca="false">MAX(1,N(I252))*N(T252)</f>
        <v>0</v>
      </c>
      <c r="AG252" s="15" t="n">
        <f aca="false">AA252*N(AD252)</f>
        <v>0</v>
      </c>
      <c r="AH252" s="15" t="n">
        <f aca="false">AA252*N(AE252)</f>
        <v>0</v>
      </c>
      <c r="AI252" s="15" t="n">
        <f aca="false">AA252*N(AF252)</f>
        <v>0</v>
      </c>
      <c r="AJ252" s="15" t="n">
        <f aca="false">AA252*N(R252)</f>
        <v>0</v>
      </c>
      <c r="AK252" s="15" t="n">
        <f aca="false">AB252*N(AD252)</f>
        <v>0</v>
      </c>
      <c r="AL252" s="15" t="n">
        <f aca="false">AB252*N(AE252)</f>
        <v>0</v>
      </c>
      <c r="AM252" s="15" t="n">
        <f aca="false">AB252*N(AF252)</f>
        <v>0</v>
      </c>
      <c r="AN252" s="15" t="n">
        <f aca="false">AB252*N(R252)</f>
        <v>0</v>
      </c>
      <c r="AO252" s="21" t="str">
        <f aca="false">IF(F252&lt;&gt;"Y","n/a",IF(AND(N252&lt;&gt;"",OR(Q252&lt;&gt;"",G252="Other / bench",G252="None"),U252&lt;&gt;""),"OK","Missing"))</f>
        <v>Missing</v>
      </c>
    </row>
    <row r="253" customFormat="false" ht="15" hidden="false" customHeight="false" outlineLevel="0" collapsed="false">
      <c r="A253" s="10" t="s">
        <v>357</v>
      </c>
      <c r="B253" s="10" t="s">
        <v>659</v>
      </c>
      <c r="C253" s="10" t="s">
        <v>717</v>
      </c>
      <c r="D253" s="10" t="s">
        <v>664</v>
      </c>
      <c r="E253" s="21" t="str">
        <f aca="false">IF(A253="","",A253&amp;"|"&amp;D253)</f>
        <v>F42|Related substances / impurities</v>
      </c>
      <c r="F253" s="16" t="s">
        <v>662</v>
      </c>
      <c r="G253" s="16" t="s">
        <v>147</v>
      </c>
      <c r="H253" s="16" t="s">
        <v>663</v>
      </c>
      <c r="I253" s="16" t="n">
        <v>1</v>
      </c>
      <c r="J253" s="16"/>
      <c r="K253" s="14"/>
      <c r="L253" s="14"/>
      <c r="M253" s="14"/>
      <c r="N253" s="14"/>
      <c r="O253" s="14"/>
      <c r="P253" s="18" t="n">
        <f aca="false">IF(N253="",0,IF(OR(M253="",O253=""),N253,(M253+4*N253+O253)/6))</f>
        <v>0</v>
      </c>
      <c r="Q253" s="14"/>
      <c r="R253" s="14"/>
      <c r="S253" s="14"/>
      <c r="T253" s="14"/>
      <c r="U253" s="16"/>
      <c r="V253" s="13"/>
      <c r="W253" s="16" t="s">
        <v>662</v>
      </c>
      <c r="X253" s="16"/>
      <c r="Y253" s="16"/>
      <c r="Z253" s="16" t="s">
        <v>696</v>
      </c>
      <c r="AA253" s="22" t="n">
        <f aca="false">IF(F253&lt;&gt;"Y",0,((SUMIF(Products!$E$5:$E$300,A253,Products!$F$5:$F$300)+SUMIF(RM_Lots!$A$5:$A$400,A253,RM_Lots!$D$5:$D$400))+IF(W253="Y",SUMIF(Products!$E$5:$E$300,A253,Products!$G$5:$G$300),0))*(1+N(V253)))</f>
        <v>0</v>
      </c>
      <c r="AB253" s="22" t="n">
        <f aca="false">IF(F253&lt;&gt;"Y",0,((SUMIF(Products!$E$5:$E$300,A253,Products!$K$5:$K$300)+SUMIF(RM_Lots!$A$5:$A$400,A253,RM_Lots!$F$5:$F$400))+IF(W253="Y",SUMIF(Products!$E$5:$E$300,A253,Products!$L$5:$L$300),0))*(1+N(V253)))</f>
        <v>0</v>
      </c>
      <c r="AC253" s="17" t="n">
        <f aca="false">IF(J253="",1,MAX(1,COUNTIFS($J$5:$J$863,J253,$F$5:$F$863,"Y")))</f>
        <v>1</v>
      </c>
      <c r="AD253" s="18" t="n">
        <f aca="false">(MAX(1,N(I253))*(P253+N(S253))+MAX(1,N(I253))*N(K253)/(MAX(1,N(U253))*AC253))*Settings!$B$9</f>
        <v>0</v>
      </c>
      <c r="AE253" s="18" t="n">
        <f aca="false">(MAX(1,N(I253))*N(Q253)+MAX(1,N(I253))*N(L253)/(MAX(1,N(U253))*AC253))*Settings!$B$8</f>
        <v>0</v>
      </c>
      <c r="AF253" s="18" t="n">
        <f aca="false">MAX(1,N(I253))*N(T253)</f>
        <v>0</v>
      </c>
      <c r="AG253" s="15" t="n">
        <f aca="false">AA253*N(AD253)</f>
        <v>0</v>
      </c>
      <c r="AH253" s="15" t="n">
        <f aca="false">AA253*N(AE253)</f>
        <v>0</v>
      </c>
      <c r="AI253" s="15" t="n">
        <f aca="false">AA253*N(AF253)</f>
        <v>0</v>
      </c>
      <c r="AJ253" s="15" t="n">
        <f aca="false">AA253*N(R253)</f>
        <v>0</v>
      </c>
      <c r="AK253" s="15" t="n">
        <f aca="false">AB253*N(AD253)</f>
        <v>0</v>
      </c>
      <c r="AL253" s="15" t="n">
        <f aca="false">AB253*N(AE253)</f>
        <v>0</v>
      </c>
      <c r="AM253" s="15" t="n">
        <f aca="false">AB253*N(AF253)</f>
        <v>0</v>
      </c>
      <c r="AN253" s="15" t="n">
        <f aca="false">AB253*N(R253)</f>
        <v>0</v>
      </c>
      <c r="AO253" s="21" t="str">
        <f aca="false">IF(F253&lt;&gt;"Y","n/a",IF(AND(N253&lt;&gt;"",OR(Q253&lt;&gt;"",G253="Other / bench",G253="None"),U253&lt;&gt;""),"OK","Missing"))</f>
        <v>Missing</v>
      </c>
    </row>
    <row r="254" customFormat="false" ht="15" hidden="false" customHeight="false" outlineLevel="0" collapsed="false">
      <c r="A254" s="10" t="s">
        <v>357</v>
      </c>
      <c r="B254" s="10" t="s">
        <v>659</v>
      </c>
      <c r="C254" s="10" t="s">
        <v>717</v>
      </c>
      <c r="D254" s="10" t="s">
        <v>665</v>
      </c>
      <c r="E254" s="21" t="str">
        <f aca="false">IF(A254="","",A254&amp;"|"&amp;D254)</f>
        <v>F42|Dissolution</v>
      </c>
      <c r="F254" s="16" t="s">
        <v>662</v>
      </c>
      <c r="G254" s="16" t="s">
        <v>147</v>
      </c>
      <c r="H254" s="16" t="s">
        <v>663</v>
      </c>
      <c r="I254" s="16" t="n">
        <v>1</v>
      </c>
      <c r="J254" s="16"/>
      <c r="K254" s="14"/>
      <c r="L254" s="14"/>
      <c r="M254" s="14"/>
      <c r="N254" s="14"/>
      <c r="O254" s="14"/>
      <c r="P254" s="18" t="n">
        <f aca="false">IF(N254="",0,IF(OR(M254="",O254=""),N254,(M254+4*N254+O254)/6))</f>
        <v>0</v>
      </c>
      <c r="Q254" s="14"/>
      <c r="R254" s="14"/>
      <c r="S254" s="14"/>
      <c r="T254" s="14"/>
      <c r="U254" s="16"/>
      <c r="V254" s="13"/>
      <c r="W254" s="16" t="s">
        <v>662</v>
      </c>
      <c r="X254" s="16"/>
      <c r="Y254" s="16"/>
      <c r="Z254" s="16" t="s">
        <v>696</v>
      </c>
      <c r="AA254" s="22" t="n">
        <f aca="false">IF(F254&lt;&gt;"Y",0,((SUMIF(Products!$E$5:$E$300,A254,Products!$F$5:$F$300)+SUMIF(RM_Lots!$A$5:$A$400,A254,RM_Lots!$D$5:$D$400))+IF(W254="Y",SUMIF(Products!$E$5:$E$300,A254,Products!$G$5:$G$300),0))*(1+N(V254)))</f>
        <v>0</v>
      </c>
      <c r="AB254" s="22" t="n">
        <f aca="false">IF(F254&lt;&gt;"Y",0,((SUMIF(Products!$E$5:$E$300,A254,Products!$K$5:$K$300)+SUMIF(RM_Lots!$A$5:$A$400,A254,RM_Lots!$F$5:$F$400))+IF(W254="Y",SUMIF(Products!$E$5:$E$300,A254,Products!$L$5:$L$300),0))*(1+N(V254)))</f>
        <v>0</v>
      </c>
      <c r="AC254" s="17" t="n">
        <f aca="false">IF(J254="",1,MAX(1,COUNTIFS($J$5:$J$863,J254,$F$5:$F$863,"Y")))</f>
        <v>1</v>
      </c>
      <c r="AD254" s="18" t="n">
        <f aca="false">(MAX(1,N(I254))*(P254+N(S254))+MAX(1,N(I254))*N(K254)/(MAX(1,N(U254))*AC254))*Settings!$B$9</f>
        <v>0</v>
      </c>
      <c r="AE254" s="18" t="n">
        <f aca="false">(MAX(1,N(I254))*N(Q254)+MAX(1,N(I254))*N(L254)/(MAX(1,N(U254))*AC254))*Settings!$B$8</f>
        <v>0</v>
      </c>
      <c r="AF254" s="18" t="n">
        <f aca="false">MAX(1,N(I254))*N(T254)</f>
        <v>0</v>
      </c>
      <c r="AG254" s="15" t="n">
        <f aca="false">AA254*N(AD254)</f>
        <v>0</v>
      </c>
      <c r="AH254" s="15" t="n">
        <f aca="false">AA254*N(AE254)</f>
        <v>0</v>
      </c>
      <c r="AI254" s="15" t="n">
        <f aca="false">AA254*N(AF254)</f>
        <v>0</v>
      </c>
      <c r="AJ254" s="15" t="n">
        <f aca="false">AA254*N(R254)</f>
        <v>0</v>
      </c>
      <c r="AK254" s="15" t="n">
        <f aca="false">AB254*N(AD254)</f>
        <v>0</v>
      </c>
      <c r="AL254" s="15" t="n">
        <f aca="false">AB254*N(AE254)</f>
        <v>0</v>
      </c>
      <c r="AM254" s="15" t="n">
        <f aca="false">AB254*N(AF254)</f>
        <v>0</v>
      </c>
      <c r="AN254" s="15" t="n">
        <f aca="false">AB254*N(R254)</f>
        <v>0</v>
      </c>
      <c r="AO254" s="21" t="str">
        <f aca="false">IF(F254&lt;&gt;"Y","n/a",IF(AND(N254&lt;&gt;"",OR(Q254&lt;&gt;"",G254="Other / bench",G254="None"),U254&lt;&gt;""),"OK","Missing"))</f>
        <v>Missing</v>
      </c>
    </row>
    <row r="255" customFormat="false" ht="15" hidden="false" customHeight="false" outlineLevel="0" collapsed="false">
      <c r="A255" s="10" t="s">
        <v>357</v>
      </c>
      <c r="B255" s="10" t="s">
        <v>659</v>
      </c>
      <c r="C255" s="10" t="s">
        <v>717</v>
      </c>
      <c r="D255" s="10" t="s">
        <v>666</v>
      </c>
      <c r="E255" s="21" t="str">
        <f aca="false">IF(A255="","",A255&amp;"|"&amp;D255)</f>
        <v>F42|Content uniformity</v>
      </c>
      <c r="F255" s="16" t="s">
        <v>662</v>
      </c>
      <c r="G255" s="16" t="s">
        <v>147</v>
      </c>
      <c r="H255" s="16" t="s">
        <v>663</v>
      </c>
      <c r="I255" s="16" t="n">
        <v>1</v>
      </c>
      <c r="J255" s="16"/>
      <c r="K255" s="14"/>
      <c r="L255" s="14"/>
      <c r="M255" s="14"/>
      <c r="N255" s="14"/>
      <c r="O255" s="14"/>
      <c r="P255" s="18" t="n">
        <f aca="false">IF(N255="",0,IF(OR(M255="",O255=""),N255,(M255+4*N255+O255)/6))</f>
        <v>0</v>
      </c>
      <c r="Q255" s="14"/>
      <c r="R255" s="14"/>
      <c r="S255" s="14"/>
      <c r="T255" s="14"/>
      <c r="U255" s="16"/>
      <c r="V255" s="13"/>
      <c r="W255" s="16" t="s">
        <v>667</v>
      </c>
      <c r="X255" s="16"/>
      <c r="Y255" s="16"/>
      <c r="Z255" s="16" t="s">
        <v>696</v>
      </c>
      <c r="AA255" s="22" t="n">
        <f aca="false">IF(F255&lt;&gt;"Y",0,((SUMIF(Products!$E$5:$E$300,A255,Products!$F$5:$F$300)+SUMIF(RM_Lots!$A$5:$A$400,A255,RM_Lots!$D$5:$D$400))+IF(W255="Y",SUMIF(Products!$E$5:$E$300,A255,Products!$G$5:$G$300),0))*(1+N(V255)))</f>
        <v>0</v>
      </c>
      <c r="AB255" s="22" t="n">
        <f aca="false">IF(F255&lt;&gt;"Y",0,((SUMIF(Products!$E$5:$E$300,A255,Products!$K$5:$K$300)+SUMIF(RM_Lots!$A$5:$A$400,A255,RM_Lots!$F$5:$F$400))+IF(W255="Y",SUMIF(Products!$E$5:$E$300,A255,Products!$L$5:$L$300),0))*(1+N(V255)))</f>
        <v>0</v>
      </c>
      <c r="AC255" s="17" t="n">
        <f aca="false">IF(J255="",1,MAX(1,COUNTIFS($J$5:$J$863,J255,$F$5:$F$863,"Y")))</f>
        <v>1</v>
      </c>
      <c r="AD255" s="18" t="n">
        <f aca="false">(MAX(1,N(I255))*(P255+N(S255))+MAX(1,N(I255))*N(K255)/(MAX(1,N(U255))*AC255))*Settings!$B$9</f>
        <v>0</v>
      </c>
      <c r="AE255" s="18" t="n">
        <f aca="false">(MAX(1,N(I255))*N(Q255)+MAX(1,N(I255))*N(L255)/(MAX(1,N(U255))*AC255))*Settings!$B$8</f>
        <v>0</v>
      </c>
      <c r="AF255" s="18" t="n">
        <f aca="false">MAX(1,N(I255))*N(T255)</f>
        <v>0</v>
      </c>
      <c r="AG255" s="15" t="n">
        <f aca="false">AA255*N(AD255)</f>
        <v>0</v>
      </c>
      <c r="AH255" s="15" t="n">
        <f aca="false">AA255*N(AE255)</f>
        <v>0</v>
      </c>
      <c r="AI255" s="15" t="n">
        <f aca="false">AA255*N(AF255)</f>
        <v>0</v>
      </c>
      <c r="AJ255" s="15" t="n">
        <f aca="false">AA255*N(R255)</f>
        <v>0</v>
      </c>
      <c r="AK255" s="15" t="n">
        <f aca="false">AB255*N(AD255)</f>
        <v>0</v>
      </c>
      <c r="AL255" s="15" t="n">
        <f aca="false">AB255*N(AE255)</f>
        <v>0</v>
      </c>
      <c r="AM255" s="15" t="n">
        <f aca="false">AB255*N(AF255)</f>
        <v>0</v>
      </c>
      <c r="AN255" s="15" t="n">
        <f aca="false">AB255*N(R255)</f>
        <v>0</v>
      </c>
      <c r="AO255" s="21" t="str">
        <f aca="false">IF(F255&lt;&gt;"Y","n/a",IF(AND(N255&lt;&gt;"",OR(Q255&lt;&gt;"",G255="Other / bench",G255="None"),U255&lt;&gt;""),"OK","Missing"))</f>
        <v>Missing</v>
      </c>
    </row>
    <row r="256" customFormat="false" ht="15" hidden="false" customHeight="false" outlineLevel="0" collapsed="false">
      <c r="A256" s="10" t="s">
        <v>357</v>
      </c>
      <c r="B256" s="10" t="s">
        <v>659</v>
      </c>
      <c r="C256" s="10" t="s">
        <v>717</v>
      </c>
      <c r="D256" s="10" t="s">
        <v>668</v>
      </c>
      <c r="E256" s="21" t="str">
        <f aca="false">IF(A256="","",A256&amp;"|"&amp;D256)</f>
        <v>F42|Identification (if separate from assay)</v>
      </c>
      <c r="F256" s="16" t="s">
        <v>667</v>
      </c>
      <c r="G256" s="16" t="s">
        <v>147</v>
      </c>
      <c r="H256" s="16" t="s">
        <v>663</v>
      </c>
      <c r="I256" s="16" t="n">
        <v>1</v>
      </c>
      <c r="J256" s="16"/>
      <c r="K256" s="14"/>
      <c r="L256" s="14"/>
      <c r="M256" s="14"/>
      <c r="N256" s="14"/>
      <c r="O256" s="14"/>
      <c r="P256" s="18" t="n">
        <f aca="false">IF(N256="",0,IF(OR(M256="",O256=""),N256,(M256+4*N256+O256)/6))</f>
        <v>0</v>
      </c>
      <c r="Q256" s="14"/>
      <c r="R256" s="14"/>
      <c r="S256" s="14"/>
      <c r="T256" s="14"/>
      <c r="U256" s="16"/>
      <c r="V256" s="13"/>
      <c r="W256" s="16" t="s">
        <v>667</v>
      </c>
      <c r="X256" s="16"/>
      <c r="Y256" s="16"/>
      <c r="Z256" s="16" t="s">
        <v>696</v>
      </c>
      <c r="AA256" s="22" t="n">
        <f aca="false">IF(F256&lt;&gt;"Y",0,((SUMIF(Products!$E$5:$E$300,A256,Products!$F$5:$F$300)+SUMIF(RM_Lots!$A$5:$A$400,A256,RM_Lots!$D$5:$D$400))+IF(W256="Y",SUMIF(Products!$E$5:$E$300,A256,Products!$G$5:$G$300),0))*(1+N(V256)))</f>
        <v>0</v>
      </c>
      <c r="AB256" s="22" t="n">
        <f aca="false">IF(F256&lt;&gt;"Y",0,((SUMIF(Products!$E$5:$E$300,A256,Products!$K$5:$K$300)+SUMIF(RM_Lots!$A$5:$A$400,A256,RM_Lots!$F$5:$F$400))+IF(W256="Y",SUMIF(Products!$E$5:$E$300,A256,Products!$L$5:$L$300),0))*(1+N(V256)))</f>
        <v>0</v>
      </c>
      <c r="AC256" s="17" t="n">
        <f aca="false">IF(J256="",1,MAX(1,COUNTIFS($J$5:$J$863,J256,$F$5:$F$863,"Y")))</f>
        <v>1</v>
      </c>
      <c r="AD256" s="18" t="n">
        <f aca="false">(MAX(1,N(I256))*(P256+N(S256))+MAX(1,N(I256))*N(K256)/(MAX(1,N(U256))*AC256))*Settings!$B$9</f>
        <v>0</v>
      </c>
      <c r="AE256" s="18" t="n">
        <f aca="false">(MAX(1,N(I256))*N(Q256)+MAX(1,N(I256))*N(L256)/(MAX(1,N(U256))*AC256))*Settings!$B$8</f>
        <v>0</v>
      </c>
      <c r="AF256" s="18" t="n">
        <f aca="false">MAX(1,N(I256))*N(T256)</f>
        <v>0</v>
      </c>
      <c r="AG256" s="15" t="n">
        <f aca="false">AA256*N(AD256)</f>
        <v>0</v>
      </c>
      <c r="AH256" s="15" t="n">
        <f aca="false">AA256*N(AE256)</f>
        <v>0</v>
      </c>
      <c r="AI256" s="15" t="n">
        <f aca="false">AA256*N(AF256)</f>
        <v>0</v>
      </c>
      <c r="AJ256" s="15" t="n">
        <f aca="false">AA256*N(R256)</f>
        <v>0</v>
      </c>
      <c r="AK256" s="15" t="n">
        <f aca="false">AB256*N(AD256)</f>
        <v>0</v>
      </c>
      <c r="AL256" s="15" t="n">
        <f aca="false">AB256*N(AE256)</f>
        <v>0</v>
      </c>
      <c r="AM256" s="15" t="n">
        <f aca="false">AB256*N(AF256)</f>
        <v>0</v>
      </c>
      <c r="AN256" s="15" t="n">
        <f aca="false">AB256*N(R256)</f>
        <v>0</v>
      </c>
      <c r="AO256" s="21" t="str">
        <f aca="false">IF(F256&lt;&gt;"Y","n/a",IF(AND(N256&lt;&gt;"",OR(Q256&lt;&gt;"",G256="Other / bench",G256="None"),U256&lt;&gt;""),"OK","Missing"))</f>
        <v>n/a</v>
      </c>
    </row>
    <row r="257" customFormat="false" ht="15" hidden="false" customHeight="false" outlineLevel="0" collapsed="false">
      <c r="A257" s="10" t="s">
        <v>357</v>
      </c>
      <c r="B257" s="10" t="s">
        <v>659</v>
      </c>
      <c r="C257" s="10" t="s">
        <v>717</v>
      </c>
      <c r="D257" s="10" t="s">
        <v>669</v>
      </c>
      <c r="E257" s="21" t="str">
        <f aca="false">IF(A257="","",A257&amp;"|"&amp;D257)</f>
        <v>F42|Other tests (non-HPLC: physical, LOD/KF, disintegration, pH, micro...)</v>
      </c>
      <c r="F257" s="16" t="s">
        <v>662</v>
      </c>
      <c r="G257" s="16" t="s">
        <v>670</v>
      </c>
      <c r="H257" s="16" t="s">
        <v>663</v>
      </c>
      <c r="I257" s="16" t="n">
        <v>1</v>
      </c>
      <c r="J257" s="16"/>
      <c r="K257" s="14"/>
      <c r="L257" s="14"/>
      <c r="M257" s="14"/>
      <c r="N257" s="14"/>
      <c r="O257" s="14"/>
      <c r="P257" s="18" t="n">
        <f aca="false">IF(N257="",0,IF(OR(M257="",O257=""),N257,(M257+4*N257+O257)/6))</f>
        <v>0</v>
      </c>
      <c r="Q257" s="14"/>
      <c r="R257" s="14"/>
      <c r="S257" s="14"/>
      <c r="T257" s="14"/>
      <c r="U257" s="16"/>
      <c r="V257" s="13"/>
      <c r="W257" s="16" t="s">
        <v>662</v>
      </c>
      <c r="X257" s="16"/>
      <c r="Y257" s="16"/>
      <c r="Z257" s="16" t="s">
        <v>696</v>
      </c>
      <c r="AA257" s="22" t="n">
        <f aca="false">IF(F257&lt;&gt;"Y",0,((SUMIF(Products!$E$5:$E$300,A257,Products!$F$5:$F$300)+SUMIF(RM_Lots!$A$5:$A$400,A257,RM_Lots!$D$5:$D$400))+IF(W257="Y",SUMIF(Products!$E$5:$E$300,A257,Products!$G$5:$G$300),0))*(1+N(V257)))</f>
        <v>0</v>
      </c>
      <c r="AB257" s="22" t="n">
        <f aca="false">IF(F257&lt;&gt;"Y",0,((SUMIF(Products!$E$5:$E$300,A257,Products!$K$5:$K$300)+SUMIF(RM_Lots!$A$5:$A$400,A257,RM_Lots!$F$5:$F$400))+IF(W257="Y",SUMIF(Products!$E$5:$E$300,A257,Products!$L$5:$L$300),0))*(1+N(V257)))</f>
        <v>0</v>
      </c>
      <c r="AC257" s="17" t="n">
        <f aca="false">IF(J257="",1,MAX(1,COUNTIFS($J$5:$J$863,J257,$F$5:$F$863,"Y")))</f>
        <v>1</v>
      </c>
      <c r="AD257" s="18" t="n">
        <f aca="false">(MAX(1,N(I257))*(P257+N(S257))+MAX(1,N(I257))*N(K257)/(MAX(1,N(U257))*AC257))*Settings!$B$9</f>
        <v>0</v>
      </c>
      <c r="AE257" s="18" t="n">
        <f aca="false">(MAX(1,N(I257))*N(Q257)+MAX(1,N(I257))*N(L257)/(MAX(1,N(U257))*AC257))*Settings!$B$8</f>
        <v>0</v>
      </c>
      <c r="AF257" s="18" t="n">
        <f aca="false">MAX(1,N(I257))*N(T257)</f>
        <v>0</v>
      </c>
      <c r="AG257" s="15" t="n">
        <f aca="false">AA257*N(AD257)</f>
        <v>0</v>
      </c>
      <c r="AH257" s="15" t="n">
        <f aca="false">AA257*N(AE257)</f>
        <v>0</v>
      </c>
      <c r="AI257" s="15" t="n">
        <f aca="false">AA257*N(AF257)</f>
        <v>0</v>
      </c>
      <c r="AJ257" s="15" t="n">
        <f aca="false">AA257*N(R257)</f>
        <v>0</v>
      </c>
      <c r="AK257" s="15" t="n">
        <f aca="false">AB257*N(AD257)</f>
        <v>0</v>
      </c>
      <c r="AL257" s="15" t="n">
        <f aca="false">AB257*N(AE257)</f>
        <v>0</v>
      </c>
      <c r="AM257" s="15" t="n">
        <f aca="false">AB257*N(AF257)</f>
        <v>0</v>
      </c>
      <c r="AN257" s="15" t="n">
        <f aca="false">AB257*N(R257)</f>
        <v>0</v>
      </c>
      <c r="AO257" s="21" t="str">
        <f aca="false">IF(F257&lt;&gt;"Y","n/a",IF(AND(N257&lt;&gt;"",OR(Q257&lt;&gt;"",G257="Other / bench",G257="None"),U257&lt;&gt;""),"OK","Missing"))</f>
        <v>Missing</v>
      </c>
    </row>
    <row r="258" customFormat="false" ht="15" hidden="false" customHeight="false" outlineLevel="0" collapsed="false">
      <c r="A258" s="10" t="s">
        <v>360</v>
      </c>
      <c r="B258" s="10" t="s">
        <v>659</v>
      </c>
      <c r="C258" s="10" t="s">
        <v>718</v>
      </c>
      <c r="D258" s="10" t="s">
        <v>661</v>
      </c>
      <c r="E258" s="21" t="str">
        <f aca="false">IF(A258="","",A258&amp;"|"&amp;D258)</f>
        <v>F43|Assay</v>
      </c>
      <c r="F258" s="16" t="s">
        <v>662</v>
      </c>
      <c r="G258" s="16" t="s">
        <v>147</v>
      </c>
      <c r="H258" s="16" t="s">
        <v>663</v>
      </c>
      <c r="I258" s="16" t="n">
        <v>1</v>
      </c>
      <c r="J258" s="16"/>
      <c r="K258" s="14"/>
      <c r="L258" s="14"/>
      <c r="M258" s="14"/>
      <c r="N258" s="14"/>
      <c r="O258" s="14"/>
      <c r="P258" s="18" t="n">
        <f aca="false">IF(N258="",0,IF(OR(M258="",O258=""),N258,(M258+4*N258+O258)/6))</f>
        <v>0</v>
      </c>
      <c r="Q258" s="14"/>
      <c r="R258" s="14"/>
      <c r="S258" s="14"/>
      <c r="T258" s="14"/>
      <c r="U258" s="16"/>
      <c r="V258" s="13"/>
      <c r="W258" s="16" t="s">
        <v>662</v>
      </c>
      <c r="X258" s="16"/>
      <c r="Y258" s="16"/>
      <c r="Z258" s="16"/>
      <c r="AA258" s="22" t="n">
        <f aca="false">IF(F258&lt;&gt;"Y",0,((SUMIF(Products!$E$5:$E$300,A258,Products!$F$5:$F$300)+SUMIF(RM_Lots!$A$5:$A$400,A258,RM_Lots!$D$5:$D$400))+IF(W258="Y",SUMIF(Products!$E$5:$E$300,A258,Products!$G$5:$G$300),0))*(1+N(V258)))</f>
        <v>0</v>
      </c>
      <c r="AB258" s="22" t="n">
        <f aca="false">IF(F258&lt;&gt;"Y",0,((SUMIF(Products!$E$5:$E$300,A258,Products!$K$5:$K$300)+SUMIF(RM_Lots!$A$5:$A$400,A258,RM_Lots!$F$5:$F$400))+IF(W258="Y",SUMIF(Products!$E$5:$E$300,A258,Products!$L$5:$L$300),0))*(1+N(V258)))</f>
        <v>0</v>
      </c>
      <c r="AC258" s="17" t="n">
        <f aca="false">IF(J258="",1,MAX(1,COUNTIFS($J$5:$J$863,J258,$F$5:$F$863,"Y")))</f>
        <v>1</v>
      </c>
      <c r="AD258" s="18" t="n">
        <f aca="false">(MAX(1,N(I258))*(P258+N(S258))+MAX(1,N(I258))*N(K258)/(MAX(1,N(U258))*AC258))*Settings!$B$9</f>
        <v>0</v>
      </c>
      <c r="AE258" s="18" t="n">
        <f aca="false">(MAX(1,N(I258))*N(Q258)+MAX(1,N(I258))*N(L258)/(MAX(1,N(U258))*AC258))*Settings!$B$8</f>
        <v>0</v>
      </c>
      <c r="AF258" s="18" t="n">
        <f aca="false">MAX(1,N(I258))*N(T258)</f>
        <v>0</v>
      </c>
      <c r="AG258" s="15" t="n">
        <f aca="false">AA258*N(AD258)</f>
        <v>0</v>
      </c>
      <c r="AH258" s="15" t="n">
        <f aca="false">AA258*N(AE258)</f>
        <v>0</v>
      </c>
      <c r="AI258" s="15" t="n">
        <f aca="false">AA258*N(AF258)</f>
        <v>0</v>
      </c>
      <c r="AJ258" s="15" t="n">
        <f aca="false">AA258*N(R258)</f>
        <v>0</v>
      </c>
      <c r="AK258" s="15" t="n">
        <f aca="false">AB258*N(AD258)</f>
        <v>0</v>
      </c>
      <c r="AL258" s="15" t="n">
        <f aca="false">AB258*N(AE258)</f>
        <v>0</v>
      </c>
      <c r="AM258" s="15" t="n">
        <f aca="false">AB258*N(AF258)</f>
        <v>0</v>
      </c>
      <c r="AN258" s="15" t="n">
        <f aca="false">AB258*N(R258)</f>
        <v>0</v>
      </c>
      <c r="AO258" s="21" t="str">
        <f aca="false">IF(F258&lt;&gt;"Y","n/a",IF(AND(N258&lt;&gt;"",OR(Q258&lt;&gt;"",G258="Other / bench",G258="None"),U258&lt;&gt;""),"OK","Missing"))</f>
        <v>Missing</v>
      </c>
    </row>
    <row r="259" customFormat="false" ht="15" hidden="false" customHeight="false" outlineLevel="0" collapsed="false">
      <c r="A259" s="10" t="s">
        <v>360</v>
      </c>
      <c r="B259" s="10" t="s">
        <v>659</v>
      </c>
      <c r="C259" s="10" t="s">
        <v>718</v>
      </c>
      <c r="D259" s="10" t="s">
        <v>664</v>
      </c>
      <c r="E259" s="21" t="str">
        <f aca="false">IF(A259="","",A259&amp;"|"&amp;D259)</f>
        <v>F43|Related substances / impurities</v>
      </c>
      <c r="F259" s="16" t="s">
        <v>662</v>
      </c>
      <c r="G259" s="16" t="s">
        <v>147</v>
      </c>
      <c r="H259" s="16" t="s">
        <v>663</v>
      </c>
      <c r="I259" s="16" t="n">
        <v>1</v>
      </c>
      <c r="J259" s="16"/>
      <c r="K259" s="14"/>
      <c r="L259" s="14"/>
      <c r="M259" s="14"/>
      <c r="N259" s="14"/>
      <c r="O259" s="14"/>
      <c r="P259" s="18" t="n">
        <f aca="false">IF(N259="",0,IF(OR(M259="",O259=""),N259,(M259+4*N259+O259)/6))</f>
        <v>0</v>
      </c>
      <c r="Q259" s="14"/>
      <c r="R259" s="14"/>
      <c r="S259" s="14"/>
      <c r="T259" s="14"/>
      <c r="U259" s="16"/>
      <c r="V259" s="13"/>
      <c r="W259" s="16" t="s">
        <v>662</v>
      </c>
      <c r="X259" s="16"/>
      <c r="Y259" s="16"/>
      <c r="Z259" s="16"/>
      <c r="AA259" s="22" t="n">
        <f aca="false">IF(F259&lt;&gt;"Y",0,((SUMIF(Products!$E$5:$E$300,A259,Products!$F$5:$F$300)+SUMIF(RM_Lots!$A$5:$A$400,A259,RM_Lots!$D$5:$D$400))+IF(W259="Y",SUMIF(Products!$E$5:$E$300,A259,Products!$G$5:$G$300),0))*(1+N(V259)))</f>
        <v>0</v>
      </c>
      <c r="AB259" s="22" t="n">
        <f aca="false">IF(F259&lt;&gt;"Y",0,((SUMIF(Products!$E$5:$E$300,A259,Products!$K$5:$K$300)+SUMIF(RM_Lots!$A$5:$A$400,A259,RM_Lots!$F$5:$F$400))+IF(W259="Y",SUMIF(Products!$E$5:$E$300,A259,Products!$L$5:$L$300),0))*(1+N(V259)))</f>
        <v>0</v>
      </c>
      <c r="AC259" s="17" t="n">
        <f aca="false">IF(J259="",1,MAX(1,COUNTIFS($J$5:$J$863,J259,$F$5:$F$863,"Y")))</f>
        <v>1</v>
      </c>
      <c r="AD259" s="18" t="n">
        <f aca="false">(MAX(1,N(I259))*(P259+N(S259))+MAX(1,N(I259))*N(K259)/(MAX(1,N(U259))*AC259))*Settings!$B$9</f>
        <v>0</v>
      </c>
      <c r="AE259" s="18" t="n">
        <f aca="false">(MAX(1,N(I259))*N(Q259)+MAX(1,N(I259))*N(L259)/(MAX(1,N(U259))*AC259))*Settings!$B$8</f>
        <v>0</v>
      </c>
      <c r="AF259" s="18" t="n">
        <f aca="false">MAX(1,N(I259))*N(T259)</f>
        <v>0</v>
      </c>
      <c r="AG259" s="15" t="n">
        <f aca="false">AA259*N(AD259)</f>
        <v>0</v>
      </c>
      <c r="AH259" s="15" t="n">
        <f aca="false">AA259*N(AE259)</f>
        <v>0</v>
      </c>
      <c r="AI259" s="15" t="n">
        <f aca="false">AA259*N(AF259)</f>
        <v>0</v>
      </c>
      <c r="AJ259" s="15" t="n">
        <f aca="false">AA259*N(R259)</f>
        <v>0</v>
      </c>
      <c r="AK259" s="15" t="n">
        <f aca="false">AB259*N(AD259)</f>
        <v>0</v>
      </c>
      <c r="AL259" s="15" t="n">
        <f aca="false">AB259*N(AE259)</f>
        <v>0</v>
      </c>
      <c r="AM259" s="15" t="n">
        <f aca="false">AB259*N(AF259)</f>
        <v>0</v>
      </c>
      <c r="AN259" s="15" t="n">
        <f aca="false">AB259*N(R259)</f>
        <v>0</v>
      </c>
      <c r="AO259" s="21" t="str">
        <f aca="false">IF(F259&lt;&gt;"Y","n/a",IF(AND(N259&lt;&gt;"",OR(Q259&lt;&gt;"",G259="Other / bench",G259="None"),U259&lt;&gt;""),"OK","Missing"))</f>
        <v>Missing</v>
      </c>
    </row>
    <row r="260" customFormat="false" ht="15" hidden="false" customHeight="false" outlineLevel="0" collapsed="false">
      <c r="A260" s="10" t="s">
        <v>360</v>
      </c>
      <c r="B260" s="10" t="s">
        <v>659</v>
      </c>
      <c r="C260" s="10" t="s">
        <v>718</v>
      </c>
      <c r="D260" s="10" t="s">
        <v>665</v>
      </c>
      <c r="E260" s="21" t="str">
        <f aca="false">IF(A260="","",A260&amp;"|"&amp;D260)</f>
        <v>F43|Dissolution</v>
      </c>
      <c r="F260" s="16" t="s">
        <v>662</v>
      </c>
      <c r="G260" s="16" t="s">
        <v>147</v>
      </c>
      <c r="H260" s="16" t="s">
        <v>663</v>
      </c>
      <c r="I260" s="16" t="n">
        <v>1</v>
      </c>
      <c r="J260" s="16"/>
      <c r="K260" s="14"/>
      <c r="L260" s="14"/>
      <c r="M260" s="14"/>
      <c r="N260" s="14"/>
      <c r="O260" s="14"/>
      <c r="P260" s="18" t="n">
        <f aca="false">IF(N260="",0,IF(OR(M260="",O260=""),N260,(M260+4*N260+O260)/6))</f>
        <v>0</v>
      </c>
      <c r="Q260" s="14"/>
      <c r="R260" s="14"/>
      <c r="S260" s="14"/>
      <c r="T260" s="14"/>
      <c r="U260" s="16"/>
      <c r="V260" s="13"/>
      <c r="W260" s="16" t="s">
        <v>662</v>
      </c>
      <c r="X260" s="16"/>
      <c r="Y260" s="16"/>
      <c r="Z260" s="16"/>
      <c r="AA260" s="22" t="n">
        <f aca="false">IF(F260&lt;&gt;"Y",0,((SUMIF(Products!$E$5:$E$300,A260,Products!$F$5:$F$300)+SUMIF(RM_Lots!$A$5:$A$400,A260,RM_Lots!$D$5:$D$400))+IF(W260="Y",SUMIF(Products!$E$5:$E$300,A260,Products!$G$5:$G$300),0))*(1+N(V260)))</f>
        <v>0</v>
      </c>
      <c r="AB260" s="22" t="n">
        <f aca="false">IF(F260&lt;&gt;"Y",0,((SUMIF(Products!$E$5:$E$300,A260,Products!$K$5:$K$300)+SUMIF(RM_Lots!$A$5:$A$400,A260,RM_Lots!$F$5:$F$400))+IF(W260="Y",SUMIF(Products!$E$5:$E$300,A260,Products!$L$5:$L$300),0))*(1+N(V260)))</f>
        <v>0</v>
      </c>
      <c r="AC260" s="17" t="n">
        <f aca="false">IF(J260="",1,MAX(1,COUNTIFS($J$5:$J$863,J260,$F$5:$F$863,"Y")))</f>
        <v>1</v>
      </c>
      <c r="AD260" s="18" t="n">
        <f aca="false">(MAX(1,N(I260))*(P260+N(S260))+MAX(1,N(I260))*N(K260)/(MAX(1,N(U260))*AC260))*Settings!$B$9</f>
        <v>0</v>
      </c>
      <c r="AE260" s="18" t="n">
        <f aca="false">(MAX(1,N(I260))*N(Q260)+MAX(1,N(I260))*N(L260)/(MAX(1,N(U260))*AC260))*Settings!$B$8</f>
        <v>0</v>
      </c>
      <c r="AF260" s="18" t="n">
        <f aca="false">MAX(1,N(I260))*N(T260)</f>
        <v>0</v>
      </c>
      <c r="AG260" s="15" t="n">
        <f aca="false">AA260*N(AD260)</f>
        <v>0</v>
      </c>
      <c r="AH260" s="15" t="n">
        <f aca="false">AA260*N(AE260)</f>
        <v>0</v>
      </c>
      <c r="AI260" s="15" t="n">
        <f aca="false">AA260*N(AF260)</f>
        <v>0</v>
      </c>
      <c r="AJ260" s="15" t="n">
        <f aca="false">AA260*N(R260)</f>
        <v>0</v>
      </c>
      <c r="AK260" s="15" t="n">
        <f aca="false">AB260*N(AD260)</f>
        <v>0</v>
      </c>
      <c r="AL260" s="15" t="n">
        <f aca="false">AB260*N(AE260)</f>
        <v>0</v>
      </c>
      <c r="AM260" s="15" t="n">
        <f aca="false">AB260*N(AF260)</f>
        <v>0</v>
      </c>
      <c r="AN260" s="15" t="n">
        <f aca="false">AB260*N(R260)</f>
        <v>0</v>
      </c>
      <c r="AO260" s="21" t="str">
        <f aca="false">IF(F260&lt;&gt;"Y","n/a",IF(AND(N260&lt;&gt;"",OR(Q260&lt;&gt;"",G260="Other / bench",G260="None"),U260&lt;&gt;""),"OK","Missing"))</f>
        <v>Missing</v>
      </c>
    </row>
    <row r="261" customFormat="false" ht="15" hidden="false" customHeight="false" outlineLevel="0" collapsed="false">
      <c r="A261" s="10" t="s">
        <v>360</v>
      </c>
      <c r="B261" s="10" t="s">
        <v>659</v>
      </c>
      <c r="C261" s="10" t="s">
        <v>718</v>
      </c>
      <c r="D261" s="10" t="s">
        <v>666</v>
      </c>
      <c r="E261" s="21" t="str">
        <f aca="false">IF(A261="","",A261&amp;"|"&amp;D261)</f>
        <v>F43|Content uniformity</v>
      </c>
      <c r="F261" s="16" t="s">
        <v>662</v>
      </c>
      <c r="G261" s="16" t="s">
        <v>147</v>
      </c>
      <c r="H261" s="16" t="s">
        <v>663</v>
      </c>
      <c r="I261" s="16" t="n">
        <v>1</v>
      </c>
      <c r="J261" s="16"/>
      <c r="K261" s="14"/>
      <c r="L261" s="14"/>
      <c r="M261" s="14"/>
      <c r="N261" s="14"/>
      <c r="O261" s="14"/>
      <c r="P261" s="18" t="n">
        <f aca="false">IF(N261="",0,IF(OR(M261="",O261=""),N261,(M261+4*N261+O261)/6))</f>
        <v>0</v>
      </c>
      <c r="Q261" s="14"/>
      <c r="R261" s="14"/>
      <c r="S261" s="14"/>
      <c r="T261" s="14"/>
      <c r="U261" s="16"/>
      <c r="V261" s="13"/>
      <c r="W261" s="16" t="s">
        <v>667</v>
      </c>
      <c r="X261" s="16"/>
      <c r="Y261" s="16"/>
      <c r="Z261" s="16"/>
      <c r="AA261" s="22" t="n">
        <f aca="false">IF(F261&lt;&gt;"Y",0,((SUMIF(Products!$E$5:$E$300,A261,Products!$F$5:$F$300)+SUMIF(RM_Lots!$A$5:$A$400,A261,RM_Lots!$D$5:$D$400))+IF(W261="Y",SUMIF(Products!$E$5:$E$300,A261,Products!$G$5:$G$300),0))*(1+N(V261)))</f>
        <v>0</v>
      </c>
      <c r="AB261" s="22" t="n">
        <f aca="false">IF(F261&lt;&gt;"Y",0,((SUMIF(Products!$E$5:$E$300,A261,Products!$K$5:$K$300)+SUMIF(RM_Lots!$A$5:$A$400,A261,RM_Lots!$F$5:$F$400))+IF(W261="Y",SUMIF(Products!$E$5:$E$300,A261,Products!$L$5:$L$300),0))*(1+N(V261)))</f>
        <v>0</v>
      </c>
      <c r="AC261" s="17" t="n">
        <f aca="false">IF(J261="",1,MAX(1,COUNTIFS($J$5:$J$863,J261,$F$5:$F$863,"Y")))</f>
        <v>1</v>
      </c>
      <c r="AD261" s="18" t="n">
        <f aca="false">(MAX(1,N(I261))*(P261+N(S261))+MAX(1,N(I261))*N(K261)/(MAX(1,N(U261))*AC261))*Settings!$B$9</f>
        <v>0</v>
      </c>
      <c r="AE261" s="18" t="n">
        <f aca="false">(MAX(1,N(I261))*N(Q261)+MAX(1,N(I261))*N(L261)/(MAX(1,N(U261))*AC261))*Settings!$B$8</f>
        <v>0</v>
      </c>
      <c r="AF261" s="18" t="n">
        <f aca="false">MAX(1,N(I261))*N(T261)</f>
        <v>0</v>
      </c>
      <c r="AG261" s="15" t="n">
        <f aca="false">AA261*N(AD261)</f>
        <v>0</v>
      </c>
      <c r="AH261" s="15" t="n">
        <f aca="false">AA261*N(AE261)</f>
        <v>0</v>
      </c>
      <c r="AI261" s="15" t="n">
        <f aca="false">AA261*N(AF261)</f>
        <v>0</v>
      </c>
      <c r="AJ261" s="15" t="n">
        <f aca="false">AA261*N(R261)</f>
        <v>0</v>
      </c>
      <c r="AK261" s="15" t="n">
        <f aca="false">AB261*N(AD261)</f>
        <v>0</v>
      </c>
      <c r="AL261" s="15" t="n">
        <f aca="false">AB261*N(AE261)</f>
        <v>0</v>
      </c>
      <c r="AM261" s="15" t="n">
        <f aca="false">AB261*N(AF261)</f>
        <v>0</v>
      </c>
      <c r="AN261" s="15" t="n">
        <f aca="false">AB261*N(R261)</f>
        <v>0</v>
      </c>
      <c r="AO261" s="21" t="str">
        <f aca="false">IF(F261&lt;&gt;"Y","n/a",IF(AND(N261&lt;&gt;"",OR(Q261&lt;&gt;"",G261="Other / bench",G261="None"),U261&lt;&gt;""),"OK","Missing"))</f>
        <v>Missing</v>
      </c>
    </row>
    <row r="262" customFormat="false" ht="15" hidden="false" customHeight="false" outlineLevel="0" collapsed="false">
      <c r="A262" s="10" t="s">
        <v>360</v>
      </c>
      <c r="B262" s="10" t="s">
        <v>659</v>
      </c>
      <c r="C262" s="10" t="s">
        <v>718</v>
      </c>
      <c r="D262" s="10" t="s">
        <v>668</v>
      </c>
      <c r="E262" s="21" t="str">
        <f aca="false">IF(A262="","",A262&amp;"|"&amp;D262)</f>
        <v>F43|Identification (if separate from assay)</v>
      </c>
      <c r="F262" s="16" t="s">
        <v>667</v>
      </c>
      <c r="G262" s="16" t="s">
        <v>147</v>
      </c>
      <c r="H262" s="16" t="s">
        <v>663</v>
      </c>
      <c r="I262" s="16" t="n">
        <v>1</v>
      </c>
      <c r="J262" s="16"/>
      <c r="K262" s="14"/>
      <c r="L262" s="14"/>
      <c r="M262" s="14"/>
      <c r="N262" s="14"/>
      <c r="O262" s="14"/>
      <c r="P262" s="18" t="n">
        <f aca="false">IF(N262="",0,IF(OR(M262="",O262=""),N262,(M262+4*N262+O262)/6))</f>
        <v>0</v>
      </c>
      <c r="Q262" s="14"/>
      <c r="R262" s="14"/>
      <c r="S262" s="14"/>
      <c r="T262" s="14"/>
      <c r="U262" s="16"/>
      <c r="V262" s="13"/>
      <c r="W262" s="16" t="s">
        <v>667</v>
      </c>
      <c r="X262" s="16"/>
      <c r="Y262" s="16"/>
      <c r="Z262" s="16"/>
      <c r="AA262" s="22" t="n">
        <f aca="false">IF(F262&lt;&gt;"Y",0,((SUMIF(Products!$E$5:$E$300,A262,Products!$F$5:$F$300)+SUMIF(RM_Lots!$A$5:$A$400,A262,RM_Lots!$D$5:$D$400))+IF(W262="Y",SUMIF(Products!$E$5:$E$300,A262,Products!$G$5:$G$300),0))*(1+N(V262)))</f>
        <v>0</v>
      </c>
      <c r="AB262" s="22" t="n">
        <f aca="false">IF(F262&lt;&gt;"Y",0,((SUMIF(Products!$E$5:$E$300,A262,Products!$K$5:$K$300)+SUMIF(RM_Lots!$A$5:$A$400,A262,RM_Lots!$F$5:$F$400))+IF(W262="Y",SUMIF(Products!$E$5:$E$300,A262,Products!$L$5:$L$300),0))*(1+N(V262)))</f>
        <v>0</v>
      </c>
      <c r="AC262" s="17" t="n">
        <f aca="false">IF(J262="",1,MAX(1,COUNTIFS($J$5:$J$863,J262,$F$5:$F$863,"Y")))</f>
        <v>1</v>
      </c>
      <c r="AD262" s="18" t="n">
        <f aca="false">(MAX(1,N(I262))*(P262+N(S262))+MAX(1,N(I262))*N(K262)/(MAX(1,N(U262))*AC262))*Settings!$B$9</f>
        <v>0</v>
      </c>
      <c r="AE262" s="18" t="n">
        <f aca="false">(MAX(1,N(I262))*N(Q262)+MAX(1,N(I262))*N(L262)/(MAX(1,N(U262))*AC262))*Settings!$B$8</f>
        <v>0</v>
      </c>
      <c r="AF262" s="18" t="n">
        <f aca="false">MAX(1,N(I262))*N(T262)</f>
        <v>0</v>
      </c>
      <c r="AG262" s="15" t="n">
        <f aca="false">AA262*N(AD262)</f>
        <v>0</v>
      </c>
      <c r="AH262" s="15" t="n">
        <f aca="false">AA262*N(AE262)</f>
        <v>0</v>
      </c>
      <c r="AI262" s="15" t="n">
        <f aca="false">AA262*N(AF262)</f>
        <v>0</v>
      </c>
      <c r="AJ262" s="15" t="n">
        <f aca="false">AA262*N(R262)</f>
        <v>0</v>
      </c>
      <c r="AK262" s="15" t="n">
        <f aca="false">AB262*N(AD262)</f>
        <v>0</v>
      </c>
      <c r="AL262" s="15" t="n">
        <f aca="false">AB262*N(AE262)</f>
        <v>0</v>
      </c>
      <c r="AM262" s="15" t="n">
        <f aca="false">AB262*N(AF262)</f>
        <v>0</v>
      </c>
      <c r="AN262" s="15" t="n">
        <f aca="false">AB262*N(R262)</f>
        <v>0</v>
      </c>
      <c r="AO262" s="21" t="str">
        <f aca="false">IF(F262&lt;&gt;"Y","n/a",IF(AND(N262&lt;&gt;"",OR(Q262&lt;&gt;"",G262="Other / bench",G262="None"),U262&lt;&gt;""),"OK","Missing"))</f>
        <v>n/a</v>
      </c>
    </row>
    <row r="263" customFormat="false" ht="15" hidden="false" customHeight="false" outlineLevel="0" collapsed="false">
      <c r="A263" s="10" t="s">
        <v>360</v>
      </c>
      <c r="B263" s="10" t="s">
        <v>659</v>
      </c>
      <c r="C263" s="10" t="s">
        <v>718</v>
      </c>
      <c r="D263" s="10" t="s">
        <v>669</v>
      </c>
      <c r="E263" s="21" t="str">
        <f aca="false">IF(A263="","",A263&amp;"|"&amp;D263)</f>
        <v>F43|Other tests (non-HPLC: physical, LOD/KF, disintegration, pH, micro...)</v>
      </c>
      <c r="F263" s="16" t="s">
        <v>662</v>
      </c>
      <c r="G263" s="16" t="s">
        <v>670</v>
      </c>
      <c r="H263" s="16" t="s">
        <v>663</v>
      </c>
      <c r="I263" s="16" t="n">
        <v>1</v>
      </c>
      <c r="J263" s="16"/>
      <c r="K263" s="14"/>
      <c r="L263" s="14"/>
      <c r="M263" s="14"/>
      <c r="N263" s="14"/>
      <c r="O263" s="14"/>
      <c r="P263" s="18" t="n">
        <f aca="false">IF(N263="",0,IF(OR(M263="",O263=""),N263,(M263+4*N263+O263)/6))</f>
        <v>0</v>
      </c>
      <c r="Q263" s="14"/>
      <c r="R263" s="14"/>
      <c r="S263" s="14"/>
      <c r="T263" s="14"/>
      <c r="U263" s="16"/>
      <c r="V263" s="13"/>
      <c r="W263" s="16" t="s">
        <v>662</v>
      </c>
      <c r="X263" s="16"/>
      <c r="Y263" s="16"/>
      <c r="Z263" s="16"/>
      <c r="AA263" s="22" t="n">
        <f aca="false">IF(F263&lt;&gt;"Y",0,((SUMIF(Products!$E$5:$E$300,A263,Products!$F$5:$F$300)+SUMIF(RM_Lots!$A$5:$A$400,A263,RM_Lots!$D$5:$D$400))+IF(W263="Y",SUMIF(Products!$E$5:$E$300,A263,Products!$G$5:$G$300),0))*(1+N(V263)))</f>
        <v>0</v>
      </c>
      <c r="AB263" s="22" t="n">
        <f aca="false">IF(F263&lt;&gt;"Y",0,((SUMIF(Products!$E$5:$E$300,A263,Products!$K$5:$K$300)+SUMIF(RM_Lots!$A$5:$A$400,A263,RM_Lots!$F$5:$F$400))+IF(W263="Y",SUMIF(Products!$E$5:$E$300,A263,Products!$L$5:$L$300),0))*(1+N(V263)))</f>
        <v>0</v>
      </c>
      <c r="AC263" s="17" t="n">
        <f aca="false">IF(J263="",1,MAX(1,COUNTIFS($J$5:$J$863,J263,$F$5:$F$863,"Y")))</f>
        <v>1</v>
      </c>
      <c r="AD263" s="18" t="n">
        <f aca="false">(MAX(1,N(I263))*(P263+N(S263))+MAX(1,N(I263))*N(K263)/(MAX(1,N(U263))*AC263))*Settings!$B$9</f>
        <v>0</v>
      </c>
      <c r="AE263" s="18" t="n">
        <f aca="false">(MAX(1,N(I263))*N(Q263)+MAX(1,N(I263))*N(L263)/(MAX(1,N(U263))*AC263))*Settings!$B$8</f>
        <v>0</v>
      </c>
      <c r="AF263" s="18" t="n">
        <f aca="false">MAX(1,N(I263))*N(T263)</f>
        <v>0</v>
      </c>
      <c r="AG263" s="15" t="n">
        <f aca="false">AA263*N(AD263)</f>
        <v>0</v>
      </c>
      <c r="AH263" s="15" t="n">
        <f aca="false">AA263*N(AE263)</f>
        <v>0</v>
      </c>
      <c r="AI263" s="15" t="n">
        <f aca="false">AA263*N(AF263)</f>
        <v>0</v>
      </c>
      <c r="AJ263" s="15" t="n">
        <f aca="false">AA263*N(R263)</f>
        <v>0</v>
      </c>
      <c r="AK263" s="15" t="n">
        <f aca="false">AB263*N(AD263)</f>
        <v>0</v>
      </c>
      <c r="AL263" s="15" t="n">
        <f aca="false">AB263*N(AE263)</f>
        <v>0</v>
      </c>
      <c r="AM263" s="15" t="n">
        <f aca="false">AB263*N(AF263)</f>
        <v>0</v>
      </c>
      <c r="AN263" s="15" t="n">
        <f aca="false">AB263*N(R263)</f>
        <v>0</v>
      </c>
      <c r="AO263" s="21" t="str">
        <f aca="false">IF(F263&lt;&gt;"Y","n/a",IF(AND(N263&lt;&gt;"",OR(Q263&lt;&gt;"",G263="Other / bench",G263="None"),U263&lt;&gt;""),"OK","Missing"))</f>
        <v>Missing</v>
      </c>
    </row>
    <row r="264" customFormat="false" ht="15" hidden="false" customHeight="false" outlineLevel="0" collapsed="false">
      <c r="A264" s="10" t="s">
        <v>363</v>
      </c>
      <c r="B264" s="10" t="s">
        <v>659</v>
      </c>
      <c r="C264" s="10" t="s">
        <v>719</v>
      </c>
      <c r="D264" s="10" t="s">
        <v>661</v>
      </c>
      <c r="E264" s="21" t="str">
        <f aca="false">IF(A264="","",A264&amp;"|"&amp;D264)</f>
        <v>F44|Assay</v>
      </c>
      <c r="F264" s="16" t="s">
        <v>662</v>
      </c>
      <c r="G264" s="16" t="s">
        <v>147</v>
      </c>
      <c r="H264" s="16" t="s">
        <v>685</v>
      </c>
      <c r="I264" s="16" t="n">
        <v>1</v>
      </c>
      <c r="J264" s="16"/>
      <c r="K264" s="14"/>
      <c r="L264" s="14"/>
      <c r="M264" s="14"/>
      <c r="N264" s="14"/>
      <c r="O264" s="14"/>
      <c r="P264" s="18" t="n">
        <f aca="false">IF(N264="",0,IF(OR(M264="",O264=""),N264,(M264+4*N264+O264)/6))</f>
        <v>0</v>
      </c>
      <c r="Q264" s="14"/>
      <c r="R264" s="14"/>
      <c r="S264" s="14"/>
      <c r="T264" s="14"/>
      <c r="U264" s="16"/>
      <c r="V264" s="13"/>
      <c r="W264" s="16" t="s">
        <v>662</v>
      </c>
      <c r="X264" s="16"/>
      <c r="Y264" s="16"/>
      <c r="Z264" s="16" t="s">
        <v>693</v>
      </c>
      <c r="AA264" s="22" t="n">
        <f aca="false">IF(F264&lt;&gt;"Y",0,((SUMIF(Products!$E$5:$E$300,A264,Products!$F$5:$F$300)+SUMIF(RM_Lots!$A$5:$A$400,A264,RM_Lots!$D$5:$D$400))+IF(W264="Y",SUMIF(Products!$E$5:$E$300,A264,Products!$G$5:$G$300),0))*(1+N(V264)))</f>
        <v>0</v>
      </c>
      <c r="AB264" s="22" t="n">
        <f aca="false">IF(F264&lt;&gt;"Y",0,((SUMIF(Products!$E$5:$E$300,A264,Products!$K$5:$K$300)+SUMIF(RM_Lots!$A$5:$A$400,A264,RM_Lots!$F$5:$F$400))+IF(W264="Y",SUMIF(Products!$E$5:$E$300,A264,Products!$L$5:$L$300),0))*(1+N(V264)))</f>
        <v>0</v>
      </c>
      <c r="AC264" s="17" t="n">
        <f aca="false">IF(J264="",1,MAX(1,COUNTIFS($J$5:$J$863,J264,$F$5:$F$863,"Y")))</f>
        <v>1</v>
      </c>
      <c r="AD264" s="18" t="n">
        <f aca="false">(MAX(1,N(I264))*(P264+N(S264))+MAX(1,N(I264))*N(K264)/(MAX(1,N(U264))*AC264))*Settings!$B$9</f>
        <v>0</v>
      </c>
      <c r="AE264" s="18" t="n">
        <f aca="false">(MAX(1,N(I264))*N(Q264)+MAX(1,N(I264))*N(L264)/(MAX(1,N(U264))*AC264))*Settings!$B$8</f>
        <v>0</v>
      </c>
      <c r="AF264" s="18" t="n">
        <f aca="false">MAX(1,N(I264))*N(T264)</f>
        <v>0</v>
      </c>
      <c r="AG264" s="15" t="n">
        <f aca="false">AA264*N(AD264)</f>
        <v>0</v>
      </c>
      <c r="AH264" s="15" t="n">
        <f aca="false">AA264*N(AE264)</f>
        <v>0</v>
      </c>
      <c r="AI264" s="15" t="n">
        <f aca="false">AA264*N(AF264)</f>
        <v>0</v>
      </c>
      <c r="AJ264" s="15" t="n">
        <f aca="false">AA264*N(R264)</f>
        <v>0</v>
      </c>
      <c r="AK264" s="15" t="n">
        <f aca="false">AB264*N(AD264)</f>
        <v>0</v>
      </c>
      <c r="AL264" s="15" t="n">
        <f aca="false">AB264*N(AE264)</f>
        <v>0</v>
      </c>
      <c r="AM264" s="15" t="n">
        <f aca="false">AB264*N(AF264)</f>
        <v>0</v>
      </c>
      <c r="AN264" s="15" t="n">
        <f aca="false">AB264*N(R264)</f>
        <v>0</v>
      </c>
      <c r="AO264" s="21" t="str">
        <f aca="false">IF(F264&lt;&gt;"Y","n/a",IF(AND(N264&lt;&gt;"",OR(Q264&lt;&gt;"",G264="Other / bench",G264="None"),U264&lt;&gt;""),"OK","Missing"))</f>
        <v>Missing</v>
      </c>
    </row>
    <row r="265" customFormat="false" ht="15" hidden="false" customHeight="false" outlineLevel="0" collapsed="false">
      <c r="A265" s="10" t="s">
        <v>363</v>
      </c>
      <c r="B265" s="10" t="s">
        <v>659</v>
      </c>
      <c r="C265" s="10" t="s">
        <v>719</v>
      </c>
      <c r="D265" s="10" t="s">
        <v>664</v>
      </c>
      <c r="E265" s="21" t="str">
        <f aca="false">IF(A265="","",A265&amp;"|"&amp;D265)</f>
        <v>F44|Related substances / impurities</v>
      </c>
      <c r="F265" s="16" t="s">
        <v>667</v>
      </c>
      <c r="G265" s="16" t="s">
        <v>147</v>
      </c>
      <c r="H265" s="16" t="s">
        <v>685</v>
      </c>
      <c r="I265" s="16" t="n">
        <v>1</v>
      </c>
      <c r="J265" s="16"/>
      <c r="K265" s="14"/>
      <c r="L265" s="14"/>
      <c r="M265" s="14"/>
      <c r="N265" s="14"/>
      <c r="O265" s="14"/>
      <c r="P265" s="18" t="n">
        <f aca="false">IF(N265="",0,IF(OR(M265="",O265=""),N265,(M265+4*N265+O265)/6))</f>
        <v>0</v>
      </c>
      <c r="Q265" s="14"/>
      <c r="R265" s="14"/>
      <c r="S265" s="14"/>
      <c r="T265" s="14"/>
      <c r="U265" s="16"/>
      <c r="V265" s="13"/>
      <c r="W265" s="16" t="s">
        <v>662</v>
      </c>
      <c r="X265" s="16"/>
      <c r="Y265" s="16"/>
      <c r="Z265" s="16"/>
      <c r="AA265" s="22" t="n">
        <f aca="false">IF(F265&lt;&gt;"Y",0,((SUMIF(Products!$E$5:$E$300,A265,Products!$F$5:$F$300)+SUMIF(RM_Lots!$A$5:$A$400,A265,RM_Lots!$D$5:$D$400))+IF(W265="Y",SUMIF(Products!$E$5:$E$300,A265,Products!$G$5:$G$300),0))*(1+N(V265)))</f>
        <v>0</v>
      </c>
      <c r="AB265" s="22" t="n">
        <f aca="false">IF(F265&lt;&gt;"Y",0,((SUMIF(Products!$E$5:$E$300,A265,Products!$K$5:$K$300)+SUMIF(RM_Lots!$A$5:$A$400,A265,RM_Lots!$F$5:$F$400))+IF(W265="Y",SUMIF(Products!$E$5:$E$300,A265,Products!$L$5:$L$300),0))*(1+N(V265)))</f>
        <v>0</v>
      </c>
      <c r="AC265" s="17" t="n">
        <f aca="false">IF(J265="",1,MAX(1,COUNTIFS($J$5:$J$863,J265,$F$5:$F$863,"Y")))</f>
        <v>1</v>
      </c>
      <c r="AD265" s="18" t="n">
        <f aca="false">(MAX(1,N(I265))*(P265+N(S265))+MAX(1,N(I265))*N(K265)/(MAX(1,N(U265))*AC265))*Settings!$B$9</f>
        <v>0</v>
      </c>
      <c r="AE265" s="18" t="n">
        <f aca="false">(MAX(1,N(I265))*N(Q265)+MAX(1,N(I265))*N(L265)/(MAX(1,N(U265))*AC265))*Settings!$B$8</f>
        <v>0</v>
      </c>
      <c r="AF265" s="18" t="n">
        <f aca="false">MAX(1,N(I265))*N(T265)</f>
        <v>0</v>
      </c>
      <c r="AG265" s="15" t="n">
        <f aca="false">AA265*N(AD265)</f>
        <v>0</v>
      </c>
      <c r="AH265" s="15" t="n">
        <f aca="false">AA265*N(AE265)</f>
        <v>0</v>
      </c>
      <c r="AI265" s="15" t="n">
        <f aca="false">AA265*N(AF265)</f>
        <v>0</v>
      </c>
      <c r="AJ265" s="15" t="n">
        <f aca="false">AA265*N(R265)</f>
        <v>0</v>
      </c>
      <c r="AK265" s="15" t="n">
        <f aca="false">AB265*N(AD265)</f>
        <v>0</v>
      </c>
      <c r="AL265" s="15" t="n">
        <f aca="false">AB265*N(AE265)</f>
        <v>0</v>
      </c>
      <c r="AM265" s="15" t="n">
        <f aca="false">AB265*N(AF265)</f>
        <v>0</v>
      </c>
      <c r="AN265" s="15" t="n">
        <f aca="false">AB265*N(R265)</f>
        <v>0</v>
      </c>
      <c r="AO265" s="21" t="str">
        <f aca="false">IF(F265&lt;&gt;"Y","n/a",IF(AND(N265&lt;&gt;"",OR(Q265&lt;&gt;"",G265="Other / bench",G265="None"),U265&lt;&gt;""),"OK","Missing"))</f>
        <v>n/a</v>
      </c>
    </row>
    <row r="266" customFormat="false" ht="15" hidden="false" customHeight="false" outlineLevel="0" collapsed="false">
      <c r="A266" s="10" t="s">
        <v>363</v>
      </c>
      <c r="B266" s="10" t="s">
        <v>659</v>
      </c>
      <c r="C266" s="10" t="s">
        <v>719</v>
      </c>
      <c r="D266" s="10" t="s">
        <v>665</v>
      </c>
      <c r="E266" s="21" t="str">
        <f aca="false">IF(A266="","",A266&amp;"|"&amp;D266)</f>
        <v>F44|Dissolution</v>
      </c>
      <c r="F266" s="16" t="s">
        <v>662</v>
      </c>
      <c r="G266" s="16" t="s">
        <v>147</v>
      </c>
      <c r="H266" s="16" t="s">
        <v>685</v>
      </c>
      <c r="I266" s="16" t="n">
        <v>1</v>
      </c>
      <c r="J266" s="16"/>
      <c r="K266" s="14"/>
      <c r="L266" s="14"/>
      <c r="M266" s="14"/>
      <c r="N266" s="14"/>
      <c r="O266" s="14"/>
      <c r="P266" s="18" t="n">
        <f aca="false">IF(N266="",0,IF(OR(M266="",O266=""),N266,(M266+4*N266+O266)/6))</f>
        <v>0</v>
      </c>
      <c r="Q266" s="14"/>
      <c r="R266" s="14"/>
      <c r="S266" s="14"/>
      <c r="T266" s="14"/>
      <c r="U266" s="16"/>
      <c r="V266" s="13"/>
      <c r="W266" s="16" t="s">
        <v>662</v>
      </c>
      <c r="X266" s="16"/>
      <c r="Y266" s="16"/>
      <c r="Z266" s="16"/>
      <c r="AA266" s="22" t="n">
        <f aca="false">IF(F266&lt;&gt;"Y",0,((SUMIF(Products!$E$5:$E$300,A266,Products!$F$5:$F$300)+SUMIF(RM_Lots!$A$5:$A$400,A266,RM_Lots!$D$5:$D$400))+IF(W266="Y",SUMIF(Products!$E$5:$E$300,A266,Products!$G$5:$G$300),0))*(1+N(V266)))</f>
        <v>0</v>
      </c>
      <c r="AB266" s="22" t="n">
        <f aca="false">IF(F266&lt;&gt;"Y",0,((SUMIF(Products!$E$5:$E$300,A266,Products!$K$5:$K$300)+SUMIF(RM_Lots!$A$5:$A$400,A266,RM_Lots!$F$5:$F$400))+IF(W266="Y",SUMIF(Products!$E$5:$E$300,A266,Products!$L$5:$L$300),0))*(1+N(V266)))</f>
        <v>0</v>
      </c>
      <c r="AC266" s="17" t="n">
        <f aca="false">IF(J266="",1,MAX(1,COUNTIFS($J$5:$J$863,J266,$F$5:$F$863,"Y")))</f>
        <v>1</v>
      </c>
      <c r="AD266" s="18" t="n">
        <f aca="false">(MAX(1,N(I266))*(P266+N(S266))+MAX(1,N(I266))*N(K266)/(MAX(1,N(U266))*AC266))*Settings!$B$9</f>
        <v>0</v>
      </c>
      <c r="AE266" s="18" t="n">
        <f aca="false">(MAX(1,N(I266))*N(Q266)+MAX(1,N(I266))*N(L266)/(MAX(1,N(U266))*AC266))*Settings!$B$8</f>
        <v>0</v>
      </c>
      <c r="AF266" s="18" t="n">
        <f aca="false">MAX(1,N(I266))*N(T266)</f>
        <v>0</v>
      </c>
      <c r="AG266" s="15" t="n">
        <f aca="false">AA266*N(AD266)</f>
        <v>0</v>
      </c>
      <c r="AH266" s="15" t="n">
        <f aca="false">AA266*N(AE266)</f>
        <v>0</v>
      </c>
      <c r="AI266" s="15" t="n">
        <f aca="false">AA266*N(AF266)</f>
        <v>0</v>
      </c>
      <c r="AJ266" s="15" t="n">
        <f aca="false">AA266*N(R266)</f>
        <v>0</v>
      </c>
      <c r="AK266" s="15" t="n">
        <f aca="false">AB266*N(AD266)</f>
        <v>0</v>
      </c>
      <c r="AL266" s="15" t="n">
        <f aca="false">AB266*N(AE266)</f>
        <v>0</v>
      </c>
      <c r="AM266" s="15" t="n">
        <f aca="false">AB266*N(AF266)</f>
        <v>0</v>
      </c>
      <c r="AN266" s="15" t="n">
        <f aca="false">AB266*N(R266)</f>
        <v>0</v>
      </c>
      <c r="AO266" s="21" t="str">
        <f aca="false">IF(F266&lt;&gt;"Y","n/a",IF(AND(N266&lt;&gt;"",OR(Q266&lt;&gt;"",G266="Other / bench",G266="None"),U266&lt;&gt;""),"OK","Missing"))</f>
        <v>Missing</v>
      </c>
    </row>
    <row r="267" customFormat="false" ht="15" hidden="false" customHeight="false" outlineLevel="0" collapsed="false">
      <c r="A267" s="10" t="s">
        <v>363</v>
      </c>
      <c r="B267" s="10" t="s">
        <v>659</v>
      </c>
      <c r="C267" s="10" t="s">
        <v>719</v>
      </c>
      <c r="D267" s="10" t="s">
        <v>666</v>
      </c>
      <c r="E267" s="21" t="str">
        <f aca="false">IF(A267="","",A267&amp;"|"&amp;D267)</f>
        <v>F44|Content uniformity</v>
      </c>
      <c r="F267" s="16" t="s">
        <v>667</v>
      </c>
      <c r="G267" s="16" t="s">
        <v>147</v>
      </c>
      <c r="H267" s="16" t="s">
        <v>685</v>
      </c>
      <c r="I267" s="16" t="n">
        <v>1</v>
      </c>
      <c r="J267" s="16"/>
      <c r="K267" s="14"/>
      <c r="L267" s="14"/>
      <c r="M267" s="14"/>
      <c r="N267" s="14"/>
      <c r="O267" s="14"/>
      <c r="P267" s="18" t="n">
        <f aca="false">IF(N267="",0,IF(OR(M267="",O267=""),N267,(M267+4*N267+O267)/6))</f>
        <v>0</v>
      </c>
      <c r="Q267" s="14"/>
      <c r="R267" s="14"/>
      <c r="S267" s="14"/>
      <c r="T267" s="14"/>
      <c r="U267" s="16"/>
      <c r="V267" s="13"/>
      <c r="W267" s="16" t="s">
        <v>667</v>
      </c>
      <c r="X267" s="16"/>
      <c r="Y267" s="16"/>
      <c r="Z267" s="16"/>
      <c r="AA267" s="22" t="n">
        <f aca="false">IF(F267&lt;&gt;"Y",0,((SUMIF(Products!$E$5:$E$300,A267,Products!$F$5:$F$300)+SUMIF(RM_Lots!$A$5:$A$400,A267,RM_Lots!$D$5:$D$400))+IF(W267="Y",SUMIF(Products!$E$5:$E$300,A267,Products!$G$5:$G$300),0))*(1+N(V267)))</f>
        <v>0</v>
      </c>
      <c r="AB267" s="22" t="n">
        <f aca="false">IF(F267&lt;&gt;"Y",0,((SUMIF(Products!$E$5:$E$300,A267,Products!$K$5:$K$300)+SUMIF(RM_Lots!$A$5:$A$400,A267,RM_Lots!$F$5:$F$400))+IF(W267="Y",SUMIF(Products!$E$5:$E$300,A267,Products!$L$5:$L$300),0))*(1+N(V267)))</f>
        <v>0</v>
      </c>
      <c r="AC267" s="17" t="n">
        <f aca="false">IF(J267="",1,MAX(1,COUNTIFS($J$5:$J$863,J267,$F$5:$F$863,"Y")))</f>
        <v>1</v>
      </c>
      <c r="AD267" s="18" t="n">
        <f aca="false">(MAX(1,N(I267))*(P267+N(S267))+MAX(1,N(I267))*N(K267)/(MAX(1,N(U267))*AC267))*Settings!$B$9</f>
        <v>0</v>
      </c>
      <c r="AE267" s="18" t="n">
        <f aca="false">(MAX(1,N(I267))*N(Q267)+MAX(1,N(I267))*N(L267)/(MAX(1,N(U267))*AC267))*Settings!$B$8</f>
        <v>0</v>
      </c>
      <c r="AF267" s="18" t="n">
        <f aca="false">MAX(1,N(I267))*N(T267)</f>
        <v>0</v>
      </c>
      <c r="AG267" s="15" t="n">
        <f aca="false">AA267*N(AD267)</f>
        <v>0</v>
      </c>
      <c r="AH267" s="15" t="n">
        <f aca="false">AA267*N(AE267)</f>
        <v>0</v>
      </c>
      <c r="AI267" s="15" t="n">
        <f aca="false">AA267*N(AF267)</f>
        <v>0</v>
      </c>
      <c r="AJ267" s="15" t="n">
        <f aca="false">AA267*N(R267)</f>
        <v>0</v>
      </c>
      <c r="AK267" s="15" t="n">
        <f aca="false">AB267*N(AD267)</f>
        <v>0</v>
      </c>
      <c r="AL267" s="15" t="n">
        <f aca="false">AB267*N(AE267)</f>
        <v>0</v>
      </c>
      <c r="AM267" s="15" t="n">
        <f aca="false">AB267*N(AF267)</f>
        <v>0</v>
      </c>
      <c r="AN267" s="15" t="n">
        <f aca="false">AB267*N(R267)</f>
        <v>0</v>
      </c>
      <c r="AO267" s="21" t="str">
        <f aca="false">IF(F267&lt;&gt;"Y","n/a",IF(AND(N267&lt;&gt;"",OR(Q267&lt;&gt;"",G267="Other / bench",G267="None"),U267&lt;&gt;""),"OK","Missing"))</f>
        <v>n/a</v>
      </c>
    </row>
    <row r="268" customFormat="false" ht="15" hidden="false" customHeight="false" outlineLevel="0" collapsed="false">
      <c r="A268" s="10" t="s">
        <v>363</v>
      </c>
      <c r="B268" s="10" t="s">
        <v>659</v>
      </c>
      <c r="C268" s="10" t="s">
        <v>719</v>
      </c>
      <c r="D268" s="10" t="s">
        <v>668</v>
      </c>
      <c r="E268" s="21" t="str">
        <f aca="false">IF(A268="","",A268&amp;"|"&amp;D268)</f>
        <v>F44|Identification (if separate from assay)</v>
      </c>
      <c r="F268" s="16" t="s">
        <v>667</v>
      </c>
      <c r="G268" s="16" t="s">
        <v>147</v>
      </c>
      <c r="H268" s="16" t="s">
        <v>685</v>
      </c>
      <c r="I268" s="16" t="n">
        <v>1</v>
      </c>
      <c r="J268" s="16"/>
      <c r="K268" s="14"/>
      <c r="L268" s="14"/>
      <c r="M268" s="14"/>
      <c r="N268" s="14"/>
      <c r="O268" s="14"/>
      <c r="P268" s="18" t="n">
        <f aca="false">IF(N268="",0,IF(OR(M268="",O268=""),N268,(M268+4*N268+O268)/6))</f>
        <v>0</v>
      </c>
      <c r="Q268" s="14"/>
      <c r="R268" s="14"/>
      <c r="S268" s="14"/>
      <c r="T268" s="14"/>
      <c r="U268" s="16"/>
      <c r="V268" s="13"/>
      <c r="W268" s="16" t="s">
        <v>667</v>
      </c>
      <c r="X268" s="16"/>
      <c r="Y268" s="16"/>
      <c r="Z268" s="16"/>
      <c r="AA268" s="22" t="n">
        <f aca="false">IF(F268&lt;&gt;"Y",0,((SUMIF(Products!$E$5:$E$300,A268,Products!$F$5:$F$300)+SUMIF(RM_Lots!$A$5:$A$400,A268,RM_Lots!$D$5:$D$400))+IF(W268="Y",SUMIF(Products!$E$5:$E$300,A268,Products!$G$5:$G$300),0))*(1+N(V268)))</f>
        <v>0</v>
      </c>
      <c r="AB268" s="22" t="n">
        <f aca="false">IF(F268&lt;&gt;"Y",0,((SUMIF(Products!$E$5:$E$300,A268,Products!$K$5:$K$300)+SUMIF(RM_Lots!$A$5:$A$400,A268,RM_Lots!$F$5:$F$400))+IF(W268="Y",SUMIF(Products!$E$5:$E$300,A268,Products!$L$5:$L$300),0))*(1+N(V268)))</f>
        <v>0</v>
      </c>
      <c r="AC268" s="17" t="n">
        <f aca="false">IF(J268="",1,MAX(1,COUNTIFS($J$5:$J$863,J268,$F$5:$F$863,"Y")))</f>
        <v>1</v>
      </c>
      <c r="AD268" s="18" t="n">
        <f aca="false">(MAX(1,N(I268))*(P268+N(S268))+MAX(1,N(I268))*N(K268)/(MAX(1,N(U268))*AC268))*Settings!$B$9</f>
        <v>0</v>
      </c>
      <c r="AE268" s="18" t="n">
        <f aca="false">(MAX(1,N(I268))*N(Q268)+MAX(1,N(I268))*N(L268)/(MAX(1,N(U268))*AC268))*Settings!$B$8</f>
        <v>0</v>
      </c>
      <c r="AF268" s="18" t="n">
        <f aca="false">MAX(1,N(I268))*N(T268)</f>
        <v>0</v>
      </c>
      <c r="AG268" s="15" t="n">
        <f aca="false">AA268*N(AD268)</f>
        <v>0</v>
      </c>
      <c r="AH268" s="15" t="n">
        <f aca="false">AA268*N(AE268)</f>
        <v>0</v>
      </c>
      <c r="AI268" s="15" t="n">
        <f aca="false">AA268*N(AF268)</f>
        <v>0</v>
      </c>
      <c r="AJ268" s="15" t="n">
        <f aca="false">AA268*N(R268)</f>
        <v>0</v>
      </c>
      <c r="AK268" s="15" t="n">
        <f aca="false">AB268*N(AD268)</f>
        <v>0</v>
      </c>
      <c r="AL268" s="15" t="n">
        <f aca="false">AB268*N(AE268)</f>
        <v>0</v>
      </c>
      <c r="AM268" s="15" t="n">
        <f aca="false">AB268*N(AF268)</f>
        <v>0</v>
      </c>
      <c r="AN268" s="15" t="n">
        <f aca="false">AB268*N(R268)</f>
        <v>0</v>
      </c>
      <c r="AO268" s="21" t="str">
        <f aca="false">IF(F268&lt;&gt;"Y","n/a",IF(AND(N268&lt;&gt;"",OR(Q268&lt;&gt;"",G268="Other / bench",G268="None"),U268&lt;&gt;""),"OK","Missing"))</f>
        <v>n/a</v>
      </c>
    </row>
    <row r="269" customFormat="false" ht="15" hidden="false" customHeight="false" outlineLevel="0" collapsed="false">
      <c r="A269" s="10" t="s">
        <v>363</v>
      </c>
      <c r="B269" s="10" t="s">
        <v>659</v>
      </c>
      <c r="C269" s="10" t="s">
        <v>719</v>
      </c>
      <c r="D269" s="10" t="s">
        <v>669</v>
      </c>
      <c r="E269" s="21" t="str">
        <f aca="false">IF(A269="","",A269&amp;"|"&amp;D269)</f>
        <v>F44|Other tests (non-HPLC: physical, LOD/KF, disintegration, pH, micro...)</v>
      </c>
      <c r="F269" s="16" t="s">
        <v>662</v>
      </c>
      <c r="G269" s="16" t="s">
        <v>670</v>
      </c>
      <c r="H269" s="16" t="s">
        <v>685</v>
      </c>
      <c r="I269" s="16" t="n">
        <v>1</v>
      </c>
      <c r="J269" s="16"/>
      <c r="K269" s="14"/>
      <c r="L269" s="14"/>
      <c r="M269" s="14"/>
      <c r="N269" s="14"/>
      <c r="O269" s="14"/>
      <c r="P269" s="18" t="n">
        <f aca="false">IF(N269="",0,IF(OR(M269="",O269=""),N269,(M269+4*N269+O269)/6))</f>
        <v>0</v>
      </c>
      <c r="Q269" s="14"/>
      <c r="R269" s="14"/>
      <c r="S269" s="14"/>
      <c r="T269" s="14"/>
      <c r="U269" s="16"/>
      <c r="V269" s="13"/>
      <c r="W269" s="16" t="s">
        <v>662</v>
      </c>
      <c r="X269" s="16"/>
      <c r="Y269" s="16"/>
      <c r="Z269" s="16"/>
      <c r="AA269" s="22" t="n">
        <f aca="false">IF(F269&lt;&gt;"Y",0,((SUMIF(Products!$E$5:$E$300,A269,Products!$F$5:$F$300)+SUMIF(RM_Lots!$A$5:$A$400,A269,RM_Lots!$D$5:$D$400))+IF(W269="Y",SUMIF(Products!$E$5:$E$300,A269,Products!$G$5:$G$300),0))*(1+N(V269)))</f>
        <v>0</v>
      </c>
      <c r="AB269" s="22" t="n">
        <f aca="false">IF(F269&lt;&gt;"Y",0,((SUMIF(Products!$E$5:$E$300,A269,Products!$K$5:$K$300)+SUMIF(RM_Lots!$A$5:$A$400,A269,RM_Lots!$F$5:$F$400))+IF(W269="Y",SUMIF(Products!$E$5:$E$300,A269,Products!$L$5:$L$300),0))*(1+N(V269)))</f>
        <v>0</v>
      </c>
      <c r="AC269" s="17" t="n">
        <f aca="false">IF(J269="",1,MAX(1,COUNTIFS($J$5:$J$863,J269,$F$5:$F$863,"Y")))</f>
        <v>1</v>
      </c>
      <c r="AD269" s="18" t="n">
        <f aca="false">(MAX(1,N(I269))*(P269+N(S269))+MAX(1,N(I269))*N(K269)/(MAX(1,N(U269))*AC269))*Settings!$B$9</f>
        <v>0</v>
      </c>
      <c r="AE269" s="18" t="n">
        <f aca="false">(MAX(1,N(I269))*N(Q269)+MAX(1,N(I269))*N(L269)/(MAX(1,N(U269))*AC269))*Settings!$B$8</f>
        <v>0</v>
      </c>
      <c r="AF269" s="18" t="n">
        <f aca="false">MAX(1,N(I269))*N(T269)</f>
        <v>0</v>
      </c>
      <c r="AG269" s="15" t="n">
        <f aca="false">AA269*N(AD269)</f>
        <v>0</v>
      </c>
      <c r="AH269" s="15" t="n">
        <f aca="false">AA269*N(AE269)</f>
        <v>0</v>
      </c>
      <c r="AI269" s="15" t="n">
        <f aca="false">AA269*N(AF269)</f>
        <v>0</v>
      </c>
      <c r="AJ269" s="15" t="n">
        <f aca="false">AA269*N(R269)</f>
        <v>0</v>
      </c>
      <c r="AK269" s="15" t="n">
        <f aca="false">AB269*N(AD269)</f>
        <v>0</v>
      </c>
      <c r="AL269" s="15" t="n">
        <f aca="false">AB269*N(AE269)</f>
        <v>0</v>
      </c>
      <c r="AM269" s="15" t="n">
        <f aca="false">AB269*N(AF269)</f>
        <v>0</v>
      </c>
      <c r="AN269" s="15" t="n">
        <f aca="false">AB269*N(R269)</f>
        <v>0</v>
      </c>
      <c r="AO269" s="21" t="str">
        <f aca="false">IF(F269&lt;&gt;"Y","n/a",IF(AND(N269&lt;&gt;"",OR(Q269&lt;&gt;"",G269="Other / bench",G269="None"),U269&lt;&gt;""),"OK","Missing"))</f>
        <v>Missing</v>
      </c>
    </row>
    <row r="270" customFormat="false" ht="15" hidden="false" customHeight="false" outlineLevel="0" collapsed="false">
      <c r="A270" s="10" t="s">
        <v>366</v>
      </c>
      <c r="B270" s="10" t="s">
        <v>659</v>
      </c>
      <c r="C270" s="10" t="s">
        <v>720</v>
      </c>
      <c r="D270" s="10" t="s">
        <v>661</v>
      </c>
      <c r="E270" s="21" t="str">
        <f aca="false">IF(A270="","",A270&amp;"|"&amp;D270)</f>
        <v>F45|Assay</v>
      </c>
      <c r="F270" s="16" t="s">
        <v>662</v>
      </c>
      <c r="G270" s="16" t="s">
        <v>147</v>
      </c>
      <c r="H270" s="16" t="s">
        <v>663</v>
      </c>
      <c r="I270" s="16" t="n">
        <v>1</v>
      </c>
      <c r="J270" s="16"/>
      <c r="K270" s="14"/>
      <c r="L270" s="14"/>
      <c r="M270" s="14"/>
      <c r="N270" s="14"/>
      <c r="O270" s="14"/>
      <c r="P270" s="18" t="n">
        <f aca="false">IF(N270="",0,IF(OR(M270="",O270=""),N270,(M270+4*N270+O270)/6))</f>
        <v>0</v>
      </c>
      <c r="Q270" s="14"/>
      <c r="R270" s="14"/>
      <c r="S270" s="14"/>
      <c r="T270" s="14"/>
      <c r="U270" s="16"/>
      <c r="V270" s="13"/>
      <c r="W270" s="16" t="s">
        <v>662</v>
      </c>
      <c r="X270" s="16"/>
      <c r="Y270" s="16"/>
      <c r="Z270" s="16"/>
      <c r="AA270" s="22" t="n">
        <f aca="false">IF(F270&lt;&gt;"Y",0,((SUMIF(Products!$E$5:$E$300,A270,Products!$F$5:$F$300)+SUMIF(RM_Lots!$A$5:$A$400,A270,RM_Lots!$D$5:$D$400))+IF(W270="Y",SUMIF(Products!$E$5:$E$300,A270,Products!$G$5:$G$300),0))*(1+N(V270)))</f>
        <v>0</v>
      </c>
      <c r="AB270" s="22" t="n">
        <f aca="false">IF(F270&lt;&gt;"Y",0,((SUMIF(Products!$E$5:$E$300,A270,Products!$K$5:$K$300)+SUMIF(RM_Lots!$A$5:$A$400,A270,RM_Lots!$F$5:$F$400))+IF(W270="Y",SUMIF(Products!$E$5:$E$300,A270,Products!$L$5:$L$300),0))*(1+N(V270)))</f>
        <v>0</v>
      </c>
      <c r="AC270" s="17" t="n">
        <f aca="false">IF(J270="",1,MAX(1,COUNTIFS($J$5:$J$863,J270,$F$5:$F$863,"Y")))</f>
        <v>1</v>
      </c>
      <c r="AD270" s="18" t="n">
        <f aca="false">(MAX(1,N(I270))*(P270+N(S270))+MAX(1,N(I270))*N(K270)/(MAX(1,N(U270))*AC270))*Settings!$B$9</f>
        <v>0</v>
      </c>
      <c r="AE270" s="18" t="n">
        <f aca="false">(MAX(1,N(I270))*N(Q270)+MAX(1,N(I270))*N(L270)/(MAX(1,N(U270))*AC270))*Settings!$B$8</f>
        <v>0</v>
      </c>
      <c r="AF270" s="18" t="n">
        <f aca="false">MAX(1,N(I270))*N(T270)</f>
        <v>0</v>
      </c>
      <c r="AG270" s="15" t="n">
        <f aca="false">AA270*N(AD270)</f>
        <v>0</v>
      </c>
      <c r="AH270" s="15" t="n">
        <f aca="false">AA270*N(AE270)</f>
        <v>0</v>
      </c>
      <c r="AI270" s="15" t="n">
        <f aca="false">AA270*N(AF270)</f>
        <v>0</v>
      </c>
      <c r="AJ270" s="15" t="n">
        <f aca="false">AA270*N(R270)</f>
        <v>0</v>
      </c>
      <c r="AK270" s="15" t="n">
        <f aca="false">AB270*N(AD270)</f>
        <v>0</v>
      </c>
      <c r="AL270" s="15" t="n">
        <f aca="false">AB270*N(AE270)</f>
        <v>0</v>
      </c>
      <c r="AM270" s="15" t="n">
        <f aca="false">AB270*N(AF270)</f>
        <v>0</v>
      </c>
      <c r="AN270" s="15" t="n">
        <f aca="false">AB270*N(R270)</f>
        <v>0</v>
      </c>
      <c r="AO270" s="21" t="str">
        <f aca="false">IF(F270&lt;&gt;"Y","n/a",IF(AND(N270&lt;&gt;"",OR(Q270&lt;&gt;"",G270="Other / bench",G270="None"),U270&lt;&gt;""),"OK","Missing"))</f>
        <v>Missing</v>
      </c>
    </row>
    <row r="271" customFormat="false" ht="15" hidden="false" customHeight="false" outlineLevel="0" collapsed="false">
      <c r="A271" s="10" t="s">
        <v>366</v>
      </c>
      <c r="B271" s="10" t="s">
        <v>659</v>
      </c>
      <c r="C271" s="10" t="s">
        <v>720</v>
      </c>
      <c r="D271" s="10" t="s">
        <v>664</v>
      </c>
      <c r="E271" s="21" t="str">
        <f aca="false">IF(A271="","",A271&amp;"|"&amp;D271)</f>
        <v>F45|Related substances / impurities</v>
      </c>
      <c r="F271" s="16" t="s">
        <v>662</v>
      </c>
      <c r="G271" s="16" t="s">
        <v>147</v>
      </c>
      <c r="H271" s="16" t="s">
        <v>663</v>
      </c>
      <c r="I271" s="16" t="n">
        <v>1</v>
      </c>
      <c r="J271" s="16"/>
      <c r="K271" s="14"/>
      <c r="L271" s="14"/>
      <c r="M271" s="14"/>
      <c r="N271" s="14"/>
      <c r="O271" s="14"/>
      <c r="P271" s="18" t="n">
        <f aca="false">IF(N271="",0,IF(OR(M271="",O271=""),N271,(M271+4*N271+O271)/6))</f>
        <v>0</v>
      </c>
      <c r="Q271" s="14"/>
      <c r="R271" s="14"/>
      <c r="S271" s="14"/>
      <c r="T271" s="14"/>
      <c r="U271" s="16"/>
      <c r="V271" s="13"/>
      <c r="W271" s="16" t="s">
        <v>662</v>
      </c>
      <c r="X271" s="16"/>
      <c r="Y271" s="16"/>
      <c r="Z271" s="16"/>
      <c r="AA271" s="22" t="n">
        <f aca="false">IF(F271&lt;&gt;"Y",0,((SUMIF(Products!$E$5:$E$300,A271,Products!$F$5:$F$300)+SUMIF(RM_Lots!$A$5:$A$400,A271,RM_Lots!$D$5:$D$400))+IF(W271="Y",SUMIF(Products!$E$5:$E$300,A271,Products!$G$5:$G$300),0))*(1+N(V271)))</f>
        <v>0</v>
      </c>
      <c r="AB271" s="22" t="n">
        <f aca="false">IF(F271&lt;&gt;"Y",0,((SUMIF(Products!$E$5:$E$300,A271,Products!$K$5:$K$300)+SUMIF(RM_Lots!$A$5:$A$400,A271,RM_Lots!$F$5:$F$400))+IF(W271="Y",SUMIF(Products!$E$5:$E$300,A271,Products!$L$5:$L$300),0))*(1+N(V271)))</f>
        <v>0</v>
      </c>
      <c r="AC271" s="17" t="n">
        <f aca="false">IF(J271="",1,MAX(1,COUNTIFS($J$5:$J$863,J271,$F$5:$F$863,"Y")))</f>
        <v>1</v>
      </c>
      <c r="AD271" s="18" t="n">
        <f aca="false">(MAX(1,N(I271))*(P271+N(S271))+MAX(1,N(I271))*N(K271)/(MAX(1,N(U271))*AC271))*Settings!$B$9</f>
        <v>0</v>
      </c>
      <c r="AE271" s="18" t="n">
        <f aca="false">(MAX(1,N(I271))*N(Q271)+MAX(1,N(I271))*N(L271)/(MAX(1,N(U271))*AC271))*Settings!$B$8</f>
        <v>0</v>
      </c>
      <c r="AF271" s="18" t="n">
        <f aca="false">MAX(1,N(I271))*N(T271)</f>
        <v>0</v>
      </c>
      <c r="AG271" s="15" t="n">
        <f aca="false">AA271*N(AD271)</f>
        <v>0</v>
      </c>
      <c r="AH271" s="15" t="n">
        <f aca="false">AA271*N(AE271)</f>
        <v>0</v>
      </c>
      <c r="AI271" s="15" t="n">
        <f aca="false">AA271*N(AF271)</f>
        <v>0</v>
      </c>
      <c r="AJ271" s="15" t="n">
        <f aca="false">AA271*N(R271)</f>
        <v>0</v>
      </c>
      <c r="AK271" s="15" t="n">
        <f aca="false">AB271*N(AD271)</f>
        <v>0</v>
      </c>
      <c r="AL271" s="15" t="n">
        <f aca="false">AB271*N(AE271)</f>
        <v>0</v>
      </c>
      <c r="AM271" s="15" t="n">
        <f aca="false">AB271*N(AF271)</f>
        <v>0</v>
      </c>
      <c r="AN271" s="15" t="n">
        <f aca="false">AB271*N(R271)</f>
        <v>0</v>
      </c>
      <c r="AO271" s="21" t="str">
        <f aca="false">IF(F271&lt;&gt;"Y","n/a",IF(AND(N271&lt;&gt;"",OR(Q271&lt;&gt;"",G271="Other / bench",G271="None"),U271&lt;&gt;""),"OK","Missing"))</f>
        <v>Missing</v>
      </c>
    </row>
    <row r="272" customFormat="false" ht="15" hidden="false" customHeight="false" outlineLevel="0" collapsed="false">
      <c r="A272" s="10" t="s">
        <v>366</v>
      </c>
      <c r="B272" s="10" t="s">
        <v>659</v>
      </c>
      <c r="C272" s="10" t="s">
        <v>720</v>
      </c>
      <c r="D272" s="10" t="s">
        <v>665</v>
      </c>
      <c r="E272" s="21" t="str">
        <f aca="false">IF(A272="","",A272&amp;"|"&amp;D272)</f>
        <v>F45|Dissolution</v>
      </c>
      <c r="F272" s="16" t="s">
        <v>662</v>
      </c>
      <c r="G272" s="16" t="s">
        <v>147</v>
      </c>
      <c r="H272" s="16" t="s">
        <v>663</v>
      </c>
      <c r="I272" s="16" t="n">
        <v>1</v>
      </c>
      <c r="J272" s="16"/>
      <c r="K272" s="14"/>
      <c r="L272" s="14"/>
      <c r="M272" s="14"/>
      <c r="N272" s="14"/>
      <c r="O272" s="14"/>
      <c r="P272" s="18" t="n">
        <f aca="false">IF(N272="",0,IF(OR(M272="",O272=""),N272,(M272+4*N272+O272)/6))</f>
        <v>0</v>
      </c>
      <c r="Q272" s="14"/>
      <c r="R272" s="14"/>
      <c r="S272" s="14"/>
      <c r="T272" s="14"/>
      <c r="U272" s="16"/>
      <c r="V272" s="13"/>
      <c r="W272" s="16" t="s">
        <v>662</v>
      </c>
      <c r="X272" s="16"/>
      <c r="Y272" s="16"/>
      <c r="Z272" s="16"/>
      <c r="AA272" s="22" t="n">
        <f aca="false">IF(F272&lt;&gt;"Y",0,((SUMIF(Products!$E$5:$E$300,A272,Products!$F$5:$F$300)+SUMIF(RM_Lots!$A$5:$A$400,A272,RM_Lots!$D$5:$D$400))+IF(W272="Y",SUMIF(Products!$E$5:$E$300,A272,Products!$G$5:$G$300),0))*(1+N(V272)))</f>
        <v>0</v>
      </c>
      <c r="AB272" s="22" t="n">
        <f aca="false">IF(F272&lt;&gt;"Y",0,((SUMIF(Products!$E$5:$E$300,A272,Products!$K$5:$K$300)+SUMIF(RM_Lots!$A$5:$A$400,A272,RM_Lots!$F$5:$F$400))+IF(W272="Y",SUMIF(Products!$E$5:$E$300,A272,Products!$L$5:$L$300),0))*(1+N(V272)))</f>
        <v>0</v>
      </c>
      <c r="AC272" s="17" t="n">
        <f aca="false">IF(J272="",1,MAX(1,COUNTIFS($J$5:$J$863,J272,$F$5:$F$863,"Y")))</f>
        <v>1</v>
      </c>
      <c r="AD272" s="18" t="n">
        <f aca="false">(MAX(1,N(I272))*(P272+N(S272))+MAX(1,N(I272))*N(K272)/(MAX(1,N(U272))*AC272))*Settings!$B$9</f>
        <v>0</v>
      </c>
      <c r="AE272" s="18" t="n">
        <f aca="false">(MAX(1,N(I272))*N(Q272)+MAX(1,N(I272))*N(L272)/(MAX(1,N(U272))*AC272))*Settings!$B$8</f>
        <v>0</v>
      </c>
      <c r="AF272" s="18" t="n">
        <f aca="false">MAX(1,N(I272))*N(T272)</f>
        <v>0</v>
      </c>
      <c r="AG272" s="15" t="n">
        <f aca="false">AA272*N(AD272)</f>
        <v>0</v>
      </c>
      <c r="AH272" s="15" t="n">
        <f aca="false">AA272*N(AE272)</f>
        <v>0</v>
      </c>
      <c r="AI272" s="15" t="n">
        <f aca="false">AA272*N(AF272)</f>
        <v>0</v>
      </c>
      <c r="AJ272" s="15" t="n">
        <f aca="false">AA272*N(R272)</f>
        <v>0</v>
      </c>
      <c r="AK272" s="15" t="n">
        <f aca="false">AB272*N(AD272)</f>
        <v>0</v>
      </c>
      <c r="AL272" s="15" t="n">
        <f aca="false">AB272*N(AE272)</f>
        <v>0</v>
      </c>
      <c r="AM272" s="15" t="n">
        <f aca="false">AB272*N(AF272)</f>
        <v>0</v>
      </c>
      <c r="AN272" s="15" t="n">
        <f aca="false">AB272*N(R272)</f>
        <v>0</v>
      </c>
      <c r="AO272" s="21" t="str">
        <f aca="false">IF(F272&lt;&gt;"Y","n/a",IF(AND(N272&lt;&gt;"",OR(Q272&lt;&gt;"",G272="Other / bench",G272="None"),U272&lt;&gt;""),"OK","Missing"))</f>
        <v>Missing</v>
      </c>
    </row>
    <row r="273" customFormat="false" ht="15" hidden="false" customHeight="false" outlineLevel="0" collapsed="false">
      <c r="A273" s="10" t="s">
        <v>366</v>
      </c>
      <c r="B273" s="10" t="s">
        <v>659</v>
      </c>
      <c r="C273" s="10" t="s">
        <v>720</v>
      </c>
      <c r="D273" s="10" t="s">
        <v>666</v>
      </c>
      <c r="E273" s="21" t="str">
        <f aca="false">IF(A273="","",A273&amp;"|"&amp;D273)</f>
        <v>F45|Content uniformity</v>
      </c>
      <c r="F273" s="16" t="s">
        <v>662</v>
      </c>
      <c r="G273" s="16" t="s">
        <v>147</v>
      </c>
      <c r="H273" s="16" t="s">
        <v>663</v>
      </c>
      <c r="I273" s="16" t="n">
        <v>1</v>
      </c>
      <c r="J273" s="16"/>
      <c r="K273" s="14"/>
      <c r="L273" s="14"/>
      <c r="M273" s="14"/>
      <c r="N273" s="14"/>
      <c r="O273" s="14"/>
      <c r="P273" s="18" t="n">
        <f aca="false">IF(N273="",0,IF(OR(M273="",O273=""),N273,(M273+4*N273+O273)/6))</f>
        <v>0</v>
      </c>
      <c r="Q273" s="14"/>
      <c r="R273" s="14"/>
      <c r="S273" s="14"/>
      <c r="T273" s="14"/>
      <c r="U273" s="16"/>
      <c r="V273" s="13"/>
      <c r="W273" s="16" t="s">
        <v>667</v>
      </c>
      <c r="X273" s="16"/>
      <c r="Y273" s="16"/>
      <c r="Z273" s="16"/>
      <c r="AA273" s="22" t="n">
        <f aca="false">IF(F273&lt;&gt;"Y",0,((SUMIF(Products!$E$5:$E$300,A273,Products!$F$5:$F$300)+SUMIF(RM_Lots!$A$5:$A$400,A273,RM_Lots!$D$5:$D$400))+IF(W273="Y",SUMIF(Products!$E$5:$E$300,A273,Products!$G$5:$G$300),0))*(1+N(V273)))</f>
        <v>0</v>
      </c>
      <c r="AB273" s="22" t="n">
        <f aca="false">IF(F273&lt;&gt;"Y",0,((SUMIF(Products!$E$5:$E$300,A273,Products!$K$5:$K$300)+SUMIF(RM_Lots!$A$5:$A$400,A273,RM_Lots!$F$5:$F$400))+IF(W273="Y",SUMIF(Products!$E$5:$E$300,A273,Products!$L$5:$L$300),0))*(1+N(V273)))</f>
        <v>0</v>
      </c>
      <c r="AC273" s="17" t="n">
        <f aca="false">IF(J273="",1,MAX(1,COUNTIFS($J$5:$J$863,J273,$F$5:$F$863,"Y")))</f>
        <v>1</v>
      </c>
      <c r="AD273" s="18" t="n">
        <f aca="false">(MAX(1,N(I273))*(P273+N(S273))+MAX(1,N(I273))*N(K273)/(MAX(1,N(U273))*AC273))*Settings!$B$9</f>
        <v>0</v>
      </c>
      <c r="AE273" s="18" t="n">
        <f aca="false">(MAX(1,N(I273))*N(Q273)+MAX(1,N(I273))*N(L273)/(MAX(1,N(U273))*AC273))*Settings!$B$8</f>
        <v>0</v>
      </c>
      <c r="AF273" s="18" t="n">
        <f aca="false">MAX(1,N(I273))*N(T273)</f>
        <v>0</v>
      </c>
      <c r="AG273" s="15" t="n">
        <f aca="false">AA273*N(AD273)</f>
        <v>0</v>
      </c>
      <c r="AH273" s="15" t="n">
        <f aca="false">AA273*N(AE273)</f>
        <v>0</v>
      </c>
      <c r="AI273" s="15" t="n">
        <f aca="false">AA273*N(AF273)</f>
        <v>0</v>
      </c>
      <c r="AJ273" s="15" t="n">
        <f aca="false">AA273*N(R273)</f>
        <v>0</v>
      </c>
      <c r="AK273" s="15" t="n">
        <f aca="false">AB273*N(AD273)</f>
        <v>0</v>
      </c>
      <c r="AL273" s="15" t="n">
        <f aca="false">AB273*N(AE273)</f>
        <v>0</v>
      </c>
      <c r="AM273" s="15" t="n">
        <f aca="false">AB273*N(AF273)</f>
        <v>0</v>
      </c>
      <c r="AN273" s="15" t="n">
        <f aca="false">AB273*N(R273)</f>
        <v>0</v>
      </c>
      <c r="AO273" s="21" t="str">
        <f aca="false">IF(F273&lt;&gt;"Y","n/a",IF(AND(N273&lt;&gt;"",OR(Q273&lt;&gt;"",G273="Other / bench",G273="None"),U273&lt;&gt;""),"OK","Missing"))</f>
        <v>Missing</v>
      </c>
    </row>
    <row r="274" customFormat="false" ht="15" hidden="false" customHeight="false" outlineLevel="0" collapsed="false">
      <c r="A274" s="10" t="s">
        <v>366</v>
      </c>
      <c r="B274" s="10" t="s">
        <v>659</v>
      </c>
      <c r="C274" s="10" t="s">
        <v>720</v>
      </c>
      <c r="D274" s="10" t="s">
        <v>668</v>
      </c>
      <c r="E274" s="21" t="str">
        <f aca="false">IF(A274="","",A274&amp;"|"&amp;D274)</f>
        <v>F45|Identification (if separate from assay)</v>
      </c>
      <c r="F274" s="16" t="s">
        <v>667</v>
      </c>
      <c r="G274" s="16" t="s">
        <v>147</v>
      </c>
      <c r="H274" s="16" t="s">
        <v>663</v>
      </c>
      <c r="I274" s="16" t="n">
        <v>1</v>
      </c>
      <c r="J274" s="16"/>
      <c r="K274" s="14"/>
      <c r="L274" s="14"/>
      <c r="M274" s="14"/>
      <c r="N274" s="14"/>
      <c r="O274" s="14"/>
      <c r="P274" s="18" t="n">
        <f aca="false">IF(N274="",0,IF(OR(M274="",O274=""),N274,(M274+4*N274+O274)/6))</f>
        <v>0</v>
      </c>
      <c r="Q274" s="14"/>
      <c r="R274" s="14"/>
      <c r="S274" s="14"/>
      <c r="T274" s="14"/>
      <c r="U274" s="16"/>
      <c r="V274" s="13"/>
      <c r="W274" s="16" t="s">
        <v>667</v>
      </c>
      <c r="X274" s="16"/>
      <c r="Y274" s="16"/>
      <c r="Z274" s="16"/>
      <c r="AA274" s="22" t="n">
        <f aca="false">IF(F274&lt;&gt;"Y",0,((SUMIF(Products!$E$5:$E$300,A274,Products!$F$5:$F$300)+SUMIF(RM_Lots!$A$5:$A$400,A274,RM_Lots!$D$5:$D$400))+IF(W274="Y",SUMIF(Products!$E$5:$E$300,A274,Products!$G$5:$G$300),0))*(1+N(V274)))</f>
        <v>0</v>
      </c>
      <c r="AB274" s="22" t="n">
        <f aca="false">IF(F274&lt;&gt;"Y",0,((SUMIF(Products!$E$5:$E$300,A274,Products!$K$5:$K$300)+SUMIF(RM_Lots!$A$5:$A$400,A274,RM_Lots!$F$5:$F$400))+IF(W274="Y",SUMIF(Products!$E$5:$E$300,A274,Products!$L$5:$L$300),0))*(1+N(V274)))</f>
        <v>0</v>
      </c>
      <c r="AC274" s="17" t="n">
        <f aca="false">IF(J274="",1,MAX(1,COUNTIFS($J$5:$J$863,J274,$F$5:$F$863,"Y")))</f>
        <v>1</v>
      </c>
      <c r="AD274" s="18" t="n">
        <f aca="false">(MAX(1,N(I274))*(P274+N(S274))+MAX(1,N(I274))*N(K274)/(MAX(1,N(U274))*AC274))*Settings!$B$9</f>
        <v>0</v>
      </c>
      <c r="AE274" s="18" t="n">
        <f aca="false">(MAX(1,N(I274))*N(Q274)+MAX(1,N(I274))*N(L274)/(MAX(1,N(U274))*AC274))*Settings!$B$8</f>
        <v>0</v>
      </c>
      <c r="AF274" s="18" t="n">
        <f aca="false">MAX(1,N(I274))*N(T274)</f>
        <v>0</v>
      </c>
      <c r="AG274" s="15" t="n">
        <f aca="false">AA274*N(AD274)</f>
        <v>0</v>
      </c>
      <c r="AH274" s="15" t="n">
        <f aca="false">AA274*N(AE274)</f>
        <v>0</v>
      </c>
      <c r="AI274" s="15" t="n">
        <f aca="false">AA274*N(AF274)</f>
        <v>0</v>
      </c>
      <c r="AJ274" s="15" t="n">
        <f aca="false">AA274*N(R274)</f>
        <v>0</v>
      </c>
      <c r="AK274" s="15" t="n">
        <f aca="false">AB274*N(AD274)</f>
        <v>0</v>
      </c>
      <c r="AL274" s="15" t="n">
        <f aca="false">AB274*N(AE274)</f>
        <v>0</v>
      </c>
      <c r="AM274" s="15" t="n">
        <f aca="false">AB274*N(AF274)</f>
        <v>0</v>
      </c>
      <c r="AN274" s="15" t="n">
        <f aca="false">AB274*N(R274)</f>
        <v>0</v>
      </c>
      <c r="AO274" s="21" t="str">
        <f aca="false">IF(F274&lt;&gt;"Y","n/a",IF(AND(N274&lt;&gt;"",OR(Q274&lt;&gt;"",G274="Other / bench",G274="None"),U274&lt;&gt;""),"OK","Missing"))</f>
        <v>n/a</v>
      </c>
    </row>
    <row r="275" customFormat="false" ht="15" hidden="false" customHeight="false" outlineLevel="0" collapsed="false">
      <c r="A275" s="10" t="s">
        <v>366</v>
      </c>
      <c r="B275" s="10" t="s">
        <v>659</v>
      </c>
      <c r="C275" s="10" t="s">
        <v>720</v>
      </c>
      <c r="D275" s="10" t="s">
        <v>669</v>
      </c>
      <c r="E275" s="21" t="str">
        <f aca="false">IF(A275="","",A275&amp;"|"&amp;D275)</f>
        <v>F45|Other tests (non-HPLC: physical, LOD/KF, disintegration, pH, micro...)</v>
      </c>
      <c r="F275" s="16" t="s">
        <v>662</v>
      </c>
      <c r="G275" s="16" t="s">
        <v>670</v>
      </c>
      <c r="H275" s="16" t="s">
        <v>663</v>
      </c>
      <c r="I275" s="16" t="n">
        <v>1</v>
      </c>
      <c r="J275" s="16"/>
      <c r="K275" s="14"/>
      <c r="L275" s="14"/>
      <c r="M275" s="14"/>
      <c r="N275" s="14"/>
      <c r="O275" s="14"/>
      <c r="P275" s="18" t="n">
        <f aca="false">IF(N275="",0,IF(OR(M275="",O275=""),N275,(M275+4*N275+O275)/6))</f>
        <v>0</v>
      </c>
      <c r="Q275" s="14"/>
      <c r="R275" s="14"/>
      <c r="S275" s="14"/>
      <c r="T275" s="14"/>
      <c r="U275" s="16"/>
      <c r="V275" s="13"/>
      <c r="W275" s="16" t="s">
        <v>662</v>
      </c>
      <c r="X275" s="16"/>
      <c r="Y275" s="16"/>
      <c r="Z275" s="16"/>
      <c r="AA275" s="22" t="n">
        <f aca="false">IF(F275&lt;&gt;"Y",0,((SUMIF(Products!$E$5:$E$300,A275,Products!$F$5:$F$300)+SUMIF(RM_Lots!$A$5:$A$400,A275,RM_Lots!$D$5:$D$400))+IF(W275="Y",SUMIF(Products!$E$5:$E$300,A275,Products!$G$5:$G$300),0))*(1+N(V275)))</f>
        <v>0</v>
      </c>
      <c r="AB275" s="22" t="n">
        <f aca="false">IF(F275&lt;&gt;"Y",0,((SUMIF(Products!$E$5:$E$300,A275,Products!$K$5:$K$300)+SUMIF(RM_Lots!$A$5:$A$400,A275,RM_Lots!$F$5:$F$400))+IF(W275="Y",SUMIF(Products!$E$5:$E$300,A275,Products!$L$5:$L$300),0))*(1+N(V275)))</f>
        <v>0</v>
      </c>
      <c r="AC275" s="17" t="n">
        <f aca="false">IF(J275="",1,MAX(1,COUNTIFS($J$5:$J$863,J275,$F$5:$F$863,"Y")))</f>
        <v>1</v>
      </c>
      <c r="AD275" s="18" t="n">
        <f aca="false">(MAX(1,N(I275))*(P275+N(S275))+MAX(1,N(I275))*N(K275)/(MAX(1,N(U275))*AC275))*Settings!$B$9</f>
        <v>0</v>
      </c>
      <c r="AE275" s="18" t="n">
        <f aca="false">(MAX(1,N(I275))*N(Q275)+MAX(1,N(I275))*N(L275)/(MAX(1,N(U275))*AC275))*Settings!$B$8</f>
        <v>0</v>
      </c>
      <c r="AF275" s="18" t="n">
        <f aca="false">MAX(1,N(I275))*N(T275)</f>
        <v>0</v>
      </c>
      <c r="AG275" s="15" t="n">
        <f aca="false">AA275*N(AD275)</f>
        <v>0</v>
      </c>
      <c r="AH275" s="15" t="n">
        <f aca="false">AA275*N(AE275)</f>
        <v>0</v>
      </c>
      <c r="AI275" s="15" t="n">
        <f aca="false">AA275*N(AF275)</f>
        <v>0</v>
      </c>
      <c r="AJ275" s="15" t="n">
        <f aca="false">AA275*N(R275)</f>
        <v>0</v>
      </c>
      <c r="AK275" s="15" t="n">
        <f aca="false">AB275*N(AD275)</f>
        <v>0</v>
      </c>
      <c r="AL275" s="15" t="n">
        <f aca="false">AB275*N(AE275)</f>
        <v>0</v>
      </c>
      <c r="AM275" s="15" t="n">
        <f aca="false">AB275*N(AF275)</f>
        <v>0</v>
      </c>
      <c r="AN275" s="15" t="n">
        <f aca="false">AB275*N(R275)</f>
        <v>0</v>
      </c>
      <c r="AO275" s="21" t="str">
        <f aca="false">IF(F275&lt;&gt;"Y","n/a",IF(AND(N275&lt;&gt;"",OR(Q275&lt;&gt;"",G275="Other / bench",G275="None"),U275&lt;&gt;""),"OK","Missing"))</f>
        <v>Missing</v>
      </c>
    </row>
    <row r="276" customFormat="false" ht="15" hidden="false" customHeight="false" outlineLevel="0" collapsed="false">
      <c r="A276" s="10" t="s">
        <v>369</v>
      </c>
      <c r="B276" s="10" t="s">
        <v>659</v>
      </c>
      <c r="C276" s="10" t="s">
        <v>721</v>
      </c>
      <c r="D276" s="10" t="s">
        <v>661</v>
      </c>
      <c r="E276" s="21" t="str">
        <f aca="false">IF(A276="","",A276&amp;"|"&amp;D276)</f>
        <v>F46|Assay</v>
      </c>
      <c r="F276" s="16" t="s">
        <v>662</v>
      </c>
      <c r="G276" s="16" t="s">
        <v>147</v>
      </c>
      <c r="H276" s="16" t="s">
        <v>663</v>
      </c>
      <c r="I276" s="16" t="n">
        <v>1</v>
      </c>
      <c r="J276" s="16"/>
      <c r="K276" s="14"/>
      <c r="L276" s="14"/>
      <c r="M276" s="14"/>
      <c r="N276" s="14"/>
      <c r="O276" s="14"/>
      <c r="P276" s="18" t="n">
        <f aca="false">IF(N276="",0,IF(OR(M276="",O276=""),N276,(M276+4*N276+O276)/6))</f>
        <v>0</v>
      </c>
      <c r="Q276" s="14"/>
      <c r="R276" s="14"/>
      <c r="S276" s="14"/>
      <c r="T276" s="14"/>
      <c r="U276" s="16"/>
      <c r="V276" s="13"/>
      <c r="W276" s="16" t="s">
        <v>662</v>
      </c>
      <c r="X276" s="16"/>
      <c r="Y276" s="16"/>
      <c r="Z276" s="16"/>
      <c r="AA276" s="22" t="n">
        <f aca="false">IF(F276&lt;&gt;"Y",0,((SUMIF(Products!$E$5:$E$300,A276,Products!$F$5:$F$300)+SUMIF(RM_Lots!$A$5:$A$400,A276,RM_Lots!$D$5:$D$400))+IF(W276="Y",SUMIF(Products!$E$5:$E$300,A276,Products!$G$5:$G$300),0))*(1+N(V276)))</f>
        <v>0</v>
      </c>
      <c r="AB276" s="22" t="n">
        <f aca="false">IF(F276&lt;&gt;"Y",0,((SUMIF(Products!$E$5:$E$300,A276,Products!$K$5:$K$300)+SUMIF(RM_Lots!$A$5:$A$400,A276,RM_Lots!$F$5:$F$400))+IF(W276="Y",SUMIF(Products!$E$5:$E$300,A276,Products!$L$5:$L$300),0))*(1+N(V276)))</f>
        <v>0</v>
      </c>
      <c r="AC276" s="17" t="n">
        <f aca="false">IF(J276="",1,MAX(1,COUNTIFS($J$5:$J$863,J276,$F$5:$F$863,"Y")))</f>
        <v>1</v>
      </c>
      <c r="AD276" s="18" t="n">
        <f aca="false">(MAX(1,N(I276))*(P276+N(S276))+MAX(1,N(I276))*N(K276)/(MAX(1,N(U276))*AC276))*Settings!$B$9</f>
        <v>0</v>
      </c>
      <c r="AE276" s="18" t="n">
        <f aca="false">(MAX(1,N(I276))*N(Q276)+MAX(1,N(I276))*N(L276)/(MAX(1,N(U276))*AC276))*Settings!$B$8</f>
        <v>0</v>
      </c>
      <c r="AF276" s="18" t="n">
        <f aca="false">MAX(1,N(I276))*N(T276)</f>
        <v>0</v>
      </c>
      <c r="AG276" s="15" t="n">
        <f aca="false">AA276*N(AD276)</f>
        <v>0</v>
      </c>
      <c r="AH276" s="15" t="n">
        <f aca="false">AA276*N(AE276)</f>
        <v>0</v>
      </c>
      <c r="AI276" s="15" t="n">
        <f aca="false">AA276*N(AF276)</f>
        <v>0</v>
      </c>
      <c r="AJ276" s="15" t="n">
        <f aca="false">AA276*N(R276)</f>
        <v>0</v>
      </c>
      <c r="AK276" s="15" t="n">
        <f aca="false">AB276*N(AD276)</f>
        <v>0</v>
      </c>
      <c r="AL276" s="15" t="n">
        <f aca="false">AB276*N(AE276)</f>
        <v>0</v>
      </c>
      <c r="AM276" s="15" t="n">
        <f aca="false">AB276*N(AF276)</f>
        <v>0</v>
      </c>
      <c r="AN276" s="15" t="n">
        <f aca="false">AB276*N(R276)</f>
        <v>0</v>
      </c>
      <c r="AO276" s="21" t="str">
        <f aca="false">IF(F276&lt;&gt;"Y","n/a",IF(AND(N276&lt;&gt;"",OR(Q276&lt;&gt;"",G276="Other / bench",G276="None"),U276&lt;&gt;""),"OK","Missing"))</f>
        <v>Missing</v>
      </c>
    </row>
    <row r="277" customFormat="false" ht="15" hidden="false" customHeight="false" outlineLevel="0" collapsed="false">
      <c r="A277" s="10" t="s">
        <v>369</v>
      </c>
      <c r="B277" s="10" t="s">
        <v>659</v>
      </c>
      <c r="C277" s="10" t="s">
        <v>721</v>
      </c>
      <c r="D277" s="10" t="s">
        <v>664</v>
      </c>
      <c r="E277" s="21" t="str">
        <f aca="false">IF(A277="","",A277&amp;"|"&amp;D277)</f>
        <v>F46|Related substances / impurities</v>
      </c>
      <c r="F277" s="16" t="s">
        <v>662</v>
      </c>
      <c r="G277" s="16" t="s">
        <v>147</v>
      </c>
      <c r="H277" s="16" t="s">
        <v>663</v>
      </c>
      <c r="I277" s="16" t="n">
        <v>1</v>
      </c>
      <c r="J277" s="16"/>
      <c r="K277" s="14"/>
      <c r="L277" s="14"/>
      <c r="M277" s="14"/>
      <c r="N277" s="14"/>
      <c r="O277" s="14"/>
      <c r="P277" s="18" t="n">
        <f aca="false">IF(N277="",0,IF(OR(M277="",O277=""),N277,(M277+4*N277+O277)/6))</f>
        <v>0</v>
      </c>
      <c r="Q277" s="14"/>
      <c r="R277" s="14"/>
      <c r="S277" s="14"/>
      <c r="T277" s="14"/>
      <c r="U277" s="16"/>
      <c r="V277" s="13"/>
      <c r="W277" s="16" t="s">
        <v>662</v>
      </c>
      <c r="X277" s="16"/>
      <c r="Y277" s="16"/>
      <c r="Z277" s="16"/>
      <c r="AA277" s="22" t="n">
        <f aca="false">IF(F277&lt;&gt;"Y",0,((SUMIF(Products!$E$5:$E$300,A277,Products!$F$5:$F$300)+SUMIF(RM_Lots!$A$5:$A$400,A277,RM_Lots!$D$5:$D$400))+IF(W277="Y",SUMIF(Products!$E$5:$E$300,A277,Products!$G$5:$G$300),0))*(1+N(V277)))</f>
        <v>0</v>
      </c>
      <c r="AB277" s="22" t="n">
        <f aca="false">IF(F277&lt;&gt;"Y",0,((SUMIF(Products!$E$5:$E$300,A277,Products!$K$5:$K$300)+SUMIF(RM_Lots!$A$5:$A$400,A277,RM_Lots!$F$5:$F$400))+IF(W277="Y",SUMIF(Products!$E$5:$E$300,A277,Products!$L$5:$L$300),0))*(1+N(V277)))</f>
        <v>0</v>
      </c>
      <c r="AC277" s="17" t="n">
        <f aca="false">IF(J277="",1,MAX(1,COUNTIFS($J$5:$J$863,J277,$F$5:$F$863,"Y")))</f>
        <v>1</v>
      </c>
      <c r="AD277" s="18" t="n">
        <f aca="false">(MAX(1,N(I277))*(P277+N(S277))+MAX(1,N(I277))*N(K277)/(MAX(1,N(U277))*AC277))*Settings!$B$9</f>
        <v>0</v>
      </c>
      <c r="AE277" s="18" t="n">
        <f aca="false">(MAX(1,N(I277))*N(Q277)+MAX(1,N(I277))*N(L277)/(MAX(1,N(U277))*AC277))*Settings!$B$8</f>
        <v>0</v>
      </c>
      <c r="AF277" s="18" t="n">
        <f aca="false">MAX(1,N(I277))*N(T277)</f>
        <v>0</v>
      </c>
      <c r="AG277" s="15" t="n">
        <f aca="false">AA277*N(AD277)</f>
        <v>0</v>
      </c>
      <c r="AH277" s="15" t="n">
        <f aca="false">AA277*N(AE277)</f>
        <v>0</v>
      </c>
      <c r="AI277" s="15" t="n">
        <f aca="false">AA277*N(AF277)</f>
        <v>0</v>
      </c>
      <c r="AJ277" s="15" t="n">
        <f aca="false">AA277*N(R277)</f>
        <v>0</v>
      </c>
      <c r="AK277" s="15" t="n">
        <f aca="false">AB277*N(AD277)</f>
        <v>0</v>
      </c>
      <c r="AL277" s="15" t="n">
        <f aca="false">AB277*N(AE277)</f>
        <v>0</v>
      </c>
      <c r="AM277" s="15" t="n">
        <f aca="false">AB277*N(AF277)</f>
        <v>0</v>
      </c>
      <c r="AN277" s="15" t="n">
        <f aca="false">AB277*N(R277)</f>
        <v>0</v>
      </c>
      <c r="AO277" s="21" t="str">
        <f aca="false">IF(F277&lt;&gt;"Y","n/a",IF(AND(N277&lt;&gt;"",OR(Q277&lt;&gt;"",G277="Other / bench",G277="None"),U277&lt;&gt;""),"OK","Missing"))</f>
        <v>Missing</v>
      </c>
    </row>
    <row r="278" customFormat="false" ht="15" hidden="false" customHeight="false" outlineLevel="0" collapsed="false">
      <c r="A278" s="10" t="s">
        <v>369</v>
      </c>
      <c r="B278" s="10" t="s">
        <v>659</v>
      </c>
      <c r="C278" s="10" t="s">
        <v>721</v>
      </c>
      <c r="D278" s="10" t="s">
        <v>665</v>
      </c>
      <c r="E278" s="21" t="str">
        <f aca="false">IF(A278="","",A278&amp;"|"&amp;D278)</f>
        <v>F46|Dissolution</v>
      </c>
      <c r="F278" s="16" t="s">
        <v>662</v>
      </c>
      <c r="G278" s="16" t="s">
        <v>147</v>
      </c>
      <c r="H278" s="16" t="s">
        <v>663</v>
      </c>
      <c r="I278" s="16" t="n">
        <v>1</v>
      </c>
      <c r="J278" s="16"/>
      <c r="K278" s="14"/>
      <c r="L278" s="14"/>
      <c r="M278" s="14"/>
      <c r="N278" s="14"/>
      <c r="O278" s="14"/>
      <c r="P278" s="18" t="n">
        <f aca="false">IF(N278="",0,IF(OR(M278="",O278=""),N278,(M278+4*N278+O278)/6))</f>
        <v>0</v>
      </c>
      <c r="Q278" s="14"/>
      <c r="R278" s="14"/>
      <c r="S278" s="14"/>
      <c r="T278" s="14"/>
      <c r="U278" s="16"/>
      <c r="V278" s="13"/>
      <c r="W278" s="16" t="s">
        <v>662</v>
      </c>
      <c r="X278" s="16"/>
      <c r="Y278" s="16"/>
      <c r="Z278" s="16"/>
      <c r="AA278" s="22" t="n">
        <f aca="false">IF(F278&lt;&gt;"Y",0,((SUMIF(Products!$E$5:$E$300,A278,Products!$F$5:$F$300)+SUMIF(RM_Lots!$A$5:$A$400,A278,RM_Lots!$D$5:$D$400))+IF(W278="Y",SUMIF(Products!$E$5:$E$300,A278,Products!$G$5:$G$300),0))*(1+N(V278)))</f>
        <v>0</v>
      </c>
      <c r="AB278" s="22" t="n">
        <f aca="false">IF(F278&lt;&gt;"Y",0,((SUMIF(Products!$E$5:$E$300,A278,Products!$K$5:$K$300)+SUMIF(RM_Lots!$A$5:$A$400,A278,RM_Lots!$F$5:$F$400))+IF(W278="Y",SUMIF(Products!$E$5:$E$300,A278,Products!$L$5:$L$300),0))*(1+N(V278)))</f>
        <v>0</v>
      </c>
      <c r="AC278" s="17" t="n">
        <f aca="false">IF(J278="",1,MAX(1,COUNTIFS($J$5:$J$863,J278,$F$5:$F$863,"Y")))</f>
        <v>1</v>
      </c>
      <c r="AD278" s="18" t="n">
        <f aca="false">(MAX(1,N(I278))*(P278+N(S278))+MAX(1,N(I278))*N(K278)/(MAX(1,N(U278))*AC278))*Settings!$B$9</f>
        <v>0</v>
      </c>
      <c r="AE278" s="18" t="n">
        <f aca="false">(MAX(1,N(I278))*N(Q278)+MAX(1,N(I278))*N(L278)/(MAX(1,N(U278))*AC278))*Settings!$B$8</f>
        <v>0</v>
      </c>
      <c r="AF278" s="18" t="n">
        <f aca="false">MAX(1,N(I278))*N(T278)</f>
        <v>0</v>
      </c>
      <c r="AG278" s="15" t="n">
        <f aca="false">AA278*N(AD278)</f>
        <v>0</v>
      </c>
      <c r="AH278" s="15" t="n">
        <f aca="false">AA278*N(AE278)</f>
        <v>0</v>
      </c>
      <c r="AI278" s="15" t="n">
        <f aca="false">AA278*N(AF278)</f>
        <v>0</v>
      </c>
      <c r="AJ278" s="15" t="n">
        <f aca="false">AA278*N(R278)</f>
        <v>0</v>
      </c>
      <c r="AK278" s="15" t="n">
        <f aca="false">AB278*N(AD278)</f>
        <v>0</v>
      </c>
      <c r="AL278" s="15" t="n">
        <f aca="false">AB278*N(AE278)</f>
        <v>0</v>
      </c>
      <c r="AM278" s="15" t="n">
        <f aca="false">AB278*N(AF278)</f>
        <v>0</v>
      </c>
      <c r="AN278" s="15" t="n">
        <f aca="false">AB278*N(R278)</f>
        <v>0</v>
      </c>
      <c r="AO278" s="21" t="str">
        <f aca="false">IF(F278&lt;&gt;"Y","n/a",IF(AND(N278&lt;&gt;"",OR(Q278&lt;&gt;"",G278="Other / bench",G278="None"),U278&lt;&gt;""),"OK","Missing"))</f>
        <v>Missing</v>
      </c>
    </row>
    <row r="279" customFormat="false" ht="15" hidden="false" customHeight="false" outlineLevel="0" collapsed="false">
      <c r="A279" s="10" t="s">
        <v>369</v>
      </c>
      <c r="B279" s="10" t="s">
        <v>659</v>
      </c>
      <c r="C279" s="10" t="s">
        <v>721</v>
      </c>
      <c r="D279" s="10" t="s">
        <v>666</v>
      </c>
      <c r="E279" s="21" t="str">
        <f aca="false">IF(A279="","",A279&amp;"|"&amp;D279)</f>
        <v>F46|Content uniformity</v>
      </c>
      <c r="F279" s="16" t="s">
        <v>662</v>
      </c>
      <c r="G279" s="16" t="s">
        <v>147</v>
      </c>
      <c r="H279" s="16" t="s">
        <v>663</v>
      </c>
      <c r="I279" s="16" t="n">
        <v>1</v>
      </c>
      <c r="J279" s="16"/>
      <c r="K279" s="14"/>
      <c r="L279" s="14"/>
      <c r="M279" s="14"/>
      <c r="N279" s="14"/>
      <c r="O279" s="14"/>
      <c r="P279" s="18" t="n">
        <f aca="false">IF(N279="",0,IF(OR(M279="",O279=""),N279,(M279+4*N279+O279)/6))</f>
        <v>0</v>
      </c>
      <c r="Q279" s="14"/>
      <c r="R279" s="14"/>
      <c r="S279" s="14"/>
      <c r="T279" s="14"/>
      <c r="U279" s="16"/>
      <c r="V279" s="13"/>
      <c r="W279" s="16" t="s">
        <v>667</v>
      </c>
      <c r="X279" s="16"/>
      <c r="Y279" s="16"/>
      <c r="Z279" s="16"/>
      <c r="AA279" s="22" t="n">
        <f aca="false">IF(F279&lt;&gt;"Y",0,((SUMIF(Products!$E$5:$E$300,A279,Products!$F$5:$F$300)+SUMIF(RM_Lots!$A$5:$A$400,A279,RM_Lots!$D$5:$D$400))+IF(W279="Y",SUMIF(Products!$E$5:$E$300,A279,Products!$G$5:$G$300),0))*(1+N(V279)))</f>
        <v>0</v>
      </c>
      <c r="AB279" s="22" t="n">
        <f aca="false">IF(F279&lt;&gt;"Y",0,((SUMIF(Products!$E$5:$E$300,A279,Products!$K$5:$K$300)+SUMIF(RM_Lots!$A$5:$A$400,A279,RM_Lots!$F$5:$F$400))+IF(W279="Y",SUMIF(Products!$E$5:$E$300,A279,Products!$L$5:$L$300),0))*(1+N(V279)))</f>
        <v>0</v>
      </c>
      <c r="AC279" s="17" t="n">
        <f aca="false">IF(J279="",1,MAX(1,COUNTIFS($J$5:$J$863,J279,$F$5:$F$863,"Y")))</f>
        <v>1</v>
      </c>
      <c r="AD279" s="18" t="n">
        <f aca="false">(MAX(1,N(I279))*(P279+N(S279))+MAX(1,N(I279))*N(K279)/(MAX(1,N(U279))*AC279))*Settings!$B$9</f>
        <v>0</v>
      </c>
      <c r="AE279" s="18" t="n">
        <f aca="false">(MAX(1,N(I279))*N(Q279)+MAX(1,N(I279))*N(L279)/(MAX(1,N(U279))*AC279))*Settings!$B$8</f>
        <v>0</v>
      </c>
      <c r="AF279" s="18" t="n">
        <f aca="false">MAX(1,N(I279))*N(T279)</f>
        <v>0</v>
      </c>
      <c r="AG279" s="15" t="n">
        <f aca="false">AA279*N(AD279)</f>
        <v>0</v>
      </c>
      <c r="AH279" s="15" t="n">
        <f aca="false">AA279*N(AE279)</f>
        <v>0</v>
      </c>
      <c r="AI279" s="15" t="n">
        <f aca="false">AA279*N(AF279)</f>
        <v>0</v>
      </c>
      <c r="AJ279" s="15" t="n">
        <f aca="false">AA279*N(R279)</f>
        <v>0</v>
      </c>
      <c r="AK279" s="15" t="n">
        <f aca="false">AB279*N(AD279)</f>
        <v>0</v>
      </c>
      <c r="AL279" s="15" t="n">
        <f aca="false">AB279*N(AE279)</f>
        <v>0</v>
      </c>
      <c r="AM279" s="15" t="n">
        <f aca="false">AB279*N(AF279)</f>
        <v>0</v>
      </c>
      <c r="AN279" s="15" t="n">
        <f aca="false">AB279*N(R279)</f>
        <v>0</v>
      </c>
      <c r="AO279" s="21" t="str">
        <f aca="false">IF(F279&lt;&gt;"Y","n/a",IF(AND(N279&lt;&gt;"",OR(Q279&lt;&gt;"",G279="Other / bench",G279="None"),U279&lt;&gt;""),"OK","Missing"))</f>
        <v>Missing</v>
      </c>
    </row>
    <row r="280" customFormat="false" ht="15" hidden="false" customHeight="false" outlineLevel="0" collapsed="false">
      <c r="A280" s="10" t="s">
        <v>369</v>
      </c>
      <c r="B280" s="10" t="s">
        <v>659</v>
      </c>
      <c r="C280" s="10" t="s">
        <v>721</v>
      </c>
      <c r="D280" s="10" t="s">
        <v>668</v>
      </c>
      <c r="E280" s="21" t="str">
        <f aca="false">IF(A280="","",A280&amp;"|"&amp;D280)</f>
        <v>F46|Identification (if separate from assay)</v>
      </c>
      <c r="F280" s="16" t="s">
        <v>667</v>
      </c>
      <c r="G280" s="16" t="s">
        <v>147</v>
      </c>
      <c r="H280" s="16" t="s">
        <v>663</v>
      </c>
      <c r="I280" s="16" t="n">
        <v>1</v>
      </c>
      <c r="J280" s="16"/>
      <c r="K280" s="14"/>
      <c r="L280" s="14"/>
      <c r="M280" s="14"/>
      <c r="N280" s="14"/>
      <c r="O280" s="14"/>
      <c r="P280" s="18" t="n">
        <f aca="false">IF(N280="",0,IF(OR(M280="",O280=""),N280,(M280+4*N280+O280)/6))</f>
        <v>0</v>
      </c>
      <c r="Q280" s="14"/>
      <c r="R280" s="14"/>
      <c r="S280" s="14"/>
      <c r="T280" s="14"/>
      <c r="U280" s="16"/>
      <c r="V280" s="13"/>
      <c r="W280" s="16" t="s">
        <v>667</v>
      </c>
      <c r="X280" s="16"/>
      <c r="Y280" s="16"/>
      <c r="Z280" s="16"/>
      <c r="AA280" s="22" t="n">
        <f aca="false">IF(F280&lt;&gt;"Y",0,((SUMIF(Products!$E$5:$E$300,A280,Products!$F$5:$F$300)+SUMIF(RM_Lots!$A$5:$A$400,A280,RM_Lots!$D$5:$D$400))+IF(W280="Y",SUMIF(Products!$E$5:$E$300,A280,Products!$G$5:$G$300),0))*(1+N(V280)))</f>
        <v>0</v>
      </c>
      <c r="AB280" s="22" t="n">
        <f aca="false">IF(F280&lt;&gt;"Y",0,((SUMIF(Products!$E$5:$E$300,A280,Products!$K$5:$K$300)+SUMIF(RM_Lots!$A$5:$A$400,A280,RM_Lots!$F$5:$F$400))+IF(W280="Y",SUMIF(Products!$E$5:$E$300,A280,Products!$L$5:$L$300),0))*(1+N(V280)))</f>
        <v>0</v>
      </c>
      <c r="AC280" s="17" t="n">
        <f aca="false">IF(J280="",1,MAX(1,COUNTIFS($J$5:$J$863,J280,$F$5:$F$863,"Y")))</f>
        <v>1</v>
      </c>
      <c r="AD280" s="18" t="n">
        <f aca="false">(MAX(1,N(I280))*(P280+N(S280))+MAX(1,N(I280))*N(K280)/(MAX(1,N(U280))*AC280))*Settings!$B$9</f>
        <v>0</v>
      </c>
      <c r="AE280" s="18" t="n">
        <f aca="false">(MAX(1,N(I280))*N(Q280)+MAX(1,N(I280))*N(L280)/(MAX(1,N(U280))*AC280))*Settings!$B$8</f>
        <v>0</v>
      </c>
      <c r="AF280" s="18" t="n">
        <f aca="false">MAX(1,N(I280))*N(T280)</f>
        <v>0</v>
      </c>
      <c r="AG280" s="15" t="n">
        <f aca="false">AA280*N(AD280)</f>
        <v>0</v>
      </c>
      <c r="AH280" s="15" t="n">
        <f aca="false">AA280*N(AE280)</f>
        <v>0</v>
      </c>
      <c r="AI280" s="15" t="n">
        <f aca="false">AA280*N(AF280)</f>
        <v>0</v>
      </c>
      <c r="AJ280" s="15" t="n">
        <f aca="false">AA280*N(R280)</f>
        <v>0</v>
      </c>
      <c r="AK280" s="15" t="n">
        <f aca="false">AB280*N(AD280)</f>
        <v>0</v>
      </c>
      <c r="AL280" s="15" t="n">
        <f aca="false">AB280*N(AE280)</f>
        <v>0</v>
      </c>
      <c r="AM280" s="15" t="n">
        <f aca="false">AB280*N(AF280)</f>
        <v>0</v>
      </c>
      <c r="AN280" s="15" t="n">
        <f aca="false">AB280*N(R280)</f>
        <v>0</v>
      </c>
      <c r="AO280" s="21" t="str">
        <f aca="false">IF(F280&lt;&gt;"Y","n/a",IF(AND(N280&lt;&gt;"",OR(Q280&lt;&gt;"",G280="Other / bench",G280="None"),U280&lt;&gt;""),"OK","Missing"))</f>
        <v>n/a</v>
      </c>
    </row>
    <row r="281" customFormat="false" ht="15" hidden="false" customHeight="false" outlineLevel="0" collapsed="false">
      <c r="A281" s="10" t="s">
        <v>369</v>
      </c>
      <c r="B281" s="10" t="s">
        <v>659</v>
      </c>
      <c r="C281" s="10" t="s">
        <v>721</v>
      </c>
      <c r="D281" s="10" t="s">
        <v>669</v>
      </c>
      <c r="E281" s="21" t="str">
        <f aca="false">IF(A281="","",A281&amp;"|"&amp;D281)</f>
        <v>F46|Other tests (non-HPLC: physical, LOD/KF, disintegration, pH, micro...)</v>
      </c>
      <c r="F281" s="16" t="s">
        <v>662</v>
      </c>
      <c r="G281" s="16" t="s">
        <v>670</v>
      </c>
      <c r="H281" s="16" t="s">
        <v>663</v>
      </c>
      <c r="I281" s="16" t="n">
        <v>1</v>
      </c>
      <c r="J281" s="16"/>
      <c r="K281" s="14"/>
      <c r="L281" s="14"/>
      <c r="M281" s="14"/>
      <c r="N281" s="14"/>
      <c r="O281" s="14"/>
      <c r="P281" s="18" t="n">
        <f aca="false">IF(N281="",0,IF(OR(M281="",O281=""),N281,(M281+4*N281+O281)/6))</f>
        <v>0</v>
      </c>
      <c r="Q281" s="14"/>
      <c r="R281" s="14"/>
      <c r="S281" s="14"/>
      <c r="T281" s="14"/>
      <c r="U281" s="16"/>
      <c r="V281" s="13"/>
      <c r="W281" s="16" t="s">
        <v>662</v>
      </c>
      <c r="X281" s="16"/>
      <c r="Y281" s="16"/>
      <c r="Z281" s="16"/>
      <c r="AA281" s="22" t="n">
        <f aca="false">IF(F281&lt;&gt;"Y",0,((SUMIF(Products!$E$5:$E$300,A281,Products!$F$5:$F$300)+SUMIF(RM_Lots!$A$5:$A$400,A281,RM_Lots!$D$5:$D$400))+IF(W281="Y",SUMIF(Products!$E$5:$E$300,A281,Products!$G$5:$G$300),0))*(1+N(V281)))</f>
        <v>0</v>
      </c>
      <c r="AB281" s="22" t="n">
        <f aca="false">IF(F281&lt;&gt;"Y",0,((SUMIF(Products!$E$5:$E$300,A281,Products!$K$5:$K$300)+SUMIF(RM_Lots!$A$5:$A$400,A281,RM_Lots!$F$5:$F$400))+IF(W281="Y",SUMIF(Products!$E$5:$E$300,A281,Products!$L$5:$L$300),0))*(1+N(V281)))</f>
        <v>0</v>
      </c>
      <c r="AC281" s="17" t="n">
        <f aca="false">IF(J281="",1,MAX(1,COUNTIFS($J$5:$J$863,J281,$F$5:$F$863,"Y")))</f>
        <v>1</v>
      </c>
      <c r="AD281" s="18" t="n">
        <f aca="false">(MAX(1,N(I281))*(P281+N(S281))+MAX(1,N(I281))*N(K281)/(MAX(1,N(U281))*AC281))*Settings!$B$9</f>
        <v>0</v>
      </c>
      <c r="AE281" s="18" t="n">
        <f aca="false">(MAX(1,N(I281))*N(Q281)+MAX(1,N(I281))*N(L281)/(MAX(1,N(U281))*AC281))*Settings!$B$8</f>
        <v>0</v>
      </c>
      <c r="AF281" s="18" t="n">
        <f aca="false">MAX(1,N(I281))*N(T281)</f>
        <v>0</v>
      </c>
      <c r="AG281" s="15" t="n">
        <f aca="false">AA281*N(AD281)</f>
        <v>0</v>
      </c>
      <c r="AH281" s="15" t="n">
        <f aca="false">AA281*N(AE281)</f>
        <v>0</v>
      </c>
      <c r="AI281" s="15" t="n">
        <f aca="false">AA281*N(AF281)</f>
        <v>0</v>
      </c>
      <c r="AJ281" s="15" t="n">
        <f aca="false">AA281*N(R281)</f>
        <v>0</v>
      </c>
      <c r="AK281" s="15" t="n">
        <f aca="false">AB281*N(AD281)</f>
        <v>0</v>
      </c>
      <c r="AL281" s="15" t="n">
        <f aca="false">AB281*N(AE281)</f>
        <v>0</v>
      </c>
      <c r="AM281" s="15" t="n">
        <f aca="false">AB281*N(AF281)</f>
        <v>0</v>
      </c>
      <c r="AN281" s="15" t="n">
        <f aca="false">AB281*N(R281)</f>
        <v>0</v>
      </c>
      <c r="AO281" s="21" t="str">
        <f aca="false">IF(F281&lt;&gt;"Y","n/a",IF(AND(N281&lt;&gt;"",OR(Q281&lt;&gt;"",G281="Other / bench",G281="None"),U281&lt;&gt;""),"OK","Missing"))</f>
        <v>Missing</v>
      </c>
    </row>
    <row r="282" customFormat="false" ht="15" hidden="false" customHeight="false" outlineLevel="0" collapsed="false">
      <c r="A282" s="10" t="s">
        <v>373</v>
      </c>
      <c r="B282" s="10" t="s">
        <v>659</v>
      </c>
      <c r="C282" s="10" t="s">
        <v>722</v>
      </c>
      <c r="D282" s="10" t="s">
        <v>661</v>
      </c>
      <c r="E282" s="21" t="str">
        <f aca="false">IF(A282="","",A282&amp;"|"&amp;D282)</f>
        <v>F47|Assay</v>
      </c>
      <c r="F282" s="16" t="s">
        <v>662</v>
      </c>
      <c r="G282" s="16" t="s">
        <v>147</v>
      </c>
      <c r="H282" s="16" t="s">
        <v>685</v>
      </c>
      <c r="I282" s="16" t="n">
        <v>1</v>
      </c>
      <c r="J282" s="16"/>
      <c r="K282" s="14"/>
      <c r="L282" s="14"/>
      <c r="M282" s="14"/>
      <c r="N282" s="14"/>
      <c r="O282" s="14"/>
      <c r="P282" s="18" t="n">
        <f aca="false">IF(N282="",0,IF(OR(M282="",O282=""),N282,(M282+4*N282+O282)/6))</f>
        <v>0</v>
      </c>
      <c r="Q282" s="14"/>
      <c r="R282" s="14"/>
      <c r="S282" s="14"/>
      <c r="T282" s="14"/>
      <c r="U282" s="16"/>
      <c r="V282" s="13"/>
      <c r="W282" s="16" t="s">
        <v>662</v>
      </c>
      <c r="X282" s="16"/>
      <c r="Y282" s="16"/>
      <c r="Z282" s="16" t="s">
        <v>693</v>
      </c>
      <c r="AA282" s="22" t="n">
        <f aca="false">IF(F282&lt;&gt;"Y",0,((SUMIF(Products!$E$5:$E$300,A282,Products!$F$5:$F$300)+SUMIF(RM_Lots!$A$5:$A$400,A282,RM_Lots!$D$5:$D$400))+IF(W282="Y",SUMIF(Products!$E$5:$E$300,A282,Products!$G$5:$G$300),0))*(1+N(V282)))</f>
        <v>0</v>
      </c>
      <c r="AB282" s="22" t="n">
        <f aca="false">IF(F282&lt;&gt;"Y",0,((SUMIF(Products!$E$5:$E$300,A282,Products!$K$5:$K$300)+SUMIF(RM_Lots!$A$5:$A$400,A282,RM_Lots!$F$5:$F$400))+IF(W282="Y",SUMIF(Products!$E$5:$E$300,A282,Products!$L$5:$L$300),0))*(1+N(V282)))</f>
        <v>0</v>
      </c>
      <c r="AC282" s="17" t="n">
        <f aca="false">IF(J282="",1,MAX(1,COUNTIFS($J$5:$J$863,J282,$F$5:$F$863,"Y")))</f>
        <v>1</v>
      </c>
      <c r="AD282" s="18" t="n">
        <f aca="false">(MAX(1,N(I282))*(P282+N(S282))+MAX(1,N(I282))*N(K282)/(MAX(1,N(U282))*AC282))*Settings!$B$9</f>
        <v>0</v>
      </c>
      <c r="AE282" s="18" t="n">
        <f aca="false">(MAX(1,N(I282))*N(Q282)+MAX(1,N(I282))*N(L282)/(MAX(1,N(U282))*AC282))*Settings!$B$8</f>
        <v>0</v>
      </c>
      <c r="AF282" s="18" t="n">
        <f aca="false">MAX(1,N(I282))*N(T282)</f>
        <v>0</v>
      </c>
      <c r="AG282" s="15" t="n">
        <f aca="false">AA282*N(AD282)</f>
        <v>0</v>
      </c>
      <c r="AH282" s="15" t="n">
        <f aca="false">AA282*N(AE282)</f>
        <v>0</v>
      </c>
      <c r="AI282" s="15" t="n">
        <f aca="false">AA282*N(AF282)</f>
        <v>0</v>
      </c>
      <c r="AJ282" s="15" t="n">
        <f aca="false">AA282*N(R282)</f>
        <v>0</v>
      </c>
      <c r="AK282" s="15" t="n">
        <f aca="false">AB282*N(AD282)</f>
        <v>0</v>
      </c>
      <c r="AL282" s="15" t="n">
        <f aca="false">AB282*N(AE282)</f>
        <v>0</v>
      </c>
      <c r="AM282" s="15" t="n">
        <f aca="false">AB282*N(AF282)</f>
        <v>0</v>
      </c>
      <c r="AN282" s="15" t="n">
        <f aca="false">AB282*N(R282)</f>
        <v>0</v>
      </c>
      <c r="AO282" s="21" t="str">
        <f aca="false">IF(F282&lt;&gt;"Y","n/a",IF(AND(N282&lt;&gt;"",OR(Q282&lt;&gt;"",G282="Other / bench",G282="None"),U282&lt;&gt;""),"OK","Missing"))</f>
        <v>Missing</v>
      </c>
    </row>
    <row r="283" customFormat="false" ht="15" hidden="false" customHeight="false" outlineLevel="0" collapsed="false">
      <c r="A283" s="10" t="s">
        <v>373</v>
      </c>
      <c r="B283" s="10" t="s">
        <v>659</v>
      </c>
      <c r="C283" s="10" t="s">
        <v>722</v>
      </c>
      <c r="D283" s="10" t="s">
        <v>664</v>
      </c>
      <c r="E283" s="21" t="str">
        <f aca="false">IF(A283="","",A283&amp;"|"&amp;D283)</f>
        <v>F47|Related substances / impurities</v>
      </c>
      <c r="F283" s="16" t="s">
        <v>667</v>
      </c>
      <c r="G283" s="16" t="s">
        <v>147</v>
      </c>
      <c r="H283" s="16" t="s">
        <v>685</v>
      </c>
      <c r="I283" s="16" t="n">
        <v>1</v>
      </c>
      <c r="J283" s="16"/>
      <c r="K283" s="14"/>
      <c r="L283" s="14"/>
      <c r="M283" s="14"/>
      <c r="N283" s="14"/>
      <c r="O283" s="14"/>
      <c r="P283" s="18" t="n">
        <f aca="false">IF(N283="",0,IF(OR(M283="",O283=""),N283,(M283+4*N283+O283)/6))</f>
        <v>0</v>
      </c>
      <c r="Q283" s="14"/>
      <c r="R283" s="14"/>
      <c r="S283" s="14"/>
      <c r="T283" s="14"/>
      <c r="U283" s="16"/>
      <c r="V283" s="13"/>
      <c r="W283" s="16" t="s">
        <v>662</v>
      </c>
      <c r="X283" s="16"/>
      <c r="Y283" s="16"/>
      <c r="Z283" s="16"/>
      <c r="AA283" s="22" t="n">
        <f aca="false">IF(F283&lt;&gt;"Y",0,((SUMIF(Products!$E$5:$E$300,A283,Products!$F$5:$F$300)+SUMIF(RM_Lots!$A$5:$A$400,A283,RM_Lots!$D$5:$D$400))+IF(W283="Y",SUMIF(Products!$E$5:$E$300,A283,Products!$G$5:$G$300),0))*(1+N(V283)))</f>
        <v>0</v>
      </c>
      <c r="AB283" s="22" t="n">
        <f aca="false">IF(F283&lt;&gt;"Y",0,((SUMIF(Products!$E$5:$E$300,A283,Products!$K$5:$K$300)+SUMIF(RM_Lots!$A$5:$A$400,A283,RM_Lots!$F$5:$F$400))+IF(W283="Y",SUMIF(Products!$E$5:$E$300,A283,Products!$L$5:$L$300),0))*(1+N(V283)))</f>
        <v>0</v>
      </c>
      <c r="AC283" s="17" t="n">
        <f aca="false">IF(J283="",1,MAX(1,COUNTIFS($J$5:$J$863,J283,$F$5:$F$863,"Y")))</f>
        <v>1</v>
      </c>
      <c r="AD283" s="18" t="n">
        <f aca="false">(MAX(1,N(I283))*(P283+N(S283))+MAX(1,N(I283))*N(K283)/(MAX(1,N(U283))*AC283))*Settings!$B$9</f>
        <v>0</v>
      </c>
      <c r="AE283" s="18" t="n">
        <f aca="false">(MAX(1,N(I283))*N(Q283)+MAX(1,N(I283))*N(L283)/(MAX(1,N(U283))*AC283))*Settings!$B$8</f>
        <v>0</v>
      </c>
      <c r="AF283" s="18" t="n">
        <f aca="false">MAX(1,N(I283))*N(T283)</f>
        <v>0</v>
      </c>
      <c r="AG283" s="15" t="n">
        <f aca="false">AA283*N(AD283)</f>
        <v>0</v>
      </c>
      <c r="AH283" s="15" t="n">
        <f aca="false">AA283*N(AE283)</f>
        <v>0</v>
      </c>
      <c r="AI283" s="15" t="n">
        <f aca="false">AA283*N(AF283)</f>
        <v>0</v>
      </c>
      <c r="AJ283" s="15" t="n">
        <f aca="false">AA283*N(R283)</f>
        <v>0</v>
      </c>
      <c r="AK283" s="15" t="n">
        <f aca="false">AB283*N(AD283)</f>
        <v>0</v>
      </c>
      <c r="AL283" s="15" t="n">
        <f aca="false">AB283*N(AE283)</f>
        <v>0</v>
      </c>
      <c r="AM283" s="15" t="n">
        <f aca="false">AB283*N(AF283)</f>
        <v>0</v>
      </c>
      <c r="AN283" s="15" t="n">
        <f aca="false">AB283*N(R283)</f>
        <v>0</v>
      </c>
      <c r="AO283" s="21" t="str">
        <f aca="false">IF(F283&lt;&gt;"Y","n/a",IF(AND(N283&lt;&gt;"",OR(Q283&lt;&gt;"",G283="Other / bench",G283="None"),U283&lt;&gt;""),"OK","Missing"))</f>
        <v>n/a</v>
      </c>
    </row>
    <row r="284" customFormat="false" ht="15" hidden="false" customHeight="false" outlineLevel="0" collapsed="false">
      <c r="A284" s="10" t="s">
        <v>373</v>
      </c>
      <c r="B284" s="10" t="s">
        <v>659</v>
      </c>
      <c r="C284" s="10" t="s">
        <v>722</v>
      </c>
      <c r="D284" s="10" t="s">
        <v>665</v>
      </c>
      <c r="E284" s="21" t="str">
        <f aca="false">IF(A284="","",A284&amp;"|"&amp;D284)</f>
        <v>F47|Dissolution</v>
      </c>
      <c r="F284" s="16" t="s">
        <v>662</v>
      </c>
      <c r="G284" s="16" t="s">
        <v>147</v>
      </c>
      <c r="H284" s="16" t="s">
        <v>685</v>
      </c>
      <c r="I284" s="16" t="n">
        <v>1</v>
      </c>
      <c r="J284" s="16"/>
      <c r="K284" s="14"/>
      <c r="L284" s="14"/>
      <c r="M284" s="14"/>
      <c r="N284" s="14"/>
      <c r="O284" s="14"/>
      <c r="P284" s="18" t="n">
        <f aca="false">IF(N284="",0,IF(OR(M284="",O284=""),N284,(M284+4*N284+O284)/6))</f>
        <v>0</v>
      </c>
      <c r="Q284" s="14"/>
      <c r="R284" s="14"/>
      <c r="S284" s="14"/>
      <c r="T284" s="14"/>
      <c r="U284" s="16"/>
      <c r="V284" s="13"/>
      <c r="W284" s="16" t="s">
        <v>662</v>
      </c>
      <c r="X284" s="16"/>
      <c r="Y284" s="16"/>
      <c r="Z284" s="16"/>
      <c r="AA284" s="22" t="n">
        <f aca="false">IF(F284&lt;&gt;"Y",0,((SUMIF(Products!$E$5:$E$300,A284,Products!$F$5:$F$300)+SUMIF(RM_Lots!$A$5:$A$400,A284,RM_Lots!$D$5:$D$400))+IF(W284="Y",SUMIF(Products!$E$5:$E$300,A284,Products!$G$5:$G$300),0))*(1+N(V284)))</f>
        <v>0</v>
      </c>
      <c r="AB284" s="22" t="n">
        <f aca="false">IF(F284&lt;&gt;"Y",0,((SUMIF(Products!$E$5:$E$300,A284,Products!$K$5:$K$300)+SUMIF(RM_Lots!$A$5:$A$400,A284,RM_Lots!$F$5:$F$400))+IF(W284="Y",SUMIF(Products!$E$5:$E$300,A284,Products!$L$5:$L$300),0))*(1+N(V284)))</f>
        <v>0</v>
      </c>
      <c r="AC284" s="17" t="n">
        <f aca="false">IF(J284="",1,MAX(1,COUNTIFS($J$5:$J$863,J284,$F$5:$F$863,"Y")))</f>
        <v>1</v>
      </c>
      <c r="AD284" s="18" t="n">
        <f aca="false">(MAX(1,N(I284))*(P284+N(S284))+MAX(1,N(I284))*N(K284)/(MAX(1,N(U284))*AC284))*Settings!$B$9</f>
        <v>0</v>
      </c>
      <c r="AE284" s="18" t="n">
        <f aca="false">(MAX(1,N(I284))*N(Q284)+MAX(1,N(I284))*N(L284)/(MAX(1,N(U284))*AC284))*Settings!$B$8</f>
        <v>0</v>
      </c>
      <c r="AF284" s="18" t="n">
        <f aca="false">MAX(1,N(I284))*N(T284)</f>
        <v>0</v>
      </c>
      <c r="AG284" s="15" t="n">
        <f aca="false">AA284*N(AD284)</f>
        <v>0</v>
      </c>
      <c r="AH284" s="15" t="n">
        <f aca="false">AA284*N(AE284)</f>
        <v>0</v>
      </c>
      <c r="AI284" s="15" t="n">
        <f aca="false">AA284*N(AF284)</f>
        <v>0</v>
      </c>
      <c r="AJ284" s="15" t="n">
        <f aca="false">AA284*N(R284)</f>
        <v>0</v>
      </c>
      <c r="AK284" s="15" t="n">
        <f aca="false">AB284*N(AD284)</f>
        <v>0</v>
      </c>
      <c r="AL284" s="15" t="n">
        <f aca="false">AB284*N(AE284)</f>
        <v>0</v>
      </c>
      <c r="AM284" s="15" t="n">
        <f aca="false">AB284*N(AF284)</f>
        <v>0</v>
      </c>
      <c r="AN284" s="15" t="n">
        <f aca="false">AB284*N(R284)</f>
        <v>0</v>
      </c>
      <c r="AO284" s="21" t="str">
        <f aca="false">IF(F284&lt;&gt;"Y","n/a",IF(AND(N284&lt;&gt;"",OR(Q284&lt;&gt;"",G284="Other / bench",G284="None"),U284&lt;&gt;""),"OK","Missing"))</f>
        <v>Missing</v>
      </c>
    </row>
    <row r="285" customFormat="false" ht="15" hidden="false" customHeight="false" outlineLevel="0" collapsed="false">
      <c r="A285" s="10" t="s">
        <v>373</v>
      </c>
      <c r="B285" s="10" t="s">
        <v>659</v>
      </c>
      <c r="C285" s="10" t="s">
        <v>722</v>
      </c>
      <c r="D285" s="10" t="s">
        <v>666</v>
      </c>
      <c r="E285" s="21" t="str">
        <f aca="false">IF(A285="","",A285&amp;"|"&amp;D285)</f>
        <v>F47|Content uniformity</v>
      </c>
      <c r="F285" s="16" t="s">
        <v>667</v>
      </c>
      <c r="G285" s="16" t="s">
        <v>147</v>
      </c>
      <c r="H285" s="16" t="s">
        <v>685</v>
      </c>
      <c r="I285" s="16" t="n">
        <v>1</v>
      </c>
      <c r="J285" s="16"/>
      <c r="K285" s="14"/>
      <c r="L285" s="14"/>
      <c r="M285" s="14"/>
      <c r="N285" s="14"/>
      <c r="O285" s="14"/>
      <c r="P285" s="18" t="n">
        <f aca="false">IF(N285="",0,IF(OR(M285="",O285=""),N285,(M285+4*N285+O285)/6))</f>
        <v>0</v>
      </c>
      <c r="Q285" s="14"/>
      <c r="R285" s="14"/>
      <c r="S285" s="14"/>
      <c r="T285" s="14"/>
      <c r="U285" s="16"/>
      <c r="V285" s="13"/>
      <c r="W285" s="16" t="s">
        <v>667</v>
      </c>
      <c r="X285" s="16"/>
      <c r="Y285" s="16"/>
      <c r="Z285" s="16"/>
      <c r="AA285" s="22" t="n">
        <f aca="false">IF(F285&lt;&gt;"Y",0,((SUMIF(Products!$E$5:$E$300,A285,Products!$F$5:$F$300)+SUMIF(RM_Lots!$A$5:$A$400,A285,RM_Lots!$D$5:$D$400))+IF(W285="Y",SUMIF(Products!$E$5:$E$300,A285,Products!$G$5:$G$300),0))*(1+N(V285)))</f>
        <v>0</v>
      </c>
      <c r="AB285" s="22" t="n">
        <f aca="false">IF(F285&lt;&gt;"Y",0,((SUMIF(Products!$E$5:$E$300,A285,Products!$K$5:$K$300)+SUMIF(RM_Lots!$A$5:$A$400,A285,RM_Lots!$F$5:$F$400))+IF(W285="Y",SUMIF(Products!$E$5:$E$300,A285,Products!$L$5:$L$300),0))*(1+N(V285)))</f>
        <v>0</v>
      </c>
      <c r="AC285" s="17" t="n">
        <f aca="false">IF(J285="",1,MAX(1,COUNTIFS($J$5:$J$863,J285,$F$5:$F$863,"Y")))</f>
        <v>1</v>
      </c>
      <c r="AD285" s="18" t="n">
        <f aca="false">(MAX(1,N(I285))*(P285+N(S285))+MAX(1,N(I285))*N(K285)/(MAX(1,N(U285))*AC285))*Settings!$B$9</f>
        <v>0</v>
      </c>
      <c r="AE285" s="18" t="n">
        <f aca="false">(MAX(1,N(I285))*N(Q285)+MAX(1,N(I285))*N(L285)/(MAX(1,N(U285))*AC285))*Settings!$B$8</f>
        <v>0</v>
      </c>
      <c r="AF285" s="18" t="n">
        <f aca="false">MAX(1,N(I285))*N(T285)</f>
        <v>0</v>
      </c>
      <c r="AG285" s="15" t="n">
        <f aca="false">AA285*N(AD285)</f>
        <v>0</v>
      </c>
      <c r="AH285" s="15" t="n">
        <f aca="false">AA285*N(AE285)</f>
        <v>0</v>
      </c>
      <c r="AI285" s="15" t="n">
        <f aca="false">AA285*N(AF285)</f>
        <v>0</v>
      </c>
      <c r="AJ285" s="15" t="n">
        <f aca="false">AA285*N(R285)</f>
        <v>0</v>
      </c>
      <c r="AK285" s="15" t="n">
        <f aca="false">AB285*N(AD285)</f>
        <v>0</v>
      </c>
      <c r="AL285" s="15" t="n">
        <f aca="false">AB285*N(AE285)</f>
        <v>0</v>
      </c>
      <c r="AM285" s="15" t="n">
        <f aca="false">AB285*N(AF285)</f>
        <v>0</v>
      </c>
      <c r="AN285" s="15" t="n">
        <f aca="false">AB285*N(R285)</f>
        <v>0</v>
      </c>
      <c r="AO285" s="21" t="str">
        <f aca="false">IF(F285&lt;&gt;"Y","n/a",IF(AND(N285&lt;&gt;"",OR(Q285&lt;&gt;"",G285="Other / bench",G285="None"),U285&lt;&gt;""),"OK","Missing"))</f>
        <v>n/a</v>
      </c>
    </row>
    <row r="286" customFormat="false" ht="15" hidden="false" customHeight="false" outlineLevel="0" collapsed="false">
      <c r="A286" s="10" t="s">
        <v>373</v>
      </c>
      <c r="B286" s="10" t="s">
        <v>659</v>
      </c>
      <c r="C286" s="10" t="s">
        <v>722</v>
      </c>
      <c r="D286" s="10" t="s">
        <v>668</v>
      </c>
      <c r="E286" s="21" t="str">
        <f aca="false">IF(A286="","",A286&amp;"|"&amp;D286)</f>
        <v>F47|Identification (if separate from assay)</v>
      </c>
      <c r="F286" s="16" t="s">
        <v>667</v>
      </c>
      <c r="G286" s="16" t="s">
        <v>147</v>
      </c>
      <c r="H286" s="16" t="s">
        <v>685</v>
      </c>
      <c r="I286" s="16" t="n">
        <v>1</v>
      </c>
      <c r="J286" s="16"/>
      <c r="K286" s="14"/>
      <c r="L286" s="14"/>
      <c r="M286" s="14"/>
      <c r="N286" s="14"/>
      <c r="O286" s="14"/>
      <c r="P286" s="18" t="n">
        <f aca="false">IF(N286="",0,IF(OR(M286="",O286=""),N286,(M286+4*N286+O286)/6))</f>
        <v>0</v>
      </c>
      <c r="Q286" s="14"/>
      <c r="R286" s="14"/>
      <c r="S286" s="14"/>
      <c r="T286" s="14"/>
      <c r="U286" s="16"/>
      <c r="V286" s="13"/>
      <c r="W286" s="16" t="s">
        <v>667</v>
      </c>
      <c r="X286" s="16"/>
      <c r="Y286" s="16"/>
      <c r="Z286" s="16"/>
      <c r="AA286" s="22" t="n">
        <f aca="false">IF(F286&lt;&gt;"Y",0,((SUMIF(Products!$E$5:$E$300,A286,Products!$F$5:$F$300)+SUMIF(RM_Lots!$A$5:$A$400,A286,RM_Lots!$D$5:$D$400))+IF(W286="Y",SUMIF(Products!$E$5:$E$300,A286,Products!$G$5:$G$300),0))*(1+N(V286)))</f>
        <v>0</v>
      </c>
      <c r="AB286" s="22" t="n">
        <f aca="false">IF(F286&lt;&gt;"Y",0,((SUMIF(Products!$E$5:$E$300,A286,Products!$K$5:$K$300)+SUMIF(RM_Lots!$A$5:$A$400,A286,RM_Lots!$F$5:$F$400))+IF(W286="Y",SUMIF(Products!$E$5:$E$300,A286,Products!$L$5:$L$300),0))*(1+N(V286)))</f>
        <v>0</v>
      </c>
      <c r="AC286" s="17" t="n">
        <f aca="false">IF(J286="",1,MAX(1,COUNTIFS($J$5:$J$863,J286,$F$5:$F$863,"Y")))</f>
        <v>1</v>
      </c>
      <c r="AD286" s="18" t="n">
        <f aca="false">(MAX(1,N(I286))*(P286+N(S286))+MAX(1,N(I286))*N(K286)/(MAX(1,N(U286))*AC286))*Settings!$B$9</f>
        <v>0</v>
      </c>
      <c r="AE286" s="18" t="n">
        <f aca="false">(MAX(1,N(I286))*N(Q286)+MAX(1,N(I286))*N(L286)/(MAX(1,N(U286))*AC286))*Settings!$B$8</f>
        <v>0</v>
      </c>
      <c r="AF286" s="18" t="n">
        <f aca="false">MAX(1,N(I286))*N(T286)</f>
        <v>0</v>
      </c>
      <c r="AG286" s="15" t="n">
        <f aca="false">AA286*N(AD286)</f>
        <v>0</v>
      </c>
      <c r="AH286" s="15" t="n">
        <f aca="false">AA286*N(AE286)</f>
        <v>0</v>
      </c>
      <c r="AI286" s="15" t="n">
        <f aca="false">AA286*N(AF286)</f>
        <v>0</v>
      </c>
      <c r="AJ286" s="15" t="n">
        <f aca="false">AA286*N(R286)</f>
        <v>0</v>
      </c>
      <c r="AK286" s="15" t="n">
        <f aca="false">AB286*N(AD286)</f>
        <v>0</v>
      </c>
      <c r="AL286" s="15" t="n">
        <f aca="false">AB286*N(AE286)</f>
        <v>0</v>
      </c>
      <c r="AM286" s="15" t="n">
        <f aca="false">AB286*N(AF286)</f>
        <v>0</v>
      </c>
      <c r="AN286" s="15" t="n">
        <f aca="false">AB286*N(R286)</f>
        <v>0</v>
      </c>
      <c r="AO286" s="21" t="str">
        <f aca="false">IF(F286&lt;&gt;"Y","n/a",IF(AND(N286&lt;&gt;"",OR(Q286&lt;&gt;"",G286="Other / bench",G286="None"),U286&lt;&gt;""),"OK","Missing"))</f>
        <v>n/a</v>
      </c>
    </row>
    <row r="287" customFormat="false" ht="15" hidden="false" customHeight="false" outlineLevel="0" collapsed="false">
      <c r="A287" s="10" t="s">
        <v>373</v>
      </c>
      <c r="B287" s="10" t="s">
        <v>659</v>
      </c>
      <c r="C287" s="10" t="s">
        <v>722</v>
      </c>
      <c r="D287" s="10" t="s">
        <v>669</v>
      </c>
      <c r="E287" s="21" t="str">
        <f aca="false">IF(A287="","",A287&amp;"|"&amp;D287)</f>
        <v>F47|Other tests (non-HPLC: physical, LOD/KF, disintegration, pH, micro...)</v>
      </c>
      <c r="F287" s="16" t="s">
        <v>662</v>
      </c>
      <c r="G287" s="16" t="s">
        <v>670</v>
      </c>
      <c r="H287" s="16" t="s">
        <v>685</v>
      </c>
      <c r="I287" s="16" t="n">
        <v>1</v>
      </c>
      <c r="J287" s="16"/>
      <c r="K287" s="14"/>
      <c r="L287" s="14"/>
      <c r="M287" s="14"/>
      <c r="N287" s="14"/>
      <c r="O287" s="14"/>
      <c r="P287" s="18" t="n">
        <f aca="false">IF(N287="",0,IF(OR(M287="",O287=""),N287,(M287+4*N287+O287)/6))</f>
        <v>0</v>
      </c>
      <c r="Q287" s="14"/>
      <c r="R287" s="14"/>
      <c r="S287" s="14"/>
      <c r="T287" s="14"/>
      <c r="U287" s="16"/>
      <c r="V287" s="13"/>
      <c r="W287" s="16" t="s">
        <v>662</v>
      </c>
      <c r="X287" s="16"/>
      <c r="Y287" s="16"/>
      <c r="Z287" s="16"/>
      <c r="AA287" s="22" t="n">
        <f aca="false">IF(F287&lt;&gt;"Y",0,((SUMIF(Products!$E$5:$E$300,A287,Products!$F$5:$F$300)+SUMIF(RM_Lots!$A$5:$A$400,A287,RM_Lots!$D$5:$D$400))+IF(W287="Y",SUMIF(Products!$E$5:$E$300,A287,Products!$G$5:$G$300),0))*(1+N(V287)))</f>
        <v>0</v>
      </c>
      <c r="AB287" s="22" t="n">
        <f aca="false">IF(F287&lt;&gt;"Y",0,((SUMIF(Products!$E$5:$E$300,A287,Products!$K$5:$K$300)+SUMIF(RM_Lots!$A$5:$A$400,A287,RM_Lots!$F$5:$F$400))+IF(W287="Y",SUMIF(Products!$E$5:$E$300,A287,Products!$L$5:$L$300),0))*(1+N(V287)))</f>
        <v>0</v>
      </c>
      <c r="AC287" s="17" t="n">
        <f aca="false">IF(J287="",1,MAX(1,COUNTIFS($J$5:$J$863,J287,$F$5:$F$863,"Y")))</f>
        <v>1</v>
      </c>
      <c r="AD287" s="18" t="n">
        <f aca="false">(MAX(1,N(I287))*(P287+N(S287))+MAX(1,N(I287))*N(K287)/(MAX(1,N(U287))*AC287))*Settings!$B$9</f>
        <v>0</v>
      </c>
      <c r="AE287" s="18" t="n">
        <f aca="false">(MAX(1,N(I287))*N(Q287)+MAX(1,N(I287))*N(L287)/(MAX(1,N(U287))*AC287))*Settings!$B$8</f>
        <v>0</v>
      </c>
      <c r="AF287" s="18" t="n">
        <f aca="false">MAX(1,N(I287))*N(T287)</f>
        <v>0</v>
      </c>
      <c r="AG287" s="15" t="n">
        <f aca="false">AA287*N(AD287)</f>
        <v>0</v>
      </c>
      <c r="AH287" s="15" t="n">
        <f aca="false">AA287*N(AE287)</f>
        <v>0</v>
      </c>
      <c r="AI287" s="15" t="n">
        <f aca="false">AA287*N(AF287)</f>
        <v>0</v>
      </c>
      <c r="AJ287" s="15" t="n">
        <f aca="false">AA287*N(R287)</f>
        <v>0</v>
      </c>
      <c r="AK287" s="15" t="n">
        <f aca="false">AB287*N(AD287)</f>
        <v>0</v>
      </c>
      <c r="AL287" s="15" t="n">
        <f aca="false">AB287*N(AE287)</f>
        <v>0</v>
      </c>
      <c r="AM287" s="15" t="n">
        <f aca="false">AB287*N(AF287)</f>
        <v>0</v>
      </c>
      <c r="AN287" s="15" t="n">
        <f aca="false">AB287*N(R287)</f>
        <v>0</v>
      </c>
      <c r="AO287" s="21" t="str">
        <f aca="false">IF(F287&lt;&gt;"Y","n/a",IF(AND(N287&lt;&gt;"",OR(Q287&lt;&gt;"",G287="Other / bench",G287="None"),U287&lt;&gt;""),"OK","Missing"))</f>
        <v>Missing</v>
      </c>
    </row>
    <row r="288" customFormat="false" ht="15" hidden="false" customHeight="false" outlineLevel="0" collapsed="false">
      <c r="A288" s="10" t="s">
        <v>376</v>
      </c>
      <c r="B288" s="10" t="s">
        <v>659</v>
      </c>
      <c r="C288" s="10" t="s">
        <v>723</v>
      </c>
      <c r="D288" s="10" t="s">
        <v>661</v>
      </c>
      <c r="E288" s="21" t="str">
        <f aca="false">IF(A288="","",A288&amp;"|"&amp;D288)</f>
        <v>F48|Assay</v>
      </c>
      <c r="F288" s="16" t="s">
        <v>662</v>
      </c>
      <c r="G288" s="16" t="s">
        <v>147</v>
      </c>
      <c r="H288" s="16" t="s">
        <v>685</v>
      </c>
      <c r="I288" s="16" t="n">
        <v>1</v>
      </c>
      <c r="J288" s="16"/>
      <c r="K288" s="14"/>
      <c r="L288" s="14"/>
      <c r="M288" s="14"/>
      <c r="N288" s="14"/>
      <c r="O288" s="14"/>
      <c r="P288" s="18" t="n">
        <f aca="false">IF(N288="",0,IF(OR(M288="",O288=""),N288,(M288+4*N288+O288)/6))</f>
        <v>0</v>
      </c>
      <c r="Q288" s="14"/>
      <c r="R288" s="14"/>
      <c r="S288" s="14"/>
      <c r="T288" s="14"/>
      <c r="U288" s="16"/>
      <c r="V288" s="13"/>
      <c r="W288" s="16" t="s">
        <v>662</v>
      </c>
      <c r="X288" s="16"/>
      <c r="Y288" s="16"/>
      <c r="Z288" s="16" t="s">
        <v>693</v>
      </c>
      <c r="AA288" s="22" t="n">
        <f aca="false">IF(F288&lt;&gt;"Y",0,((SUMIF(Products!$E$5:$E$300,A288,Products!$F$5:$F$300)+SUMIF(RM_Lots!$A$5:$A$400,A288,RM_Lots!$D$5:$D$400))+IF(W288="Y",SUMIF(Products!$E$5:$E$300,A288,Products!$G$5:$G$300),0))*(1+N(V288)))</f>
        <v>0</v>
      </c>
      <c r="AB288" s="22" t="n">
        <f aca="false">IF(F288&lt;&gt;"Y",0,((SUMIF(Products!$E$5:$E$300,A288,Products!$K$5:$K$300)+SUMIF(RM_Lots!$A$5:$A$400,A288,RM_Lots!$F$5:$F$400))+IF(W288="Y",SUMIF(Products!$E$5:$E$300,A288,Products!$L$5:$L$300),0))*(1+N(V288)))</f>
        <v>0</v>
      </c>
      <c r="AC288" s="17" t="n">
        <f aca="false">IF(J288="",1,MAX(1,COUNTIFS($J$5:$J$863,J288,$F$5:$F$863,"Y")))</f>
        <v>1</v>
      </c>
      <c r="AD288" s="18" t="n">
        <f aca="false">(MAX(1,N(I288))*(P288+N(S288))+MAX(1,N(I288))*N(K288)/(MAX(1,N(U288))*AC288))*Settings!$B$9</f>
        <v>0</v>
      </c>
      <c r="AE288" s="18" t="n">
        <f aca="false">(MAX(1,N(I288))*N(Q288)+MAX(1,N(I288))*N(L288)/(MAX(1,N(U288))*AC288))*Settings!$B$8</f>
        <v>0</v>
      </c>
      <c r="AF288" s="18" t="n">
        <f aca="false">MAX(1,N(I288))*N(T288)</f>
        <v>0</v>
      </c>
      <c r="AG288" s="15" t="n">
        <f aca="false">AA288*N(AD288)</f>
        <v>0</v>
      </c>
      <c r="AH288" s="15" t="n">
        <f aca="false">AA288*N(AE288)</f>
        <v>0</v>
      </c>
      <c r="AI288" s="15" t="n">
        <f aca="false">AA288*N(AF288)</f>
        <v>0</v>
      </c>
      <c r="AJ288" s="15" t="n">
        <f aca="false">AA288*N(R288)</f>
        <v>0</v>
      </c>
      <c r="AK288" s="15" t="n">
        <f aca="false">AB288*N(AD288)</f>
        <v>0</v>
      </c>
      <c r="AL288" s="15" t="n">
        <f aca="false">AB288*N(AE288)</f>
        <v>0</v>
      </c>
      <c r="AM288" s="15" t="n">
        <f aca="false">AB288*N(AF288)</f>
        <v>0</v>
      </c>
      <c r="AN288" s="15" t="n">
        <f aca="false">AB288*N(R288)</f>
        <v>0</v>
      </c>
      <c r="AO288" s="21" t="str">
        <f aca="false">IF(F288&lt;&gt;"Y","n/a",IF(AND(N288&lt;&gt;"",OR(Q288&lt;&gt;"",G288="Other / bench",G288="None"),U288&lt;&gt;""),"OK","Missing"))</f>
        <v>Missing</v>
      </c>
    </row>
    <row r="289" customFormat="false" ht="15" hidden="false" customHeight="false" outlineLevel="0" collapsed="false">
      <c r="A289" s="10" t="s">
        <v>376</v>
      </c>
      <c r="B289" s="10" t="s">
        <v>659</v>
      </c>
      <c r="C289" s="10" t="s">
        <v>723</v>
      </c>
      <c r="D289" s="10" t="s">
        <v>664</v>
      </c>
      <c r="E289" s="21" t="str">
        <f aca="false">IF(A289="","",A289&amp;"|"&amp;D289)</f>
        <v>F48|Related substances / impurities</v>
      </c>
      <c r="F289" s="16" t="s">
        <v>667</v>
      </c>
      <c r="G289" s="16" t="s">
        <v>147</v>
      </c>
      <c r="H289" s="16" t="s">
        <v>685</v>
      </c>
      <c r="I289" s="16" t="n">
        <v>1</v>
      </c>
      <c r="J289" s="16"/>
      <c r="K289" s="14"/>
      <c r="L289" s="14"/>
      <c r="M289" s="14"/>
      <c r="N289" s="14"/>
      <c r="O289" s="14"/>
      <c r="P289" s="18" t="n">
        <f aca="false">IF(N289="",0,IF(OR(M289="",O289=""),N289,(M289+4*N289+O289)/6))</f>
        <v>0</v>
      </c>
      <c r="Q289" s="14"/>
      <c r="R289" s="14"/>
      <c r="S289" s="14"/>
      <c r="T289" s="14"/>
      <c r="U289" s="16"/>
      <c r="V289" s="13"/>
      <c r="W289" s="16" t="s">
        <v>662</v>
      </c>
      <c r="X289" s="16"/>
      <c r="Y289" s="16"/>
      <c r="Z289" s="16"/>
      <c r="AA289" s="22" t="n">
        <f aca="false">IF(F289&lt;&gt;"Y",0,((SUMIF(Products!$E$5:$E$300,A289,Products!$F$5:$F$300)+SUMIF(RM_Lots!$A$5:$A$400,A289,RM_Lots!$D$5:$D$400))+IF(W289="Y",SUMIF(Products!$E$5:$E$300,A289,Products!$G$5:$G$300),0))*(1+N(V289)))</f>
        <v>0</v>
      </c>
      <c r="AB289" s="22" t="n">
        <f aca="false">IF(F289&lt;&gt;"Y",0,((SUMIF(Products!$E$5:$E$300,A289,Products!$K$5:$K$300)+SUMIF(RM_Lots!$A$5:$A$400,A289,RM_Lots!$F$5:$F$400))+IF(W289="Y",SUMIF(Products!$E$5:$E$300,A289,Products!$L$5:$L$300),0))*(1+N(V289)))</f>
        <v>0</v>
      </c>
      <c r="AC289" s="17" t="n">
        <f aca="false">IF(J289="",1,MAX(1,COUNTIFS($J$5:$J$863,J289,$F$5:$F$863,"Y")))</f>
        <v>1</v>
      </c>
      <c r="AD289" s="18" t="n">
        <f aca="false">(MAX(1,N(I289))*(P289+N(S289))+MAX(1,N(I289))*N(K289)/(MAX(1,N(U289))*AC289))*Settings!$B$9</f>
        <v>0</v>
      </c>
      <c r="AE289" s="18" t="n">
        <f aca="false">(MAX(1,N(I289))*N(Q289)+MAX(1,N(I289))*N(L289)/(MAX(1,N(U289))*AC289))*Settings!$B$8</f>
        <v>0</v>
      </c>
      <c r="AF289" s="18" t="n">
        <f aca="false">MAX(1,N(I289))*N(T289)</f>
        <v>0</v>
      </c>
      <c r="AG289" s="15" t="n">
        <f aca="false">AA289*N(AD289)</f>
        <v>0</v>
      </c>
      <c r="AH289" s="15" t="n">
        <f aca="false">AA289*N(AE289)</f>
        <v>0</v>
      </c>
      <c r="AI289" s="15" t="n">
        <f aca="false">AA289*N(AF289)</f>
        <v>0</v>
      </c>
      <c r="AJ289" s="15" t="n">
        <f aca="false">AA289*N(R289)</f>
        <v>0</v>
      </c>
      <c r="AK289" s="15" t="n">
        <f aca="false">AB289*N(AD289)</f>
        <v>0</v>
      </c>
      <c r="AL289" s="15" t="n">
        <f aca="false">AB289*N(AE289)</f>
        <v>0</v>
      </c>
      <c r="AM289" s="15" t="n">
        <f aca="false">AB289*N(AF289)</f>
        <v>0</v>
      </c>
      <c r="AN289" s="15" t="n">
        <f aca="false">AB289*N(R289)</f>
        <v>0</v>
      </c>
      <c r="AO289" s="21" t="str">
        <f aca="false">IF(F289&lt;&gt;"Y","n/a",IF(AND(N289&lt;&gt;"",OR(Q289&lt;&gt;"",G289="Other / bench",G289="None"),U289&lt;&gt;""),"OK","Missing"))</f>
        <v>n/a</v>
      </c>
    </row>
    <row r="290" customFormat="false" ht="15" hidden="false" customHeight="false" outlineLevel="0" collapsed="false">
      <c r="A290" s="10" t="s">
        <v>376</v>
      </c>
      <c r="B290" s="10" t="s">
        <v>659</v>
      </c>
      <c r="C290" s="10" t="s">
        <v>723</v>
      </c>
      <c r="D290" s="10" t="s">
        <v>665</v>
      </c>
      <c r="E290" s="21" t="str">
        <f aca="false">IF(A290="","",A290&amp;"|"&amp;D290)</f>
        <v>F48|Dissolution</v>
      </c>
      <c r="F290" s="16" t="s">
        <v>662</v>
      </c>
      <c r="G290" s="16" t="s">
        <v>147</v>
      </c>
      <c r="H290" s="16" t="s">
        <v>685</v>
      </c>
      <c r="I290" s="16" t="n">
        <v>1</v>
      </c>
      <c r="J290" s="16"/>
      <c r="K290" s="14"/>
      <c r="L290" s="14"/>
      <c r="M290" s="14"/>
      <c r="N290" s="14"/>
      <c r="O290" s="14"/>
      <c r="P290" s="18" t="n">
        <f aca="false">IF(N290="",0,IF(OR(M290="",O290=""),N290,(M290+4*N290+O290)/6))</f>
        <v>0</v>
      </c>
      <c r="Q290" s="14"/>
      <c r="R290" s="14"/>
      <c r="S290" s="14"/>
      <c r="T290" s="14"/>
      <c r="U290" s="16"/>
      <c r="V290" s="13"/>
      <c r="W290" s="16" t="s">
        <v>662</v>
      </c>
      <c r="X290" s="16"/>
      <c r="Y290" s="16"/>
      <c r="Z290" s="16"/>
      <c r="AA290" s="22" t="n">
        <f aca="false">IF(F290&lt;&gt;"Y",0,((SUMIF(Products!$E$5:$E$300,A290,Products!$F$5:$F$300)+SUMIF(RM_Lots!$A$5:$A$400,A290,RM_Lots!$D$5:$D$400))+IF(W290="Y",SUMIF(Products!$E$5:$E$300,A290,Products!$G$5:$G$300),0))*(1+N(V290)))</f>
        <v>0</v>
      </c>
      <c r="AB290" s="22" t="n">
        <f aca="false">IF(F290&lt;&gt;"Y",0,((SUMIF(Products!$E$5:$E$300,A290,Products!$K$5:$K$300)+SUMIF(RM_Lots!$A$5:$A$400,A290,RM_Lots!$F$5:$F$400))+IF(W290="Y",SUMIF(Products!$E$5:$E$300,A290,Products!$L$5:$L$300),0))*(1+N(V290)))</f>
        <v>0</v>
      </c>
      <c r="AC290" s="17" t="n">
        <f aca="false">IF(J290="",1,MAX(1,COUNTIFS($J$5:$J$863,J290,$F$5:$F$863,"Y")))</f>
        <v>1</v>
      </c>
      <c r="AD290" s="18" t="n">
        <f aca="false">(MAX(1,N(I290))*(P290+N(S290))+MAX(1,N(I290))*N(K290)/(MAX(1,N(U290))*AC290))*Settings!$B$9</f>
        <v>0</v>
      </c>
      <c r="AE290" s="18" t="n">
        <f aca="false">(MAX(1,N(I290))*N(Q290)+MAX(1,N(I290))*N(L290)/(MAX(1,N(U290))*AC290))*Settings!$B$8</f>
        <v>0</v>
      </c>
      <c r="AF290" s="18" t="n">
        <f aca="false">MAX(1,N(I290))*N(T290)</f>
        <v>0</v>
      </c>
      <c r="AG290" s="15" t="n">
        <f aca="false">AA290*N(AD290)</f>
        <v>0</v>
      </c>
      <c r="AH290" s="15" t="n">
        <f aca="false">AA290*N(AE290)</f>
        <v>0</v>
      </c>
      <c r="AI290" s="15" t="n">
        <f aca="false">AA290*N(AF290)</f>
        <v>0</v>
      </c>
      <c r="AJ290" s="15" t="n">
        <f aca="false">AA290*N(R290)</f>
        <v>0</v>
      </c>
      <c r="AK290" s="15" t="n">
        <f aca="false">AB290*N(AD290)</f>
        <v>0</v>
      </c>
      <c r="AL290" s="15" t="n">
        <f aca="false">AB290*N(AE290)</f>
        <v>0</v>
      </c>
      <c r="AM290" s="15" t="n">
        <f aca="false">AB290*N(AF290)</f>
        <v>0</v>
      </c>
      <c r="AN290" s="15" t="n">
        <f aca="false">AB290*N(R290)</f>
        <v>0</v>
      </c>
      <c r="AO290" s="21" t="str">
        <f aca="false">IF(F290&lt;&gt;"Y","n/a",IF(AND(N290&lt;&gt;"",OR(Q290&lt;&gt;"",G290="Other / bench",G290="None"),U290&lt;&gt;""),"OK","Missing"))</f>
        <v>Missing</v>
      </c>
    </row>
    <row r="291" customFormat="false" ht="15" hidden="false" customHeight="false" outlineLevel="0" collapsed="false">
      <c r="A291" s="10" t="s">
        <v>376</v>
      </c>
      <c r="B291" s="10" t="s">
        <v>659</v>
      </c>
      <c r="C291" s="10" t="s">
        <v>723</v>
      </c>
      <c r="D291" s="10" t="s">
        <v>666</v>
      </c>
      <c r="E291" s="21" t="str">
        <f aca="false">IF(A291="","",A291&amp;"|"&amp;D291)</f>
        <v>F48|Content uniformity</v>
      </c>
      <c r="F291" s="16" t="s">
        <v>667</v>
      </c>
      <c r="G291" s="16" t="s">
        <v>147</v>
      </c>
      <c r="H291" s="16" t="s">
        <v>685</v>
      </c>
      <c r="I291" s="16" t="n">
        <v>1</v>
      </c>
      <c r="J291" s="16"/>
      <c r="K291" s="14"/>
      <c r="L291" s="14"/>
      <c r="M291" s="14"/>
      <c r="N291" s="14"/>
      <c r="O291" s="14"/>
      <c r="P291" s="18" t="n">
        <f aca="false">IF(N291="",0,IF(OR(M291="",O291=""),N291,(M291+4*N291+O291)/6))</f>
        <v>0</v>
      </c>
      <c r="Q291" s="14"/>
      <c r="R291" s="14"/>
      <c r="S291" s="14"/>
      <c r="T291" s="14"/>
      <c r="U291" s="16"/>
      <c r="V291" s="13"/>
      <c r="W291" s="16" t="s">
        <v>667</v>
      </c>
      <c r="X291" s="16"/>
      <c r="Y291" s="16"/>
      <c r="Z291" s="16"/>
      <c r="AA291" s="22" t="n">
        <f aca="false">IF(F291&lt;&gt;"Y",0,((SUMIF(Products!$E$5:$E$300,A291,Products!$F$5:$F$300)+SUMIF(RM_Lots!$A$5:$A$400,A291,RM_Lots!$D$5:$D$400))+IF(W291="Y",SUMIF(Products!$E$5:$E$300,A291,Products!$G$5:$G$300),0))*(1+N(V291)))</f>
        <v>0</v>
      </c>
      <c r="AB291" s="22" t="n">
        <f aca="false">IF(F291&lt;&gt;"Y",0,((SUMIF(Products!$E$5:$E$300,A291,Products!$K$5:$K$300)+SUMIF(RM_Lots!$A$5:$A$400,A291,RM_Lots!$F$5:$F$400))+IF(W291="Y",SUMIF(Products!$E$5:$E$300,A291,Products!$L$5:$L$300),0))*(1+N(V291)))</f>
        <v>0</v>
      </c>
      <c r="AC291" s="17" t="n">
        <f aca="false">IF(J291="",1,MAX(1,COUNTIFS($J$5:$J$863,J291,$F$5:$F$863,"Y")))</f>
        <v>1</v>
      </c>
      <c r="AD291" s="18" t="n">
        <f aca="false">(MAX(1,N(I291))*(P291+N(S291))+MAX(1,N(I291))*N(K291)/(MAX(1,N(U291))*AC291))*Settings!$B$9</f>
        <v>0</v>
      </c>
      <c r="AE291" s="18" t="n">
        <f aca="false">(MAX(1,N(I291))*N(Q291)+MAX(1,N(I291))*N(L291)/(MAX(1,N(U291))*AC291))*Settings!$B$8</f>
        <v>0</v>
      </c>
      <c r="AF291" s="18" t="n">
        <f aca="false">MAX(1,N(I291))*N(T291)</f>
        <v>0</v>
      </c>
      <c r="AG291" s="15" t="n">
        <f aca="false">AA291*N(AD291)</f>
        <v>0</v>
      </c>
      <c r="AH291" s="15" t="n">
        <f aca="false">AA291*N(AE291)</f>
        <v>0</v>
      </c>
      <c r="AI291" s="15" t="n">
        <f aca="false">AA291*N(AF291)</f>
        <v>0</v>
      </c>
      <c r="AJ291" s="15" t="n">
        <f aca="false">AA291*N(R291)</f>
        <v>0</v>
      </c>
      <c r="AK291" s="15" t="n">
        <f aca="false">AB291*N(AD291)</f>
        <v>0</v>
      </c>
      <c r="AL291" s="15" t="n">
        <f aca="false">AB291*N(AE291)</f>
        <v>0</v>
      </c>
      <c r="AM291" s="15" t="n">
        <f aca="false">AB291*N(AF291)</f>
        <v>0</v>
      </c>
      <c r="AN291" s="15" t="n">
        <f aca="false">AB291*N(R291)</f>
        <v>0</v>
      </c>
      <c r="AO291" s="21" t="str">
        <f aca="false">IF(F291&lt;&gt;"Y","n/a",IF(AND(N291&lt;&gt;"",OR(Q291&lt;&gt;"",G291="Other / bench",G291="None"),U291&lt;&gt;""),"OK","Missing"))</f>
        <v>n/a</v>
      </c>
    </row>
    <row r="292" customFormat="false" ht="15" hidden="false" customHeight="false" outlineLevel="0" collapsed="false">
      <c r="A292" s="10" t="s">
        <v>376</v>
      </c>
      <c r="B292" s="10" t="s">
        <v>659</v>
      </c>
      <c r="C292" s="10" t="s">
        <v>723</v>
      </c>
      <c r="D292" s="10" t="s">
        <v>668</v>
      </c>
      <c r="E292" s="21" t="str">
        <f aca="false">IF(A292="","",A292&amp;"|"&amp;D292)</f>
        <v>F48|Identification (if separate from assay)</v>
      </c>
      <c r="F292" s="16" t="s">
        <v>667</v>
      </c>
      <c r="G292" s="16" t="s">
        <v>147</v>
      </c>
      <c r="H292" s="16" t="s">
        <v>685</v>
      </c>
      <c r="I292" s="16" t="n">
        <v>1</v>
      </c>
      <c r="J292" s="16"/>
      <c r="K292" s="14"/>
      <c r="L292" s="14"/>
      <c r="M292" s="14"/>
      <c r="N292" s="14"/>
      <c r="O292" s="14"/>
      <c r="P292" s="18" t="n">
        <f aca="false">IF(N292="",0,IF(OR(M292="",O292=""),N292,(M292+4*N292+O292)/6))</f>
        <v>0</v>
      </c>
      <c r="Q292" s="14"/>
      <c r="R292" s="14"/>
      <c r="S292" s="14"/>
      <c r="T292" s="14"/>
      <c r="U292" s="16"/>
      <c r="V292" s="13"/>
      <c r="W292" s="16" t="s">
        <v>667</v>
      </c>
      <c r="X292" s="16"/>
      <c r="Y292" s="16"/>
      <c r="Z292" s="16"/>
      <c r="AA292" s="22" t="n">
        <f aca="false">IF(F292&lt;&gt;"Y",0,((SUMIF(Products!$E$5:$E$300,A292,Products!$F$5:$F$300)+SUMIF(RM_Lots!$A$5:$A$400,A292,RM_Lots!$D$5:$D$400))+IF(W292="Y",SUMIF(Products!$E$5:$E$300,A292,Products!$G$5:$G$300),0))*(1+N(V292)))</f>
        <v>0</v>
      </c>
      <c r="AB292" s="22" t="n">
        <f aca="false">IF(F292&lt;&gt;"Y",0,((SUMIF(Products!$E$5:$E$300,A292,Products!$K$5:$K$300)+SUMIF(RM_Lots!$A$5:$A$400,A292,RM_Lots!$F$5:$F$400))+IF(W292="Y",SUMIF(Products!$E$5:$E$300,A292,Products!$L$5:$L$300),0))*(1+N(V292)))</f>
        <v>0</v>
      </c>
      <c r="AC292" s="17" t="n">
        <f aca="false">IF(J292="",1,MAX(1,COUNTIFS($J$5:$J$863,J292,$F$5:$F$863,"Y")))</f>
        <v>1</v>
      </c>
      <c r="AD292" s="18" t="n">
        <f aca="false">(MAX(1,N(I292))*(P292+N(S292))+MAX(1,N(I292))*N(K292)/(MAX(1,N(U292))*AC292))*Settings!$B$9</f>
        <v>0</v>
      </c>
      <c r="AE292" s="18" t="n">
        <f aca="false">(MAX(1,N(I292))*N(Q292)+MAX(1,N(I292))*N(L292)/(MAX(1,N(U292))*AC292))*Settings!$B$8</f>
        <v>0</v>
      </c>
      <c r="AF292" s="18" t="n">
        <f aca="false">MAX(1,N(I292))*N(T292)</f>
        <v>0</v>
      </c>
      <c r="AG292" s="15" t="n">
        <f aca="false">AA292*N(AD292)</f>
        <v>0</v>
      </c>
      <c r="AH292" s="15" t="n">
        <f aca="false">AA292*N(AE292)</f>
        <v>0</v>
      </c>
      <c r="AI292" s="15" t="n">
        <f aca="false">AA292*N(AF292)</f>
        <v>0</v>
      </c>
      <c r="AJ292" s="15" t="n">
        <f aca="false">AA292*N(R292)</f>
        <v>0</v>
      </c>
      <c r="AK292" s="15" t="n">
        <f aca="false">AB292*N(AD292)</f>
        <v>0</v>
      </c>
      <c r="AL292" s="15" t="n">
        <f aca="false">AB292*N(AE292)</f>
        <v>0</v>
      </c>
      <c r="AM292" s="15" t="n">
        <f aca="false">AB292*N(AF292)</f>
        <v>0</v>
      </c>
      <c r="AN292" s="15" t="n">
        <f aca="false">AB292*N(R292)</f>
        <v>0</v>
      </c>
      <c r="AO292" s="21" t="str">
        <f aca="false">IF(F292&lt;&gt;"Y","n/a",IF(AND(N292&lt;&gt;"",OR(Q292&lt;&gt;"",G292="Other / bench",G292="None"),U292&lt;&gt;""),"OK","Missing"))</f>
        <v>n/a</v>
      </c>
    </row>
    <row r="293" customFormat="false" ht="15" hidden="false" customHeight="false" outlineLevel="0" collapsed="false">
      <c r="A293" s="10" t="s">
        <v>376</v>
      </c>
      <c r="B293" s="10" t="s">
        <v>659</v>
      </c>
      <c r="C293" s="10" t="s">
        <v>723</v>
      </c>
      <c r="D293" s="10" t="s">
        <v>669</v>
      </c>
      <c r="E293" s="21" t="str">
        <f aca="false">IF(A293="","",A293&amp;"|"&amp;D293)</f>
        <v>F48|Other tests (non-HPLC: physical, LOD/KF, disintegration, pH, micro...)</v>
      </c>
      <c r="F293" s="16" t="s">
        <v>662</v>
      </c>
      <c r="G293" s="16" t="s">
        <v>670</v>
      </c>
      <c r="H293" s="16" t="s">
        <v>685</v>
      </c>
      <c r="I293" s="16" t="n">
        <v>1</v>
      </c>
      <c r="J293" s="16"/>
      <c r="K293" s="14"/>
      <c r="L293" s="14"/>
      <c r="M293" s="14"/>
      <c r="N293" s="14"/>
      <c r="O293" s="14"/>
      <c r="P293" s="18" t="n">
        <f aca="false">IF(N293="",0,IF(OR(M293="",O293=""),N293,(M293+4*N293+O293)/6))</f>
        <v>0</v>
      </c>
      <c r="Q293" s="14"/>
      <c r="R293" s="14"/>
      <c r="S293" s="14"/>
      <c r="T293" s="14"/>
      <c r="U293" s="16"/>
      <c r="V293" s="13"/>
      <c r="W293" s="16" t="s">
        <v>662</v>
      </c>
      <c r="X293" s="16"/>
      <c r="Y293" s="16"/>
      <c r="Z293" s="16"/>
      <c r="AA293" s="22" t="n">
        <f aca="false">IF(F293&lt;&gt;"Y",0,((SUMIF(Products!$E$5:$E$300,A293,Products!$F$5:$F$300)+SUMIF(RM_Lots!$A$5:$A$400,A293,RM_Lots!$D$5:$D$400))+IF(W293="Y",SUMIF(Products!$E$5:$E$300,A293,Products!$G$5:$G$300),0))*(1+N(V293)))</f>
        <v>0</v>
      </c>
      <c r="AB293" s="22" t="n">
        <f aca="false">IF(F293&lt;&gt;"Y",0,((SUMIF(Products!$E$5:$E$300,A293,Products!$K$5:$K$300)+SUMIF(RM_Lots!$A$5:$A$400,A293,RM_Lots!$F$5:$F$400))+IF(W293="Y",SUMIF(Products!$E$5:$E$300,A293,Products!$L$5:$L$300),0))*(1+N(V293)))</f>
        <v>0</v>
      </c>
      <c r="AC293" s="17" t="n">
        <f aca="false">IF(J293="",1,MAX(1,COUNTIFS($J$5:$J$863,J293,$F$5:$F$863,"Y")))</f>
        <v>1</v>
      </c>
      <c r="AD293" s="18" t="n">
        <f aca="false">(MAX(1,N(I293))*(P293+N(S293))+MAX(1,N(I293))*N(K293)/(MAX(1,N(U293))*AC293))*Settings!$B$9</f>
        <v>0</v>
      </c>
      <c r="AE293" s="18" t="n">
        <f aca="false">(MAX(1,N(I293))*N(Q293)+MAX(1,N(I293))*N(L293)/(MAX(1,N(U293))*AC293))*Settings!$B$8</f>
        <v>0</v>
      </c>
      <c r="AF293" s="18" t="n">
        <f aca="false">MAX(1,N(I293))*N(T293)</f>
        <v>0</v>
      </c>
      <c r="AG293" s="15" t="n">
        <f aca="false">AA293*N(AD293)</f>
        <v>0</v>
      </c>
      <c r="AH293" s="15" t="n">
        <f aca="false">AA293*N(AE293)</f>
        <v>0</v>
      </c>
      <c r="AI293" s="15" t="n">
        <f aca="false">AA293*N(AF293)</f>
        <v>0</v>
      </c>
      <c r="AJ293" s="15" t="n">
        <f aca="false">AA293*N(R293)</f>
        <v>0</v>
      </c>
      <c r="AK293" s="15" t="n">
        <f aca="false">AB293*N(AD293)</f>
        <v>0</v>
      </c>
      <c r="AL293" s="15" t="n">
        <f aca="false">AB293*N(AE293)</f>
        <v>0</v>
      </c>
      <c r="AM293" s="15" t="n">
        <f aca="false">AB293*N(AF293)</f>
        <v>0</v>
      </c>
      <c r="AN293" s="15" t="n">
        <f aca="false">AB293*N(R293)</f>
        <v>0</v>
      </c>
      <c r="AO293" s="21" t="str">
        <f aca="false">IF(F293&lt;&gt;"Y","n/a",IF(AND(N293&lt;&gt;"",OR(Q293&lt;&gt;"",G293="Other / bench",G293="None"),U293&lt;&gt;""),"OK","Missing"))</f>
        <v>Missing</v>
      </c>
    </row>
    <row r="294" customFormat="false" ht="15" hidden="false" customHeight="false" outlineLevel="0" collapsed="false">
      <c r="A294" s="10" t="s">
        <v>379</v>
      </c>
      <c r="B294" s="10" t="s">
        <v>659</v>
      </c>
      <c r="C294" s="10" t="s">
        <v>724</v>
      </c>
      <c r="D294" s="10" t="s">
        <v>661</v>
      </c>
      <c r="E294" s="21" t="str">
        <f aca="false">IF(A294="","",A294&amp;"|"&amp;D294)</f>
        <v>F49|Assay</v>
      </c>
      <c r="F294" s="16" t="s">
        <v>662</v>
      </c>
      <c r="G294" s="16" t="s">
        <v>147</v>
      </c>
      <c r="H294" s="16" t="s">
        <v>663</v>
      </c>
      <c r="I294" s="16" t="n">
        <v>1</v>
      </c>
      <c r="J294" s="16"/>
      <c r="K294" s="14"/>
      <c r="L294" s="14"/>
      <c r="M294" s="14"/>
      <c r="N294" s="14"/>
      <c r="O294" s="14"/>
      <c r="P294" s="18" t="n">
        <f aca="false">IF(N294="",0,IF(OR(M294="",O294=""),N294,(M294+4*N294+O294)/6))</f>
        <v>0</v>
      </c>
      <c r="Q294" s="14"/>
      <c r="R294" s="14"/>
      <c r="S294" s="14"/>
      <c r="T294" s="14"/>
      <c r="U294" s="16"/>
      <c r="V294" s="13"/>
      <c r="W294" s="16" t="s">
        <v>662</v>
      </c>
      <c r="X294" s="16"/>
      <c r="Y294" s="16"/>
      <c r="Z294" s="16"/>
      <c r="AA294" s="22" t="n">
        <f aca="false">IF(F294&lt;&gt;"Y",0,((SUMIF(Products!$E$5:$E$300,A294,Products!$F$5:$F$300)+SUMIF(RM_Lots!$A$5:$A$400,A294,RM_Lots!$D$5:$D$400))+IF(W294="Y",SUMIF(Products!$E$5:$E$300,A294,Products!$G$5:$G$300),0))*(1+N(V294)))</f>
        <v>0</v>
      </c>
      <c r="AB294" s="22" t="n">
        <f aca="false">IF(F294&lt;&gt;"Y",0,((SUMIF(Products!$E$5:$E$300,A294,Products!$K$5:$K$300)+SUMIF(RM_Lots!$A$5:$A$400,A294,RM_Lots!$F$5:$F$400))+IF(W294="Y",SUMIF(Products!$E$5:$E$300,A294,Products!$L$5:$L$300),0))*(1+N(V294)))</f>
        <v>0</v>
      </c>
      <c r="AC294" s="17" t="n">
        <f aca="false">IF(J294="",1,MAX(1,COUNTIFS($J$5:$J$863,J294,$F$5:$F$863,"Y")))</f>
        <v>1</v>
      </c>
      <c r="AD294" s="18" t="n">
        <f aca="false">(MAX(1,N(I294))*(P294+N(S294))+MAX(1,N(I294))*N(K294)/(MAX(1,N(U294))*AC294))*Settings!$B$9</f>
        <v>0</v>
      </c>
      <c r="AE294" s="18" t="n">
        <f aca="false">(MAX(1,N(I294))*N(Q294)+MAX(1,N(I294))*N(L294)/(MAX(1,N(U294))*AC294))*Settings!$B$8</f>
        <v>0</v>
      </c>
      <c r="AF294" s="18" t="n">
        <f aca="false">MAX(1,N(I294))*N(T294)</f>
        <v>0</v>
      </c>
      <c r="AG294" s="15" t="n">
        <f aca="false">AA294*N(AD294)</f>
        <v>0</v>
      </c>
      <c r="AH294" s="15" t="n">
        <f aca="false">AA294*N(AE294)</f>
        <v>0</v>
      </c>
      <c r="AI294" s="15" t="n">
        <f aca="false">AA294*N(AF294)</f>
        <v>0</v>
      </c>
      <c r="AJ294" s="15" t="n">
        <f aca="false">AA294*N(R294)</f>
        <v>0</v>
      </c>
      <c r="AK294" s="15" t="n">
        <f aca="false">AB294*N(AD294)</f>
        <v>0</v>
      </c>
      <c r="AL294" s="15" t="n">
        <f aca="false">AB294*N(AE294)</f>
        <v>0</v>
      </c>
      <c r="AM294" s="15" t="n">
        <f aca="false">AB294*N(AF294)</f>
        <v>0</v>
      </c>
      <c r="AN294" s="15" t="n">
        <f aca="false">AB294*N(R294)</f>
        <v>0</v>
      </c>
      <c r="AO294" s="21" t="str">
        <f aca="false">IF(F294&lt;&gt;"Y","n/a",IF(AND(N294&lt;&gt;"",OR(Q294&lt;&gt;"",G294="Other / bench",G294="None"),U294&lt;&gt;""),"OK","Missing"))</f>
        <v>Missing</v>
      </c>
    </row>
    <row r="295" customFormat="false" ht="15" hidden="false" customHeight="false" outlineLevel="0" collapsed="false">
      <c r="A295" s="10" t="s">
        <v>379</v>
      </c>
      <c r="B295" s="10" t="s">
        <v>659</v>
      </c>
      <c r="C295" s="10" t="s">
        <v>724</v>
      </c>
      <c r="D295" s="10" t="s">
        <v>664</v>
      </c>
      <c r="E295" s="21" t="str">
        <f aca="false">IF(A295="","",A295&amp;"|"&amp;D295)</f>
        <v>F49|Related substances / impurities</v>
      </c>
      <c r="F295" s="16" t="s">
        <v>662</v>
      </c>
      <c r="G295" s="16" t="s">
        <v>147</v>
      </c>
      <c r="H295" s="16" t="s">
        <v>663</v>
      </c>
      <c r="I295" s="16" t="n">
        <v>1</v>
      </c>
      <c r="J295" s="16"/>
      <c r="K295" s="14"/>
      <c r="L295" s="14"/>
      <c r="M295" s="14"/>
      <c r="N295" s="14"/>
      <c r="O295" s="14"/>
      <c r="P295" s="18" t="n">
        <f aca="false">IF(N295="",0,IF(OR(M295="",O295=""),N295,(M295+4*N295+O295)/6))</f>
        <v>0</v>
      </c>
      <c r="Q295" s="14"/>
      <c r="R295" s="14"/>
      <c r="S295" s="14"/>
      <c r="T295" s="14"/>
      <c r="U295" s="16"/>
      <c r="V295" s="13"/>
      <c r="W295" s="16" t="s">
        <v>662</v>
      </c>
      <c r="X295" s="16"/>
      <c r="Y295" s="16"/>
      <c r="Z295" s="16"/>
      <c r="AA295" s="22" t="n">
        <f aca="false">IF(F295&lt;&gt;"Y",0,((SUMIF(Products!$E$5:$E$300,A295,Products!$F$5:$F$300)+SUMIF(RM_Lots!$A$5:$A$400,A295,RM_Lots!$D$5:$D$400))+IF(W295="Y",SUMIF(Products!$E$5:$E$300,A295,Products!$G$5:$G$300),0))*(1+N(V295)))</f>
        <v>0</v>
      </c>
      <c r="AB295" s="22" t="n">
        <f aca="false">IF(F295&lt;&gt;"Y",0,((SUMIF(Products!$E$5:$E$300,A295,Products!$K$5:$K$300)+SUMIF(RM_Lots!$A$5:$A$400,A295,RM_Lots!$F$5:$F$400))+IF(W295="Y",SUMIF(Products!$E$5:$E$300,A295,Products!$L$5:$L$300),0))*(1+N(V295)))</f>
        <v>0</v>
      </c>
      <c r="AC295" s="17" t="n">
        <f aca="false">IF(J295="",1,MAX(1,COUNTIFS($J$5:$J$863,J295,$F$5:$F$863,"Y")))</f>
        <v>1</v>
      </c>
      <c r="AD295" s="18" t="n">
        <f aca="false">(MAX(1,N(I295))*(P295+N(S295))+MAX(1,N(I295))*N(K295)/(MAX(1,N(U295))*AC295))*Settings!$B$9</f>
        <v>0</v>
      </c>
      <c r="AE295" s="18" t="n">
        <f aca="false">(MAX(1,N(I295))*N(Q295)+MAX(1,N(I295))*N(L295)/(MAX(1,N(U295))*AC295))*Settings!$B$8</f>
        <v>0</v>
      </c>
      <c r="AF295" s="18" t="n">
        <f aca="false">MAX(1,N(I295))*N(T295)</f>
        <v>0</v>
      </c>
      <c r="AG295" s="15" t="n">
        <f aca="false">AA295*N(AD295)</f>
        <v>0</v>
      </c>
      <c r="AH295" s="15" t="n">
        <f aca="false">AA295*N(AE295)</f>
        <v>0</v>
      </c>
      <c r="AI295" s="15" t="n">
        <f aca="false">AA295*N(AF295)</f>
        <v>0</v>
      </c>
      <c r="AJ295" s="15" t="n">
        <f aca="false">AA295*N(R295)</f>
        <v>0</v>
      </c>
      <c r="AK295" s="15" t="n">
        <f aca="false">AB295*N(AD295)</f>
        <v>0</v>
      </c>
      <c r="AL295" s="15" t="n">
        <f aca="false">AB295*N(AE295)</f>
        <v>0</v>
      </c>
      <c r="AM295" s="15" t="n">
        <f aca="false">AB295*N(AF295)</f>
        <v>0</v>
      </c>
      <c r="AN295" s="15" t="n">
        <f aca="false">AB295*N(R295)</f>
        <v>0</v>
      </c>
      <c r="AO295" s="21" t="str">
        <f aca="false">IF(F295&lt;&gt;"Y","n/a",IF(AND(N295&lt;&gt;"",OR(Q295&lt;&gt;"",G295="Other / bench",G295="None"),U295&lt;&gt;""),"OK","Missing"))</f>
        <v>Missing</v>
      </c>
    </row>
    <row r="296" customFormat="false" ht="15" hidden="false" customHeight="false" outlineLevel="0" collapsed="false">
      <c r="A296" s="10" t="s">
        <v>379</v>
      </c>
      <c r="B296" s="10" t="s">
        <v>659</v>
      </c>
      <c r="C296" s="10" t="s">
        <v>724</v>
      </c>
      <c r="D296" s="10" t="s">
        <v>665</v>
      </c>
      <c r="E296" s="21" t="str">
        <f aca="false">IF(A296="","",A296&amp;"|"&amp;D296)</f>
        <v>F49|Dissolution</v>
      </c>
      <c r="F296" s="16" t="s">
        <v>662</v>
      </c>
      <c r="G296" s="16" t="s">
        <v>147</v>
      </c>
      <c r="H296" s="16" t="s">
        <v>663</v>
      </c>
      <c r="I296" s="16" t="n">
        <v>1</v>
      </c>
      <c r="J296" s="16"/>
      <c r="K296" s="14"/>
      <c r="L296" s="14"/>
      <c r="M296" s="14"/>
      <c r="N296" s="14"/>
      <c r="O296" s="14"/>
      <c r="P296" s="18" t="n">
        <f aca="false">IF(N296="",0,IF(OR(M296="",O296=""),N296,(M296+4*N296+O296)/6))</f>
        <v>0</v>
      </c>
      <c r="Q296" s="14"/>
      <c r="R296" s="14"/>
      <c r="S296" s="14"/>
      <c r="T296" s="14"/>
      <c r="U296" s="16"/>
      <c r="V296" s="13"/>
      <c r="W296" s="16" t="s">
        <v>662</v>
      </c>
      <c r="X296" s="16"/>
      <c r="Y296" s="16"/>
      <c r="Z296" s="16"/>
      <c r="AA296" s="22" t="n">
        <f aca="false">IF(F296&lt;&gt;"Y",0,((SUMIF(Products!$E$5:$E$300,A296,Products!$F$5:$F$300)+SUMIF(RM_Lots!$A$5:$A$400,A296,RM_Lots!$D$5:$D$400))+IF(W296="Y",SUMIF(Products!$E$5:$E$300,A296,Products!$G$5:$G$300),0))*(1+N(V296)))</f>
        <v>0</v>
      </c>
      <c r="AB296" s="22" t="n">
        <f aca="false">IF(F296&lt;&gt;"Y",0,((SUMIF(Products!$E$5:$E$300,A296,Products!$K$5:$K$300)+SUMIF(RM_Lots!$A$5:$A$400,A296,RM_Lots!$F$5:$F$400))+IF(W296="Y",SUMIF(Products!$E$5:$E$300,A296,Products!$L$5:$L$300),0))*(1+N(V296)))</f>
        <v>0</v>
      </c>
      <c r="AC296" s="17" t="n">
        <f aca="false">IF(J296="",1,MAX(1,COUNTIFS($J$5:$J$863,J296,$F$5:$F$863,"Y")))</f>
        <v>1</v>
      </c>
      <c r="AD296" s="18" t="n">
        <f aca="false">(MAX(1,N(I296))*(P296+N(S296))+MAX(1,N(I296))*N(K296)/(MAX(1,N(U296))*AC296))*Settings!$B$9</f>
        <v>0</v>
      </c>
      <c r="AE296" s="18" t="n">
        <f aca="false">(MAX(1,N(I296))*N(Q296)+MAX(1,N(I296))*N(L296)/(MAX(1,N(U296))*AC296))*Settings!$B$8</f>
        <v>0</v>
      </c>
      <c r="AF296" s="18" t="n">
        <f aca="false">MAX(1,N(I296))*N(T296)</f>
        <v>0</v>
      </c>
      <c r="AG296" s="15" t="n">
        <f aca="false">AA296*N(AD296)</f>
        <v>0</v>
      </c>
      <c r="AH296" s="15" t="n">
        <f aca="false">AA296*N(AE296)</f>
        <v>0</v>
      </c>
      <c r="AI296" s="15" t="n">
        <f aca="false">AA296*N(AF296)</f>
        <v>0</v>
      </c>
      <c r="AJ296" s="15" t="n">
        <f aca="false">AA296*N(R296)</f>
        <v>0</v>
      </c>
      <c r="AK296" s="15" t="n">
        <f aca="false">AB296*N(AD296)</f>
        <v>0</v>
      </c>
      <c r="AL296" s="15" t="n">
        <f aca="false">AB296*N(AE296)</f>
        <v>0</v>
      </c>
      <c r="AM296" s="15" t="n">
        <f aca="false">AB296*N(AF296)</f>
        <v>0</v>
      </c>
      <c r="AN296" s="15" t="n">
        <f aca="false">AB296*N(R296)</f>
        <v>0</v>
      </c>
      <c r="AO296" s="21" t="str">
        <f aca="false">IF(F296&lt;&gt;"Y","n/a",IF(AND(N296&lt;&gt;"",OR(Q296&lt;&gt;"",G296="Other / bench",G296="None"),U296&lt;&gt;""),"OK","Missing"))</f>
        <v>Missing</v>
      </c>
    </row>
    <row r="297" customFormat="false" ht="15" hidden="false" customHeight="false" outlineLevel="0" collapsed="false">
      <c r="A297" s="10" t="s">
        <v>379</v>
      </c>
      <c r="B297" s="10" t="s">
        <v>659</v>
      </c>
      <c r="C297" s="10" t="s">
        <v>724</v>
      </c>
      <c r="D297" s="10" t="s">
        <v>666</v>
      </c>
      <c r="E297" s="21" t="str">
        <f aca="false">IF(A297="","",A297&amp;"|"&amp;D297)</f>
        <v>F49|Content uniformity</v>
      </c>
      <c r="F297" s="16" t="s">
        <v>662</v>
      </c>
      <c r="G297" s="16" t="s">
        <v>147</v>
      </c>
      <c r="H297" s="16" t="s">
        <v>663</v>
      </c>
      <c r="I297" s="16" t="n">
        <v>1</v>
      </c>
      <c r="J297" s="16"/>
      <c r="K297" s="14"/>
      <c r="L297" s="14"/>
      <c r="M297" s="14"/>
      <c r="N297" s="14"/>
      <c r="O297" s="14"/>
      <c r="P297" s="18" t="n">
        <f aca="false">IF(N297="",0,IF(OR(M297="",O297=""),N297,(M297+4*N297+O297)/6))</f>
        <v>0</v>
      </c>
      <c r="Q297" s="14"/>
      <c r="R297" s="14"/>
      <c r="S297" s="14"/>
      <c r="T297" s="14"/>
      <c r="U297" s="16"/>
      <c r="V297" s="13"/>
      <c r="W297" s="16" t="s">
        <v>667</v>
      </c>
      <c r="X297" s="16"/>
      <c r="Y297" s="16"/>
      <c r="Z297" s="16"/>
      <c r="AA297" s="22" t="n">
        <f aca="false">IF(F297&lt;&gt;"Y",0,((SUMIF(Products!$E$5:$E$300,A297,Products!$F$5:$F$300)+SUMIF(RM_Lots!$A$5:$A$400,A297,RM_Lots!$D$5:$D$400))+IF(W297="Y",SUMIF(Products!$E$5:$E$300,A297,Products!$G$5:$G$300),0))*(1+N(V297)))</f>
        <v>0</v>
      </c>
      <c r="AB297" s="22" t="n">
        <f aca="false">IF(F297&lt;&gt;"Y",0,((SUMIF(Products!$E$5:$E$300,A297,Products!$K$5:$K$300)+SUMIF(RM_Lots!$A$5:$A$400,A297,RM_Lots!$F$5:$F$400))+IF(W297="Y",SUMIF(Products!$E$5:$E$300,A297,Products!$L$5:$L$300),0))*(1+N(V297)))</f>
        <v>0</v>
      </c>
      <c r="AC297" s="17" t="n">
        <f aca="false">IF(J297="",1,MAX(1,COUNTIFS($J$5:$J$863,J297,$F$5:$F$863,"Y")))</f>
        <v>1</v>
      </c>
      <c r="AD297" s="18" t="n">
        <f aca="false">(MAX(1,N(I297))*(P297+N(S297))+MAX(1,N(I297))*N(K297)/(MAX(1,N(U297))*AC297))*Settings!$B$9</f>
        <v>0</v>
      </c>
      <c r="AE297" s="18" t="n">
        <f aca="false">(MAX(1,N(I297))*N(Q297)+MAX(1,N(I297))*N(L297)/(MAX(1,N(U297))*AC297))*Settings!$B$8</f>
        <v>0</v>
      </c>
      <c r="AF297" s="18" t="n">
        <f aca="false">MAX(1,N(I297))*N(T297)</f>
        <v>0</v>
      </c>
      <c r="AG297" s="15" t="n">
        <f aca="false">AA297*N(AD297)</f>
        <v>0</v>
      </c>
      <c r="AH297" s="15" t="n">
        <f aca="false">AA297*N(AE297)</f>
        <v>0</v>
      </c>
      <c r="AI297" s="15" t="n">
        <f aca="false">AA297*N(AF297)</f>
        <v>0</v>
      </c>
      <c r="AJ297" s="15" t="n">
        <f aca="false">AA297*N(R297)</f>
        <v>0</v>
      </c>
      <c r="AK297" s="15" t="n">
        <f aca="false">AB297*N(AD297)</f>
        <v>0</v>
      </c>
      <c r="AL297" s="15" t="n">
        <f aca="false">AB297*N(AE297)</f>
        <v>0</v>
      </c>
      <c r="AM297" s="15" t="n">
        <f aca="false">AB297*N(AF297)</f>
        <v>0</v>
      </c>
      <c r="AN297" s="15" t="n">
        <f aca="false">AB297*N(R297)</f>
        <v>0</v>
      </c>
      <c r="AO297" s="21" t="str">
        <f aca="false">IF(F297&lt;&gt;"Y","n/a",IF(AND(N297&lt;&gt;"",OR(Q297&lt;&gt;"",G297="Other / bench",G297="None"),U297&lt;&gt;""),"OK","Missing"))</f>
        <v>Missing</v>
      </c>
    </row>
    <row r="298" customFormat="false" ht="15" hidden="false" customHeight="false" outlineLevel="0" collapsed="false">
      <c r="A298" s="10" t="s">
        <v>379</v>
      </c>
      <c r="B298" s="10" t="s">
        <v>659</v>
      </c>
      <c r="C298" s="10" t="s">
        <v>724</v>
      </c>
      <c r="D298" s="10" t="s">
        <v>668</v>
      </c>
      <c r="E298" s="21" t="str">
        <f aca="false">IF(A298="","",A298&amp;"|"&amp;D298)</f>
        <v>F49|Identification (if separate from assay)</v>
      </c>
      <c r="F298" s="16" t="s">
        <v>667</v>
      </c>
      <c r="G298" s="16" t="s">
        <v>147</v>
      </c>
      <c r="H298" s="16" t="s">
        <v>663</v>
      </c>
      <c r="I298" s="16" t="n">
        <v>1</v>
      </c>
      <c r="J298" s="16"/>
      <c r="K298" s="14"/>
      <c r="L298" s="14"/>
      <c r="M298" s="14"/>
      <c r="N298" s="14"/>
      <c r="O298" s="14"/>
      <c r="P298" s="18" t="n">
        <f aca="false">IF(N298="",0,IF(OR(M298="",O298=""),N298,(M298+4*N298+O298)/6))</f>
        <v>0</v>
      </c>
      <c r="Q298" s="14"/>
      <c r="R298" s="14"/>
      <c r="S298" s="14"/>
      <c r="T298" s="14"/>
      <c r="U298" s="16"/>
      <c r="V298" s="13"/>
      <c r="W298" s="16" t="s">
        <v>667</v>
      </c>
      <c r="X298" s="16"/>
      <c r="Y298" s="16"/>
      <c r="Z298" s="16"/>
      <c r="AA298" s="22" t="n">
        <f aca="false">IF(F298&lt;&gt;"Y",0,((SUMIF(Products!$E$5:$E$300,A298,Products!$F$5:$F$300)+SUMIF(RM_Lots!$A$5:$A$400,A298,RM_Lots!$D$5:$D$400))+IF(W298="Y",SUMIF(Products!$E$5:$E$300,A298,Products!$G$5:$G$300),0))*(1+N(V298)))</f>
        <v>0</v>
      </c>
      <c r="AB298" s="22" t="n">
        <f aca="false">IF(F298&lt;&gt;"Y",0,((SUMIF(Products!$E$5:$E$300,A298,Products!$K$5:$K$300)+SUMIF(RM_Lots!$A$5:$A$400,A298,RM_Lots!$F$5:$F$400))+IF(W298="Y",SUMIF(Products!$E$5:$E$300,A298,Products!$L$5:$L$300),0))*(1+N(V298)))</f>
        <v>0</v>
      </c>
      <c r="AC298" s="17" t="n">
        <f aca="false">IF(J298="",1,MAX(1,COUNTIFS($J$5:$J$863,J298,$F$5:$F$863,"Y")))</f>
        <v>1</v>
      </c>
      <c r="AD298" s="18" t="n">
        <f aca="false">(MAX(1,N(I298))*(P298+N(S298))+MAX(1,N(I298))*N(K298)/(MAX(1,N(U298))*AC298))*Settings!$B$9</f>
        <v>0</v>
      </c>
      <c r="AE298" s="18" t="n">
        <f aca="false">(MAX(1,N(I298))*N(Q298)+MAX(1,N(I298))*N(L298)/(MAX(1,N(U298))*AC298))*Settings!$B$8</f>
        <v>0</v>
      </c>
      <c r="AF298" s="18" t="n">
        <f aca="false">MAX(1,N(I298))*N(T298)</f>
        <v>0</v>
      </c>
      <c r="AG298" s="15" t="n">
        <f aca="false">AA298*N(AD298)</f>
        <v>0</v>
      </c>
      <c r="AH298" s="15" t="n">
        <f aca="false">AA298*N(AE298)</f>
        <v>0</v>
      </c>
      <c r="AI298" s="15" t="n">
        <f aca="false">AA298*N(AF298)</f>
        <v>0</v>
      </c>
      <c r="AJ298" s="15" t="n">
        <f aca="false">AA298*N(R298)</f>
        <v>0</v>
      </c>
      <c r="AK298" s="15" t="n">
        <f aca="false">AB298*N(AD298)</f>
        <v>0</v>
      </c>
      <c r="AL298" s="15" t="n">
        <f aca="false">AB298*N(AE298)</f>
        <v>0</v>
      </c>
      <c r="AM298" s="15" t="n">
        <f aca="false">AB298*N(AF298)</f>
        <v>0</v>
      </c>
      <c r="AN298" s="15" t="n">
        <f aca="false">AB298*N(R298)</f>
        <v>0</v>
      </c>
      <c r="AO298" s="21" t="str">
        <f aca="false">IF(F298&lt;&gt;"Y","n/a",IF(AND(N298&lt;&gt;"",OR(Q298&lt;&gt;"",G298="Other / bench",G298="None"),U298&lt;&gt;""),"OK","Missing"))</f>
        <v>n/a</v>
      </c>
    </row>
    <row r="299" customFormat="false" ht="15" hidden="false" customHeight="false" outlineLevel="0" collapsed="false">
      <c r="A299" s="10" t="s">
        <v>379</v>
      </c>
      <c r="B299" s="10" t="s">
        <v>659</v>
      </c>
      <c r="C299" s="10" t="s">
        <v>724</v>
      </c>
      <c r="D299" s="10" t="s">
        <v>669</v>
      </c>
      <c r="E299" s="21" t="str">
        <f aca="false">IF(A299="","",A299&amp;"|"&amp;D299)</f>
        <v>F49|Other tests (non-HPLC: physical, LOD/KF, disintegration, pH, micro...)</v>
      </c>
      <c r="F299" s="16" t="s">
        <v>662</v>
      </c>
      <c r="G299" s="16" t="s">
        <v>670</v>
      </c>
      <c r="H299" s="16" t="s">
        <v>663</v>
      </c>
      <c r="I299" s="16" t="n">
        <v>1</v>
      </c>
      <c r="J299" s="16"/>
      <c r="K299" s="14"/>
      <c r="L299" s="14"/>
      <c r="M299" s="14"/>
      <c r="N299" s="14"/>
      <c r="O299" s="14"/>
      <c r="P299" s="18" t="n">
        <f aca="false">IF(N299="",0,IF(OR(M299="",O299=""),N299,(M299+4*N299+O299)/6))</f>
        <v>0</v>
      </c>
      <c r="Q299" s="14"/>
      <c r="R299" s="14"/>
      <c r="S299" s="14"/>
      <c r="T299" s="14"/>
      <c r="U299" s="16"/>
      <c r="V299" s="13"/>
      <c r="W299" s="16" t="s">
        <v>662</v>
      </c>
      <c r="X299" s="16"/>
      <c r="Y299" s="16"/>
      <c r="Z299" s="16"/>
      <c r="AA299" s="22" t="n">
        <f aca="false">IF(F299&lt;&gt;"Y",0,((SUMIF(Products!$E$5:$E$300,A299,Products!$F$5:$F$300)+SUMIF(RM_Lots!$A$5:$A$400,A299,RM_Lots!$D$5:$D$400))+IF(W299="Y",SUMIF(Products!$E$5:$E$300,A299,Products!$G$5:$G$300),0))*(1+N(V299)))</f>
        <v>0</v>
      </c>
      <c r="AB299" s="22" t="n">
        <f aca="false">IF(F299&lt;&gt;"Y",0,((SUMIF(Products!$E$5:$E$300,A299,Products!$K$5:$K$300)+SUMIF(RM_Lots!$A$5:$A$400,A299,RM_Lots!$F$5:$F$400))+IF(W299="Y",SUMIF(Products!$E$5:$E$300,A299,Products!$L$5:$L$300),0))*(1+N(V299)))</f>
        <v>0</v>
      </c>
      <c r="AC299" s="17" t="n">
        <f aca="false">IF(J299="",1,MAX(1,COUNTIFS($J$5:$J$863,J299,$F$5:$F$863,"Y")))</f>
        <v>1</v>
      </c>
      <c r="AD299" s="18" t="n">
        <f aca="false">(MAX(1,N(I299))*(P299+N(S299))+MAX(1,N(I299))*N(K299)/(MAX(1,N(U299))*AC299))*Settings!$B$9</f>
        <v>0</v>
      </c>
      <c r="AE299" s="18" t="n">
        <f aca="false">(MAX(1,N(I299))*N(Q299)+MAX(1,N(I299))*N(L299)/(MAX(1,N(U299))*AC299))*Settings!$B$8</f>
        <v>0</v>
      </c>
      <c r="AF299" s="18" t="n">
        <f aca="false">MAX(1,N(I299))*N(T299)</f>
        <v>0</v>
      </c>
      <c r="AG299" s="15" t="n">
        <f aca="false">AA299*N(AD299)</f>
        <v>0</v>
      </c>
      <c r="AH299" s="15" t="n">
        <f aca="false">AA299*N(AE299)</f>
        <v>0</v>
      </c>
      <c r="AI299" s="15" t="n">
        <f aca="false">AA299*N(AF299)</f>
        <v>0</v>
      </c>
      <c r="AJ299" s="15" t="n">
        <f aca="false">AA299*N(R299)</f>
        <v>0</v>
      </c>
      <c r="AK299" s="15" t="n">
        <f aca="false">AB299*N(AD299)</f>
        <v>0</v>
      </c>
      <c r="AL299" s="15" t="n">
        <f aca="false">AB299*N(AE299)</f>
        <v>0</v>
      </c>
      <c r="AM299" s="15" t="n">
        <f aca="false">AB299*N(AF299)</f>
        <v>0</v>
      </c>
      <c r="AN299" s="15" t="n">
        <f aca="false">AB299*N(R299)</f>
        <v>0</v>
      </c>
      <c r="AO299" s="21" t="str">
        <f aca="false">IF(F299&lt;&gt;"Y","n/a",IF(AND(N299&lt;&gt;"",OR(Q299&lt;&gt;"",G299="Other / bench",G299="None"),U299&lt;&gt;""),"OK","Missing"))</f>
        <v>Missing</v>
      </c>
    </row>
    <row r="300" customFormat="false" ht="15" hidden="false" customHeight="false" outlineLevel="0" collapsed="false">
      <c r="A300" s="10" t="s">
        <v>382</v>
      </c>
      <c r="B300" s="10" t="s">
        <v>659</v>
      </c>
      <c r="C300" s="10" t="s">
        <v>725</v>
      </c>
      <c r="D300" s="10" t="s">
        <v>661</v>
      </c>
      <c r="E300" s="21" t="str">
        <f aca="false">IF(A300="","",A300&amp;"|"&amp;D300)</f>
        <v>F50|Assay</v>
      </c>
      <c r="F300" s="16" t="s">
        <v>662</v>
      </c>
      <c r="G300" s="16" t="s">
        <v>147</v>
      </c>
      <c r="H300" s="16" t="s">
        <v>685</v>
      </c>
      <c r="I300" s="16" t="n">
        <v>1</v>
      </c>
      <c r="J300" s="16"/>
      <c r="K300" s="14"/>
      <c r="L300" s="14"/>
      <c r="M300" s="14"/>
      <c r="N300" s="14"/>
      <c r="O300" s="14"/>
      <c r="P300" s="18" t="n">
        <f aca="false">IF(N300="",0,IF(OR(M300="",O300=""),N300,(M300+4*N300+O300)/6))</f>
        <v>0</v>
      </c>
      <c r="Q300" s="14"/>
      <c r="R300" s="14"/>
      <c r="S300" s="14"/>
      <c r="T300" s="14"/>
      <c r="U300" s="16"/>
      <c r="V300" s="13"/>
      <c r="W300" s="16" t="s">
        <v>662</v>
      </c>
      <c r="X300" s="16"/>
      <c r="Y300" s="16"/>
      <c r="Z300" s="16" t="s">
        <v>693</v>
      </c>
      <c r="AA300" s="22" t="n">
        <f aca="false">IF(F300&lt;&gt;"Y",0,((SUMIF(Products!$E$5:$E$300,A300,Products!$F$5:$F$300)+SUMIF(RM_Lots!$A$5:$A$400,A300,RM_Lots!$D$5:$D$400))+IF(W300="Y",SUMIF(Products!$E$5:$E$300,A300,Products!$G$5:$G$300),0))*(1+N(V300)))</f>
        <v>0</v>
      </c>
      <c r="AB300" s="22" t="n">
        <f aca="false">IF(F300&lt;&gt;"Y",0,((SUMIF(Products!$E$5:$E$300,A300,Products!$K$5:$K$300)+SUMIF(RM_Lots!$A$5:$A$400,A300,RM_Lots!$F$5:$F$400))+IF(W300="Y",SUMIF(Products!$E$5:$E$300,A300,Products!$L$5:$L$300),0))*(1+N(V300)))</f>
        <v>0</v>
      </c>
      <c r="AC300" s="17" t="n">
        <f aca="false">IF(J300="",1,MAX(1,COUNTIFS($J$5:$J$863,J300,$F$5:$F$863,"Y")))</f>
        <v>1</v>
      </c>
      <c r="AD300" s="18" t="n">
        <f aca="false">(MAX(1,N(I300))*(P300+N(S300))+MAX(1,N(I300))*N(K300)/(MAX(1,N(U300))*AC300))*Settings!$B$9</f>
        <v>0</v>
      </c>
      <c r="AE300" s="18" t="n">
        <f aca="false">(MAX(1,N(I300))*N(Q300)+MAX(1,N(I300))*N(L300)/(MAX(1,N(U300))*AC300))*Settings!$B$8</f>
        <v>0</v>
      </c>
      <c r="AF300" s="18" t="n">
        <f aca="false">MAX(1,N(I300))*N(T300)</f>
        <v>0</v>
      </c>
      <c r="AG300" s="15" t="n">
        <f aca="false">AA300*N(AD300)</f>
        <v>0</v>
      </c>
      <c r="AH300" s="15" t="n">
        <f aca="false">AA300*N(AE300)</f>
        <v>0</v>
      </c>
      <c r="AI300" s="15" t="n">
        <f aca="false">AA300*N(AF300)</f>
        <v>0</v>
      </c>
      <c r="AJ300" s="15" t="n">
        <f aca="false">AA300*N(R300)</f>
        <v>0</v>
      </c>
      <c r="AK300" s="15" t="n">
        <f aca="false">AB300*N(AD300)</f>
        <v>0</v>
      </c>
      <c r="AL300" s="15" t="n">
        <f aca="false">AB300*N(AE300)</f>
        <v>0</v>
      </c>
      <c r="AM300" s="15" t="n">
        <f aca="false">AB300*N(AF300)</f>
        <v>0</v>
      </c>
      <c r="AN300" s="15" t="n">
        <f aca="false">AB300*N(R300)</f>
        <v>0</v>
      </c>
      <c r="AO300" s="21" t="str">
        <f aca="false">IF(F300&lt;&gt;"Y","n/a",IF(AND(N300&lt;&gt;"",OR(Q300&lt;&gt;"",G300="Other / bench",G300="None"),U300&lt;&gt;""),"OK","Missing"))</f>
        <v>Missing</v>
      </c>
    </row>
    <row r="301" customFormat="false" ht="15" hidden="false" customHeight="false" outlineLevel="0" collapsed="false">
      <c r="A301" s="10" t="s">
        <v>382</v>
      </c>
      <c r="B301" s="10" t="s">
        <v>659</v>
      </c>
      <c r="C301" s="10" t="s">
        <v>725</v>
      </c>
      <c r="D301" s="10" t="s">
        <v>664</v>
      </c>
      <c r="E301" s="21" t="str">
        <f aca="false">IF(A301="","",A301&amp;"|"&amp;D301)</f>
        <v>F50|Related substances / impurities</v>
      </c>
      <c r="F301" s="16" t="s">
        <v>667</v>
      </c>
      <c r="G301" s="16" t="s">
        <v>147</v>
      </c>
      <c r="H301" s="16" t="s">
        <v>685</v>
      </c>
      <c r="I301" s="16" t="n">
        <v>1</v>
      </c>
      <c r="J301" s="16"/>
      <c r="K301" s="14"/>
      <c r="L301" s="14"/>
      <c r="M301" s="14"/>
      <c r="N301" s="14"/>
      <c r="O301" s="14"/>
      <c r="P301" s="18" t="n">
        <f aca="false">IF(N301="",0,IF(OR(M301="",O301=""),N301,(M301+4*N301+O301)/6))</f>
        <v>0</v>
      </c>
      <c r="Q301" s="14"/>
      <c r="R301" s="14"/>
      <c r="S301" s="14"/>
      <c r="T301" s="14"/>
      <c r="U301" s="16"/>
      <c r="V301" s="13"/>
      <c r="W301" s="16" t="s">
        <v>662</v>
      </c>
      <c r="X301" s="16"/>
      <c r="Y301" s="16"/>
      <c r="Z301" s="16"/>
      <c r="AA301" s="22" t="n">
        <f aca="false">IF(F301&lt;&gt;"Y",0,((SUMIF(Products!$E$5:$E$300,A301,Products!$F$5:$F$300)+SUMIF(RM_Lots!$A$5:$A$400,A301,RM_Lots!$D$5:$D$400))+IF(W301="Y",SUMIF(Products!$E$5:$E$300,A301,Products!$G$5:$G$300),0))*(1+N(V301)))</f>
        <v>0</v>
      </c>
      <c r="AB301" s="22" t="n">
        <f aca="false">IF(F301&lt;&gt;"Y",0,((SUMIF(Products!$E$5:$E$300,A301,Products!$K$5:$K$300)+SUMIF(RM_Lots!$A$5:$A$400,A301,RM_Lots!$F$5:$F$400))+IF(W301="Y",SUMIF(Products!$E$5:$E$300,A301,Products!$L$5:$L$300),0))*(1+N(V301)))</f>
        <v>0</v>
      </c>
      <c r="AC301" s="17" t="n">
        <f aca="false">IF(J301="",1,MAX(1,COUNTIFS($J$5:$J$863,J301,$F$5:$F$863,"Y")))</f>
        <v>1</v>
      </c>
      <c r="AD301" s="18" t="n">
        <f aca="false">(MAX(1,N(I301))*(P301+N(S301))+MAX(1,N(I301))*N(K301)/(MAX(1,N(U301))*AC301))*Settings!$B$9</f>
        <v>0</v>
      </c>
      <c r="AE301" s="18" t="n">
        <f aca="false">(MAX(1,N(I301))*N(Q301)+MAX(1,N(I301))*N(L301)/(MAX(1,N(U301))*AC301))*Settings!$B$8</f>
        <v>0</v>
      </c>
      <c r="AF301" s="18" t="n">
        <f aca="false">MAX(1,N(I301))*N(T301)</f>
        <v>0</v>
      </c>
      <c r="AG301" s="15" t="n">
        <f aca="false">AA301*N(AD301)</f>
        <v>0</v>
      </c>
      <c r="AH301" s="15" t="n">
        <f aca="false">AA301*N(AE301)</f>
        <v>0</v>
      </c>
      <c r="AI301" s="15" t="n">
        <f aca="false">AA301*N(AF301)</f>
        <v>0</v>
      </c>
      <c r="AJ301" s="15" t="n">
        <f aca="false">AA301*N(R301)</f>
        <v>0</v>
      </c>
      <c r="AK301" s="15" t="n">
        <f aca="false">AB301*N(AD301)</f>
        <v>0</v>
      </c>
      <c r="AL301" s="15" t="n">
        <f aca="false">AB301*N(AE301)</f>
        <v>0</v>
      </c>
      <c r="AM301" s="15" t="n">
        <f aca="false">AB301*N(AF301)</f>
        <v>0</v>
      </c>
      <c r="AN301" s="15" t="n">
        <f aca="false">AB301*N(R301)</f>
        <v>0</v>
      </c>
      <c r="AO301" s="21" t="str">
        <f aca="false">IF(F301&lt;&gt;"Y","n/a",IF(AND(N301&lt;&gt;"",OR(Q301&lt;&gt;"",G301="Other / bench",G301="None"),U301&lt;&gt;""),"OK","Missing"))</f>
        <v>n/a</v>
      </c>
    </row>
    <row r="302" customFormat="false" ht="15" hidden="false" customHeight="false" outlineLevel="0" collapsed="false">
      <c r="A302" s="10" t="s">
        <v>382</v>
      </c>
      <c r="B302" s="10" t="s">
        <v>659</v>
      </c>
      <c r="C302" s="10" t="s">
        <v>725</v>
      </c>
      <c r="D302" s="10" t="s">
        <v>665</v>
      </c>
      <c r="E302" s="21" t="str">
        <f aca="false">IF(A302="","",A302&amp;"|"&amp;D302)</f>
        <v>F50|Dissolution</v>
      </c>
      <c r="F302" s="16" t="s">
        <v>662</v>
      </c>
      <c r="G302" s="16" t="s">
        <v>147</v>
      </c>
      <c r="H302" s="16" t="s">
        <v>685</v>
      </c>
      <c r="I302" s="16" t="n">
        <v>1</v>
      </c>
      <c r="J302" s="16"/>
      <c r="K302" s="14"/>
      <c r="L302" s="14"/>
      <c r="M302" s="14"/>
      <c r="N302" s="14"/>
      <c r="O302" s="14"/>
      <c r="P302" s="18" t="n">
        <f aca="false">IF(N302="",0,IF(OR(M302="",O302=""),N302,(M302+4*N302+O302)/6))</f>
        <v>0</v>
      </c>
      <c r="Q302" s="14"/>
      <c r="R302" s="14"/>
      <c r="S302" s="14"/>
      <c r="T302" s="14"/>
      <c r="U302" s="16"/>
      <c r="V302" s="13"/>
      <c r="W302" s="16" t="s">
        <v>662</v>
      </c>
      <c r="X302" s="16"/>
      <c r="Y302" s="16"/>
      <c r="Z302" s="16"/>
      <c r="AA302" s="22" t="n">
        <f aca="false">IF(F302&lt;&gt;"Y",0,((SUMIF(Products!$E$5:$E$300,A302,Products!$F$5:$F$300)+SUMIF(RM_Lots!$A$5:$A$400,A302,RM_Lots!$D$5:$D$400))+IF(W302="Y",SUMIF(Products!$E$5:$E$300,A302,Products!$G$5:$G$300),0))*(1+N(V302)))</f>
        <v>0</v>
      </c>
      <c r="AB302" s="22" t="n">
        <f aca="false">IF(F302&lt;&gt;"Y",0,((SUMIF(Products!$E$5:$E$300,A302,Products!$K$5:$K$300)+SUMIF(RM_Lots!$A$5:$A$400,A302,RM_Lots!$F$5:$F$400))+IF(W302="Y",SUMIF(Products!$E$5:$E$300,A302,Products!$L$5:$L$300),0))*(1+N(V302)))</f>
        <v>0</v>
      </c>
      <c r="AC302" s="17" t="n">
        <f aca="false">IF(J302="",1,MAX(1,COUNTIFS($J$5:$J$863,J302,$F$5:$F$863,"Y")))</f>
        <v>1</v>
      </c>
      <c r="AD302" s="18" t="n">
        <f aca="false">(MAX(1,N(I302))*(P302+N(S302))+MAX(1,N(I302))*N(K302)/(MAX(1,N(U302))*AC302))*Settings!$B$9</f>
        <v>0</v>
      </c>
      <c r="AE302" s="18" t="n">
        <f aca="false">(MAX(1,N(I302))*N(Q302)+MAX(1,N(I302))*N(L302)/(MAX(1,N(U302))*AC302))*Settings!$B$8</f>
        <v>0</v>
      </c>
      <c r="AF302" s="18" t="n">
        <f aca="false">MAX(1,N(I302))*N(T302)</f>
        <v>0</v>
      </c>
      <c r="AG302" s="15" t="n">
        <f aca="false">AA302*N(AD302)</f>
        <v>0</v>
      </c>
      <c r="AH302" s="15" t="n">
        <f aca="false">AA302*N(AE302)</f>
        <v>0</v>
      </c>
      <c r="AI302" s="15" t="n">
        <f aca="false">AA302*N(AF302)</f>
        <v>0</v>
      </c>
      <c r="AJ302" s="15" t="n">
        <f aca="false">AA302*N(R302)</f>
        <v>0</v>
      </c>
      <c r="AK302" s="15" t="n">
        <f aca="false">AB302*N(AD302)</f>
        <v>0</v>
      </c>
      <c r="AL302" s="15" t="n">
        <f aca="false">AB302*N(AE302)</f>
        <v>0</v>
      </c>
      <c r="AM302" s="15" t="n">
        <f aca="false">AB302*N(AF302)</f>
        <v>0</v>
      </c>
      <c r="AN302" s="15" t="n">
        <f aca="false">AB302*N(R302)</f>
        <v>0</v>
      </c>
      <c r="AO302" s="21" t="str">
        <f aca="false">IF(F302&lt;&gt;"Y","n/a",IF(AND(N302&lt;&gt;"",OR(Q302&lt;&gt;"",G302="Other / bench",G302="None"),U302&lt;&gt;""),"OK","Missing"))</f>
        <v>Missing</v>
      </c>
    </row>
    <row r="303" customFormat="false" ht="15" hidden="false" customHeight="false" outlineLevel="0" collapsed="false">
      <c r="A303" s="10" t="s">
        <v>382</v>
      </c>
      <c r="B303" s="10" t="s">
        <v>659</v>
      </c>
      <c r="C303" s="10" t="s">
        <v>725</v>
      </c>
      <c r="D303" s="10" t="s">
        <v>666</v>
      </c>
      <c r="E303" s="21" t="str">
        <f aca="false">IF(A303="","",A303&amp;"|"&amp;D303)</f>
        <v>F50|Content uniformity</v>
      </c>
      <c r="F303" s="16" t="s">
        <v>667</v>
      </c>
      <c r="G303" s="16" t="s">
        <v>147</v>
      </c>
      <c r="H303" s="16" t="s">
        <v>685</v>
      </c>
      <c r="I303" s="16" t="n">
        <v>1</v>
      </c>
      <c r="J303" s="16"/>
      <c r="K303" s="14"/>
      <c r="L303" s="14"/>
      <c r="M303" s="14"/>
      <c r="N303" s="14"/>
      <c r="O303" s="14"/>
      <c r="P303" s="18" t="n">
        <f aca="false">IF(N303="",0,IF(OR(M303="",O303=""),N303,(M303+4*N303+O303)/6))</f>
        <v>0</v>
      </c>
      <c r="Q303" s="14"/>
      <c r="R303" s="14"/>
      <c r="S303" s="14"/>
      <c r="T303" s="14"/>
      <c r="U303" s="16"/>
      <c r="V303" s="13"/>
      <c r="W303" s="16" t="s">
        <v>667</v>
      </c>
      <c r="X303" s="16"/>
      <c r="Y303" s="16"/>
      <c r="Z303" s="16"/>
      <c r="AA303" s="22" t="n">
        <f aca="false">IF(F303&lt;&gt;"Y",0,((SUMIF(Products!$E$5:$E$300,A303,Products!$F$5:$F$300)+SUMIF(RM_Lots!$A$5:$A$400,A303,RM_Lots!$D$5:$D$400))+IF(W303="Y",SUMIF(Products!$E$5:$E$300,A303,Products!$G$5:$G$300),0))*(1+N(V303)))</f>
        <v>0</v>
      </c>
      <c r="AB303" s="22" t="n">
        <f aca="false">IF(F303&lt;&gt;"Y",0,((SUMIF(Products!$E$5:$E$300,A303,Products!$K$5:$K$300)+SUMIF(RM_Lots!$A$5:$A$400,A303,RM_Lots!$F$5:$F$400))+IF(W303="Y",SUMIF(Products!$E$5:$E$300,A303,Products!$L$5:$L$300),0))*(1+N(V303)))</f>
        <v>0</v>
      </c>
      <c r="AC303" s="17" t="n">
        <f aca="false">IF(J303="",1,MAX(1,COUNTIFS($J$5:$J$863,J303,$F$5:$F$863,"Y")))</f>
        <v>1</v>
      </c>
      <c r="AD303" s="18" t="n">
        <f aca="false">(MAX(1,N(I303))*(P303+N(S303))+MAX(1,N(I303))*N(K303)/(MAX(1,N(U303))*AC303))*Settings!$B$9</f>
        <v>0</v>
      </c>
      <c r="AE303" s="18" t="n">
        <f aca="false">(MAX(1,N(I303))*N(Q303)+MAX(1,N(I303))*N(L303)/(MAX(1,N(U303))*AC303))*Settings!$B$8</f>
        <v>0</v>
      </c>
      <c r="AF303" s="18" t="n">
        <f aca="false">MAX(1,N(I303))*N(T303)</f>
        <v>0</v>
      </c>
      <c r="AG303" s="15" t="n">
        <f aca="false">AA303*N(AD303)</f>
        <v>0</v>
      </c>
      <c r="AH303" s="15" t="n">
        <f aca="false">AA303*N(AE303)</f>
        <v>0</v>
      </c>
      <c r="AI303" s="15" t="n">
        <f aca="false">AA303*N(AF303)</f>
        <v>0</v>
      </c>
      <c r="AJ303" s="15" t="n">
        <f aca="false">AA303*N(R303)</f>
        <v>0</v>
      </c>
      <c r="AK303" s="15" t="n">
        <f aca="false">AB303*N(AD303)</f>
        <v>0</v>
      </c>
      <c r="AL303" s="15" t="n">
        <f aca="false">AB303*N(AE303)</f>
        <v>0</v>
      </c>
      <c r="AM303" s="15" t="n">
        <f aca="false">AB303*N(AF303)</f>
        <v>0</v>
      </c>
      <c r="AN303" s="15" t="n">
        <f aca="false">AB303*N(R303)</f>
        <v>0</v>
      </c>
      <c r="AO303" s="21" t="str">
        <f aca="false">IF(F303&lt;&gt;"Y","n/a",IF(AND(N303&lt;&gt;"",OR(Q303&lt;&gt;"",G303="Other / bench",G303="None"),U303&lt;&gt;""),"OK","Missing"))</f>
        <v>n/a</v>
      </c>
    </row>
    <row r="304" customFormat="false" ht="15" hidden="false" customHeight="false" outlineLevel="0" collapsed="false">
      <c r="A304" s="10" t="s">
        <v>382</v>
      </c>
      <c r="B304" s="10" t="s">
        <v>659</v>
      </c>
      <c r="C304" s="10" t="s">
        <v>725</v>
      </c>
      <c r="D304" s="10" t="s">
        <v>668</v>
      </c>
      <c r="E304" s="21" t="str">
        <f aca="false">IF(A304="","",A304&amp;"|"&amp;D304)</f>
        <v>F50|Identification (if separate from assay)</v>
      </c>
      <c r="F304" s="16" t="s">
        <v>667</v>
      </c>
      <c r="G304" s="16" t="s">
        <v>147</v>
      </c>
      <c r="H304" s="16" t="s">
        <v>685</v>
      </c>
      <c r="I304" s="16" t="n">
        <v>1</v>
      </c>
      <c r="J304" s="16"/>
      <c r="K304" s="14"/>
      <c r="L304" s="14"/>
      <c r="M304" s="14"/>
      <c r="N304" s="14"/>
      <c r="O304" s="14"/>
      <c r="P304" s="18" t="n">
        <f aca="false">IF(N304="",0,IF(OR(M304="",O304=""),N304,(M304+4*N304+O304)/6))</f>
        <v>0</v>
      </c>
      <c r="Q304" s="14"/>
      <c r="R304" s="14"/>
      <c r="S304" s="14"/>
      <c r="T304" s="14"/>
      <c r="U304" s="16"/>
      <c r="V304" s="13"/>
      <c r="W304" s="16" t="s">
        <v>667</v>
      </c>
      <c r="X304" s="16"/>
      <c r="Y304" s="16"/>
      <c r="Z304" s="16"/>
      <c r="AA304" s="22" t="n">
        <f aca="false">IF(F304&lt;&gt;"Y",0,((SUMIF(Products!$E$5:$E$300,A304,Products!$F$5:$F$300)+SUMIF(RM_Lots!$A$5:$A$400,A304,RM_Lots!$D$5:$D$400))+IF(W304="Y",SUMIF(Products!$E$5:$E$300,A304,Products!$G$5:$G$300),0))*(1+N(V304)))</f>
        <v>0</v>
      </c>
      <c r="AB304" s="22" t="n">
        <f aca="false">IF(F304&lt;&gt;"Y",0,((SUMIF(Products!$E$5:$E$300,A304,Products!$K$5:$K$300)+SUMIF(RM_Lots!$A$5:$A$400,A304,RM_Lots!$F$5:$F$400))+IF(W304="Y",SUMIF(Products!$E$5:$E$300,A304,Products!$L$5:$L$300),0))*(1+N(V304)))</f>
        <v>0</v>
      </c>
      <c r="AC304" s="17" t="n">
        <f aca="false">IF(J304="",1,MAX(1,COUNTIFS($J$5:$J$863,J304,$F$5:$F$863,"Y")))</f>
        <v>1</v>
      </c>
      <c r="AD304" s="18" t="n">
        <f aca="false">(MAX(1,N(I304))*(P304+N(S304))+MAX(1,N(I304))*N(K304)/(MAX(1,N(U304))*AC304))*Settings!$B$9</f>
        <v>0</v>
      </c>
      <c r="AE304" s="18" t="n">
        <f aca="false">(MAX(1,N(I304))*N(Q304)+MAX(1,N(I304))*N(L304)/(MAX(1,N(U304))*AC304))*Settings!$B$8</f>
        <v>0</v>
      </c>
      <c r="AF304" s="18" t="n">
        <f aca="false">MAX(1,N(I304))*N(T304)</f>
        <v>0</v>
      </c>
      <c r="AG304" s="15" t="n">
        <f aca="false">AA304*N(AD304)</f>
        <v>0</v>
      </c>
      <c r="AH304" s="15" t="n">
        <f aca="false">AA304*N(AE304)</f>
        <v>0</v>
      </c>
      <c r="AI304" s="15" t="n">
        <f aca="false">AA304*N(AF304)</f>
        <v>0</v>
      </c>
      <c r="AJ304" s="15" t="n">
        <f aca="false">AA304*N(R304)</f>
        <v>0</v>
      </c>
      <c r="AK304" s="15" t="n">
        <f aca="false">AB304*N(AD304)</f>
        <v>0</v>
      </c>
      <c r="AL304" s="15" t="n">
        <f aca="false">AB304*N(AE304)</f>
        <v>0</v>
      </c>
      <c r="AM304" s="15" t="n">
        <f aca="false">AB304*N(AF304)</f>
        <v>0</v>
      </c>
      <c r="AN304" s="15" t="n">
        <f aca="false">AB304*N(R304)</f>
        <v>0</v>
      </c>
      <c r="AO304" s="21" t="str">
        <f aca="false">IF(F304&lt;&gt;"Y","n/a",IF(AND(N304&lt;&gt;"",OR(Q304&lt;&gt;"",G304="Other / bench",G304="None"),U304&lt;&gt;""),"OK","Missing"))</f>
        <v>n/a</v>
      </c>
    </row>
    <row r="305" customFormat="false" ht="15" hidden="false" customHeight="false" outlineLevel="0" collapsed="false">
      <c r="A305" s="10" t="s">
        <v>382</v>
      </c>
      <c r="B305" s="10" t="s">
        <v>659</v>
      </c>
      <c r="C305" s="10" t="s">
        <v>725</v>
      </c>
      <c r="D305" s="10" t="s">
        <v>669</v>
      </c>
      <c r="E305" s="21" t="str">
        <f aca="false">IF(A305="","",A305&amp;"|"&amp;D305)</f>
        <v>F50|Other tests (non-HPLC: physical, LOD/KF, disintegration, pH, micro...)</v>
      </c>
      <c r="F305" s="16" t="s">
        <v>662</v>
      </c>
      <c r="G305" s="16" t="s">
        <v>670</v>
      </c>
      <c r="H305" s="16" t="s">
        <v>685</v>
      </c>
      <c r="I305" s="16" t="n">
        <v>1</v>
      </c>
      <c r="J305" s="16"/>
      <c r="K305" s="14"/>
      <c r="L305" s="14"/>
      <c r="M305" s="14"/>
      <c r="N305" s="14"/>
      <c r="O305" s="14"/>
      <c r="P305" s="18" t="n">
        <f aca="false">IF(N305="",0,IF(OR(M305="",O305=""),N305,(M305+4*N305+O305)/6))</f>
        <v>0</v>
      </c>
      <c r="Q305" s="14"/>
      <c r="R305" s="14"/>
      <c r="S305" s="14"/>
      <c r="T305" s="14"/>
      <c r="U305" s="16"/>
      <c r="V305" s="13"/>
      <c r="W305" s="16" t="s">
        <v>662</v>
      </c>
      <c r="X305" s="16"/>
      <c r="Y305" s="16"/>
      <c r="Z305" s="16"/>
      <c r="AA305" s="22" t="n">
        <f aca="false">IF(F305&lt;&gt;"Y",0,((SUMIF(Products!$E$5:$E$300,A305,Products!$F$5:$F$300)+SUMIF(RM_Lots!$A$5:$A$400,A305,RM_Lots!$D$5:$D$400))+IF(W305="Y",SUMIF(Products!$E$5:$E$300,A305,Products!$G$5:$G$300),0))*(1+N(V305)))</f>
        <v>0</v>
      </c>
      <c r="AB305" s="22" t="n">
        <f aca="false">IF(F305&lt;&gt;"Y",0,((SUMIF(Products!$E$5:$E$300,A305,Products!$K$5:$K$300)+SUMIF(RM_Lots!$A$5:$A$400,A305,RM_Lots!$F$5:$F$400))+IF(W305="Y",SUMIF(Products!$E$5:$E$300,A305,Products!$L$5:$L$300),0))*(1+N(V305)))</f>
        <v>0</v>
      </c>
      <c r="AC305" s="17" t="n">
        <f aca="false">IF(J305="",1,MAX(1,COUNTIFS($J$5:$J$863,J305,$F$5:$F$863,"Y")))</f>
        <v>1</v>
      </c>
      <c r="AD305" s="18" t="n">
        <f aca="false">(MAX(1,N(I305))*(P305+N(S305))+MAX(1,N(I305))*N(K305)/(MAX(1,N(U305))*AC305))*Settings!$B$9</f>
        <v>0</v>
      </c>
      <c r="AE305" s="18" t="n">
        <f aca="false">(MAX(1,N(I305))*N(Q305)+MAX(1,N(I305))*N(L305)/(MAX(1,N(U305))*AC305))*Settings!$B$8</f>
        <v>0</v>
      </c>
      <c r="AF305" s="18" t="n">
        <f aca="false">MAX(1,N(I305))*N(T305)</f>
        <v>0</v>
      </c>
      <c r="AG305" s="15" t="n">
        <f aca="false">AA305*N(AD305)</f>
        <v>0</v>
      </c>
      <c r="AH305" s="15" t="n">
        <f aca="false">AA305*N(AE305)</f>
        <v>0</v>
      </c>
      <c r="AI305" s="15" t="n">
        <f aca="false">AA305*N(AF305)</f>
        <v>0</v>
      </c>
      <c r="AJ305" s="15" t="n">
        <f aca="false">AA305*N(R305)</f>
        <v>0</v>
      </c>
      <c r="AK305" s="15" t="n">
        <f aca="false">AB305*N(AD305)</f>
        <v>0</v>
      </c>
      <c r="AL305" s="15" t="n">
        <f aca="false">AB305*N(AE305)</f>
        <v>0</v>
      </c>
      <c r="AM305" s="15" t="n">
        <f aca="false">AB305*N(AF305)</f>
        <v>0</v>
      </c>
      <c r="AN305" s="15" t="n">
        <f aca="false">AB305*N(R305)</f>
        <v>0</v>
      </c>
      <c r="AO305" s="21" t="str">
        <f aca="false">IF(F305&lt;&gt;"Y","n/a",IF(AND(N305&lt;&gt;"",OR(Q305&lt;&gt;"",G305="Other / bench",G305="None"),U305&lt;&gt;""),"OK","Missing"))</f>
        <v>Missing</v>
      </c>
    </row>
    <row r="306" customFormat="false" ht="15" hidden="false" customHeight="false" outlineLevel="0" collapsed="false">
      <c r="A306" s="10" t="s">
        <v>385</v>
      </c>
      <c r="B306" s="10" t="s">
        <v>659</v>
      </c>
      <c r="C306" s="10" t="s">
        <v>726</v>
      </c>
      <c r="D306" s="10" t="s">
        <v>661</v>
      </c>
      <c r="E306" s="21" t="str">
        <f aca="false">IF(A306="","",A306&amp;"|"&amp;D306)</f>
        <v>F51|Assay</v>
      </c>
      <c r="F306" s="16" t="s">
        <v>662</v>
      </c>
      <c r="G306" s="16" t="s">
        <v>147</v>
      </c>
      <c r="H306" s="16" t="s">
        <v>685</v>
      </c>
      <c r="I306" s="16" t="n">
        <v>1</v>
      </c>
      <c r="J306" s="16"/>
      <c r="K306" s="14"/>
      <c r="L306" s="14"/>
      <c r="M306" s="14"/>
      <c r="N306" s="14"/>
      <c r="O306" s="14"/>
      <c r="P306" s="18" t="n">
        <f aca="false">IF(N306="",0,IF(OR(M306="",O306=""),N306,(M306+4*N306+O306)/6))</f>
        <v>0</v>
      </c>
      <c r="Q306" s="14"/>
      <c r="R306" s="14"/>
      <c r="S306" s="14"/>
      <c r="T306" s="14"/>
      <c r="U306" s="16"/>
      <c r="V306" s="13"/>
      <c r="W306" s="16" t="s">
        <v>662</v>
      </c>
      <c r="X306" s="16"/>
      <c r="Y306" s="16"/>
      <c r="Z306" s="16" t="s">
        <v>693</v>
      </c>
      <c r="AA306" s="22" t="n">
        <f aca="false">IF(F306&lt;&gt;"Y",0,((SUMIF(Products!$E$5:$E$300,A306,Products!$F$5:$F$300)+SUMIF(RM_Lots!$A$5:$A$400,A306,RM_Lots!$D$5:$D$400))+IF(W306="Y",SUMIF(Products!$E$5:$E$300,A306,Products!$G$5:$G$300),0))*(1+N(V306)))</f>
        <v>0</v>
      </c>
      <c r="AB306" s="22" t="n">
        <f aca="false">IF(F306&lt;&gt;"Y",0,((SUMIF(Products!$E$5:$E$300,A306,Products!$K$5:$K$300)+SUMIF(RM_Lots!$A$5:$A$400,A306,RM_Lots!$F$5:$F$400))+IF(W306="Y",SUMIF(Products!$E$5:$E$300,A306,Products!$L$5:$L$300),0))*(1+N(V306)))</f>
        <v>0</v>
      </c>
      <c r="AC306" s="17" t="n">
        <f aca="false">IF(J306="",1,MAX(1,COUNTIFS($J$5:$J$863,J306,$F$5:$F$863,"Y")))</f>
        <v>1</v>
      </c>
      <c r="AD306" s="18" t="n">
        <f aca="false">(MAX(1,N(I306))*(P306+N(S306))+MAX(1,N(I306))*N(K306)/(MAX(1,N(U306))*AC306))*Settings!$B$9</f>
        <v>0</v>
      </c>
      <c r="AE306" s="18" t="n">
        <f aca="false">(MAX(1,N(I306))*N(Q306)+MAX(1,N(I306))*N(L306)/(MAX(1,N(U306))*AC306))*Settings!$B$8</f>
        <v>0</v>
      </c>
      <c r="AF306" s="18" t="n">
        <f aca="false">MAX(1,N(I306))*N(T306)</f>
        <v>0</v>
      </c>
      <c r="AG306" s="15" t="n">
        <f aca="false">AA306*N(AD306)</f>
        <v>0</v>
      </c>
      <c r="AH306" s="15" t="n">
        <f aca="false">AA306*N(AE306)</f>
        <v>0</v>
      </c>
      <c r="AI306" s="15" t="n">
        <f aca="false">AA306*N(AF306)</f>
        <v>0</v>
      </c>
      <c r="AJ306" s="15" t="n">
        <f aca="false">AA306*N(R306)</f>
        <v>0</v>
      </c>
      <c r="AK306" s="15" t="n">
        <f aca="false">AB306*N(AD306)</f>
        <v>0</v>
      </c>
      <c r="AL306" s="15" t="n">
        <f aca="false">AB306*N(AE306)</f>
        <v>0</v>
      </c>
      <c r="AM306" s="15" t="n">
        <f aca="false">AB306*N(AF306)</f>
        <v>0</v>
      </c>
      <c r="AN306" s="15" t="n">
        <f aca="false">AB306*N(R306)</f>
        <v>0</v>
      </c>
      <c r="AO306" s="21" t="str">
        <f aca="false">IF(F306&lt;&gt;"Y","n/a",IF(AND(N306&lt;&gt;"",OR(Q306&lt;&gt;"",G306="Other / bench",G306="None"),U306&lt;&gt;""),"OK","Missing"))</f>
        <v>Missing</v>
      </c>
    </row>
    <row r="307" customFormat="false" ht="15" hidden="false" customHeight="false" outlineLevel="0" collapsed="false">
      <c r="A307" s="10" t="s">
        <v>385</v>
      </c>
      <c r="B307" s="10" t="s">
        <v>659</v>
      </c>
      <c r="C307" s="10" t="s">
        <v>726</v>
      </c>
      <c r="D307" s="10" t="s">
        <v>664</v>
      </c>
      <c r="E307" s="21" t="str">
        <f aca="false">IF(A307="","",A307&amp;"|"&amp;D307)</f>
        <v>F51|Related substances / impurities</v>
      </c>
      <c r="F307" s="16" t="s">
        <v>667</v>
      </c>
      <c r="G307" s="16" t="s">
        <v>147</v>
      </c>
      <c r="H307" s="16" t="s">
        <v>685</v>
      </c>
      <c r="I307" s="16" t="n">
        <v>1</v>
      </c>
      <c r="J307" s="16"/>
      <c r="K307" s="14"/>
      <c r="L307" s="14"/>
      <c r="M307" s="14"/>
      <c r="N307" s="14"/>
      <c r="O307" s="14"/>
      <c r="P307" s="18" t="n">
        <f aca="false">IF(N307="",0,IF(OR(M307="",O307=""),N307,(M307+4*N307+O307)/6))</f>
        <v>0</v>
      </c>
      <c r="Q307" s="14"/>
      <c r="R307" s="14"/>
      <c r="S307" s="14"/>
      <c r="T307" s="14"/>
      <c r="U307" s="16"/>
      <c r="V307" s="13"/>
      <c r="W307" s="16" t="s">
        <v>662</v>
      </c>
      <c r="X307" s="16"/>
      <c r="Y307" s="16"/>
      <c r="Z307" s="16"/>
      <c r="AA307" s="22" t="n">
        <f aca="false">IF(F307&lt;&gt;"Y",0,((SUMIF(Products!$E$5:$E$300,A307,Products!$F$5:$F$300)+SUMIF(RM_Lots!$A$5:$A$400,A307,RM_Lots!$D$5:$D$400))+IF(W307="Y",SUMIF(Products!$E$5:$E$300,A307,Products!$G$5:$G$300),0))*(1+N(V307)))</f>
        <v>0</v>
      </c>
      <c r="AB307" s="22" t="n">
        <f aca="false">IF(F307&lt;&gt;"Y",0,((SUMIF(Products!$E$5:$E$300,A307,Products!$K$5:$K$300)+SUMIF(RM_Lots!$A$5:$A$400,A307,RM_Lots!$F$5:$F$400))+IF(W307="Y",SUMIF(Products!$E$5:$E$300,A307,Products!$L$5:$L$300),0))*(1+N(V307)))</f>
        <v>0</v>
      </c>
      <c r="AC307" s="17" t="n">
        <f aca="false">IF(J307="",1,MAX(1,COUNTIFS($J$5:$J$863,J307,$F$5:$F$863,"Y")))</f>
        <v>1</v>
      </c>
      <c r="AD307" s="18" t="n">
        <f aca="false">(MAX(1,N(I307))*(P307+N(S307))+MAX(1,N(I307))*N(K307)/(MAX(1,N(U307))*AC307))*Settings!$B$9</f>
        <v>0</v>
      </c>
      <c r="AE307" s="18" t="n">
        <f aca="false">(MAX(1,N(I307))*N(Q307)+MAX(1,N(I307))*N(L307)/(MAX(1,N(U307))*AC307))*Settings!$B$8</f>
        <v>0</v>
      </c>
      <c r="AF307" s="18" t="n">
        <f aca="false">MAX(1,N(I307))*N(T307)</f>
        <v>0</v>
      </c>
      <c r="AG307" s="15" t="n">
        <f aca="false">AA307*N(AD307)</f>
        <v>0</v>
      </c>
      <c r="AH307" s="15" t="n">
        <f aca="false">AA307*N(AE307)</f>
        <v>0</v>
      </c>
      <c r="AI307" s="15" t="n">
        <f aca="false">AA307*N(AF307)</f>
        <v>0</v>
      </c>
      <c r="AJ307" s="15" t="n">
        <f aca="false">AA307*N(R307)</f>
        <v>0</v>
      </c>
      <c r="AK307" s="15" t="n">
        <f aca="false">AB307*N(AD307)</f>
        <v>0</v>
      </c>
      <c r="AL307" s="15" t="n">
        <f aca="false">AB307*N(AE307)</f>
        <v>0</v>
      </c>
      <c r="AM307" s="15" t="n">
        <f aca="false">AB307*N(AF307)</f>
        <v>0</v>
      </c>
      <c r="AN307" s="15" t="n">
        <f aca="false">AB307*N(R307)</f>
        <v>0</v>
      </c>
      <c r="AO307" s="21" t="str">
        <f aca="false">IF(F307&lt;&gt;"Y","n/a",IF(AND(N307&lt;&gt;"",OR(Q307&lt;&gt;"",G307="Other / bench",G307="None"),U307&lt;&gt;""),"OK","Missing"))</f>
        <v>n/a</v>
      </c>
    </row>
    <row r="308" customFormat="false" ht="15" hidden="false" customHeight="false" outlineLevel="0" collapsed="false">
      <c r="A308" s="10" t="s">
        <v>385</v>
      </c>
      <c r="B308" s="10" t="s">
        <v>659</v>
      </c>
      <c r="C308" s="10" t="s">
        <v>726</v>
      </c>
      <c r="D308" s="10" t="s">
        <v>665</v>
      </c>
      <c r="E308" s="21" t="str">
        <f aca="false">IF(A308="","",A308&amp;"|"&amp;D308)</f>
        <v>F51|Dissolution</v>
      </c>
      <c r="F308" s="16" t="s">
        <v>662</v>
      </c>
      <c r="G308" s="16" t="s">
        <v>147</v>
      </c>
      <c r="H308" s="16" t="s">
        <v>685</v>
      </c>
      <c r="I308" s="16" t="n">
        <v>1</v>
      </c>
      <c r="J308" s="16"/>
      <c r="K308" s="14"/>
      <c r="L308" s="14"/>
      <c r="M308" s="14"/>
      <c r="N308" s="14"/>
      <c r="O308" s="14"/>
      <c r="P308" s="18" t="n">
        <f aca="false">IF(N308="",0,IF(OR(M308="",O308=""),N308,(M308+4*N308+O308)/6))</f>
        <v>0</v>
      </c>
      <c r="Q308" s="14"/>
      <c r="R308" s="14"/>
      <c r="S308" s="14"/>
      <c r="T308" s="14"/>
      <c r="U308" s="16"/>
      <c r="V308" s="13"/>
      <c r="W308" s="16" t="s">
        <v>662</v>
      </c>
      <c r="X308" s="16"/>
      <c r="Y308" s="16"/>
      <c r="Z308" s="16"/>
      <c r="AA308" s="22" t="n">
        <f aca="false">IF(F308&lt;&gt;"Y",0,((SUMIF(Products!$E$5:$E$300,A308,Products!$F$5:$F$300)+SUMIF(RM_Lots!$A$5:$A$400,A308,RM_Lots!$D$5:$D$400))+IF(W308="Y",SUMIF(Products!$E$5:$E$300,A308,Products!$G$5:$G$300),0))*(1+N(V308)))</f>
        <v>0</v>
      </c>
      <c r="AB308" s="22" t="n">
        <f aca="false">IF(F308&lt;&gt;"Y",0,((SUMIF(Products!$E$5:$E$300,A308,Products!$K$5:$K$300)+SUMIF(RM_Lots!$A$5:$A$400,A308,RM_Lots!$F$5:$F$400))+IF(W308="Y",SUMIF(Products!$E$5:$E$300,A308,Products!$L$5:$L$300),0))*(1+N(V308)))</f>
        <v>0</v>
      </c>
      <c r="AC308" s="17" t="n">
        <f aca="false">IF(J308="",1,MAX(1,COUNTIFS($J$5:$J$863,J308,$F$5:$F$863,"Y")))</f>
        <v>1</v>
      </c>
      <c r="AD308" s="18" t="n">
        <f aca="false">(MAX(1,N(I308))*(P308+N(S308))+MAX(1,N(I308))*N(K308)/(MAX(1,N(U308))*AC308))*Settings!$B$9</f>
        <v>0</v>
      </c>
      <c r="AE308" s="18" t="n">
        <f aca="false">(MAX(1,N(I308))*N(Q308)+MAX(1,N(I308))*N(L308)/(MAX(1,N(U308))*AC308))*Settings!$B$8</f>
        <v>0</v>
      </c>
      <c r="AF308" s="18" t="n">
        <f aca="false">MAX(1,N(I308))*N(T308)</f>
        <v>0</v>
      </c>
      <c r="AG308" s="15" t="n">
        <f aca="false">AA308*N(AD308)</f>
        <v>0</v>
      </c>
      <c r="AH308" s="15" t="n">
        <f aca="false">AA308*N(AE308)</f>
        <v>0</v>
      </c>
      <c r="AI308" s="15" t="n">
        <f aca="false">AA308*N(AF308)</f>
        <v>0</v>
      </c>
      <c r="AJ308" s="15" t="n">
        <f aca="false">AA308*N(R308)</f>
        <v>0</v>
      </c>
      <c r="AK308" s="15" t="n">
        <f aca="false">AB308*N(AD308)</f>
        <v>0</v>
      </c>
      <c r="AL308" s="15" t="n">
        <f aca="false">AB308*N(AE308)</f>
        <v>0</v>
      </c>
      <c r="AM308" s="15" t="n">
        <f aca="false">AB308*N(AF308)</f>
        <v>0</v>
      </c>
      <c r="AN308" s="15" t="n">
        <f aca="false">AB308*N(R308)</f>
        <v>0</v>
      </c>
      <c r="AO308" s="21" t="str">
        <f aca="false">IF(F308&lt;&gt;"Y","n/a",IF(AND(N308&lt;&gt;"",OR(Q308&lt;&gt;"",G308="Other / bench",G308="None"),U308&lt;&gt;""),"OK","Missing"))</f>
        <v>Missing</v>
      </c>
    </row>
    <row r="309" customFormat="false" ht="15" hidden="false" customHeight="false" outlineLevel="0" collapsed="false">
      <c r="A309" s="10" t="s">
        <v>385</v>
      </c>
      <c r="B309" s="10" t="s">
        <v>659</v>
      </c>
      <c r="C309" s="10" t="s">
        <v>726</v>
      </c>
      <c r="D309" s="10" t="s">
        <v>666</v>
      </c>
      <c r="E309" s="21" t="str">
        <f aca="false">IF(A309="","",A309&amp;"|"&amp;D309)</f>
        <v>F51|Content uniformity</v>
      </c>
      <c r="F309" s="16" t="s">
        <v>667</v>
      </c>
      <c r="G309" s="16" t="s">
        <v>147</v>
      </c>
      <c r="H309" s="16" t="s">
        <v>685</v>
      </c>
      <c r="I309" s="16" t="n">
        <v>1</v>
      </c>
      <c r="J309" s="16"/>
      <c r="K309" s="14"/>
      <c r="L309" s="14"/>
      <c r="M309" s="14"/>
      <c r="N309" s="14"/>
      <c r="O309" s="14"/>
      <c r="P309" s="18" t="n">
        <f aca="false">IF(N309="",0,IF(OR(M309="",O309=""),N309,(M309+4*N309+O309)/6))</f>
        <v>0</v>
      </c>
      <c r="Q309" s="14"/>
      <c r="R309" s="14"/>
      <c r="S309" s="14"/>
      <c r="T309" s="14"/>
      <c r="U309" s="16"/>
      <c r="V309" s="13"/>
      <c r="W309" s="16" t="s">
        <v>667</v>
      </c>
      <c r="X309" s="16"/>
      <c r="Y309" s="16"/>
      <c r="Z309" s="16"/>
      <c r="AA309" s="22" t="n">
        <f aca="false">IF(F309&lt;&gt;"Y",0,((SUMIF(Products!$E$5:$E$300,A309,Products!$F$5:$F$300)+SUMIF(RM_Lots!$A$5:$A$400,A309,RM_Lots!$D$5:$D$400))+IF(W309="Y",SUMIF(Products!$E$5:$E$300,A309,Products!$G$5:$G$300),0))*(1+N(V309)))</f>
        <v>0</v>
      </c>
      <c r="AB309" s="22" t="n">
        <f aca="false">IF(F309&lt;&gt;"Y",0,((SUMIF(Products!$E$5:$E$300,A309,Products!$K$5:$K$300)+SUMIF(RM_Lots!$A$5:$A$400,A309,RM_Lots!$F$5:$F$400))+IF(W309="Y",SUMIF(Products!$E$5:$E$300,A309,Products!$L$5:$L$300),0))*(1+N(V309)))</f>
        <v>0</v>
      </c>
      <c r="AC309" s="17" t="n">
        <f aca="false">IF(J309="",1,MAX(1,COUNTIFS($J$5:$J$863,J309,$F$5:$F$863,"Y")))</f>
        <v>1</v>
      </c>
      <c r="AD309" s="18" t="n">
        <f aca="false">(MAX(1,N(I309))*(P309+N(S309))+MAX(1,N(I309))*N(K309)/(MAX(1,N(U309))*AC309))*Settings!$B$9</f>
        <v>0</v>
      </c>
      <c r="AE309" s="18" t="n">
        <f aca="false">(MAX(1,N(I309))*N(Q309)+MAX(1,N(I309))*N(L309)/(MAX(1,N(U309))*AC309))*Settings!$B$8</f>
        <v>0</v>
      </c>
      <c r="AF309" s="18" t="n">
        <f aca="false">MAX(1,N(I309))*N(T309)</f>
        <v>0</v>
      </c>
      <c r="AG309" s="15" t="n">
        <f aca="false">AA309*N(AD309)</f>
        <v>0</v>
      </c>
      <c r="AH309" s="15" t="n">
        <f aca="false">AA309*N(AE309)</f>
        <v>0</v>
      </c>
      <c r="AI309" s="15" t="n">
        <f aca="false">AA309*N(AF309)</f>
        <v>0</v>
      </c>
      <c r="AJ309" s="15" t="n">
        <f aca="false">AA309*N(R309)</f>
        <v>0</v>
      </c>
      <c r="AK309" s="15" t="n">
        <f aca="false">AB309*N(AD309)</f>
        <v>0</v>
      </c>
      <c r="AL309" s="15" t="n">
        <f aca="false">AB309*N(AE309)</f>
        <v>0</v>
      </c>
      <c r="AM309" s="15" t="n">
        <f aca="false">AB309*N(AF309)</f>
        <v>0</v>
      </c>
      <c r="AN309" s="15" t="n">
        <f aca="false">AB309*N(R309)</f>
        <v>0</v>
      </c>
      <c r="AO309" s="21" t="str">
        <f aca="false">IF(F309&lt;&gt;"Y","n/a",IF(AND(N309&lt;&gt;"",OR(Q309&lt;&gt;"",G309="Other / bench",G309="None"),U309&lt;&gt;""),"OK","Missing"))</f>
        <v>n/a</v>
      </c>
    </row>
    <row r="310" customFormat="false" ht="15" hidden="false" customHeight="false" outlineLevel="0" collapsed="false">
      <c r="A310" s="10" t="s">
        <v>385</v>
      </c>
      <c r="B310" s="10" t="s">
        <v>659</v>
      </c>
      <c r="C310" s="10" t="s">
        <v>726</v>
      </c>
      <c r="D310" s="10" t="s">
        <v>668</v>
      </c>
      <c r="E310" s="21" t="str">
        <f aca="false">IF(A310="","",A310&amp;"|"&amp;D310)</f>
        <v>F51|Identification (if separate from assay)</v>
      </c>
      <c r="F310" s="16" t="s">
        <v>667</v>
      </c>
      <c r="G310" s="16" t="s">
        <v>147</v>
      </c>
      <c r="H310" s="16" t="s">
        <v>685</v>
      </c>
      <c r="I310" s="16" t="n">
        <v>1</v>
      </c>
      <c r="J310" s="16"/>
      <c r="K310" s="14"/>
      <c r="L310" s="14"/>
      <c r="M310" s="14"/>
      <c r="N310" s="14"/>
      <c r="O310" s="14"/>
      <c r="P310" s="18" t="n">
        <f aca="false">IF(N310="",0,IF(OR(M310="",O310=""),N310,(M310+4*N310+O310)/6))</f>
        <v>0</v>
      </c>
      <c r="Q310" s="14"/>
      <c r="R310" s="14"/>
      <c r="S310" s="14"/>
      <c r="T310" s="14"/>
      <c r="U310" s="16"/>
      <c r="V310" s="13"/>
      <c r="W310" s="16" t="s">
        <v>667</v>
      </c>
      <c r="X310" s="16"/>
      <c r="Y310" s="16"/>
      <c r="Z310" s="16"/>
      <c r="AA310" s="22" t="n">
        <f aca="false">IF(F310&lt;&gt;"Y",0,((SUMIF(Products!$E$5:$E$300,A310,Products!$F$5:$F$300)+SUMIF(RM_Lots!$A$5:$A$400,A310,RM_Lots!$D$5:$D$400))+IF(W310="Y",SUMIF(Products!$E$5:$E$300,A310,Products!$G$5:$G$300),0))*(1+N(V310)))</f>
        <v>0</v>
      </c>
      <c r="AB310" s="22" t="n">
        <f aca="false">IF(F310&lt;&gt;"Y",0,((SUMIF(Products!$E$5:$E$300,A310,Products!$K$5:$K$300)+SUMIF(RM_Lots!$A$5:$A$400,A310,RM_Lots!$F$5:$F$400))+IF(W310="Y",SUMIF(Products!$E$5:$E$300,A310,Products!$L$5:$L$300),0))*(1+N(V310)))</f>
        <v>0</v>
      </c>
      <c r="AC310" s="17" t="n">
        <f aca="false">IF(J310="",1,MAX(1,COUNTIFS($J$5:$J$863,J310,$F$5:$F$863,"Y")))</f>
        <v>1</v>
      </c>
      <c r="AD310" s="18" t="n">
        <f aca="false">(MAX(1,N(I310))*(P310+N(S310))+MAX(1,N(I310))*N(K310)/(MAX(1,N(U310))*AC310))*Settings!$B$9</f>
        <v>0</v>
      </c>
      <c r="AE310" s="18" t="n">
        <f aca="false">(MAX(1,N(I310))*N(Q310)+MAX(1,N(I310))*N(L310)/(MAX(1,N(U310))*AC310))*Settings!$B$8</f>
        <v>0</v>
      </c>
      <c r="AF310" s="18" t="n">
        <f aca="false">MAX(1,N(I310))*N(T310)</f>
        <v>0</v>
      </c>
      <c r="AG310" s="15" t="n">
        <f aca="false">AA310*N(AD310)</f>
        <v>0</v>
      </c>
      <c r="AH310" s="15" t="n">
        <f aca="false">AA310*N(AE310)</f>
        <v>0</v>
      </c>
      <c r="AI310" s="15" t="n">
        <f aca="false">AA310*N(AF310)</f>
        <v>0</v>
      </c>
      <c r="AJ310" s="15" t="n">
        <f aca="false">AA310*N(R310)</f>
        <v>0</v>
      </c>
      <c r="AK310" s="15" t="n">
        <f aca="false">AB310*N(AD310)</f>
        <v>0</v>
      </c>
      <c r="AL310" s="15" t="n">
        <f aca="false">AB310*N(AE310)</f>
        <v>0</v>
      </c>
      <c r="AM310" s="15" t="n">
        <f aca="false">AB310*N(AF310)</f>
        <v>0</v>
      </c>
      <c r="AN310" s="15" t="n">
        <f aca="false">AB310*N(R310)</f>
        <v>0</v>
      </c>
      <c r="AO310" s="21" t="str">
        <f aca="false">IF(F310&lt;&gt;"Y","n/a",IF(AND(N310&lt;&gt;"",OR(Q310&lt;&gt;"",G310="Other / bench",G310="None"),U310&lt;&gt;""),"OK","Missing"))</f>
        <v>n/a</v>
      </c>
    </row>
    <row r="311" customFormat="false" ht="15" hidden="false" customHeight="false" outlineLevel="0" collapsed="false">
      <c r="A311" s="10" t="s">
        <v>385</v>
      </c>
      <c r="B311" s="10" t="s">
        <v>659</v>
      </c>
      <c r="C311" s="10" t="s">
        <v>726</v>
      </c>
      <c r="D311" s="10" t="s">
        <v>669</v>
      </c>
      <c r="E311" s="21" t="str">
        <f aca="false">IF(A311="","",A311&amp;"|"&amp;D311)</f>
        <v>F51|Other tests (non-HPLC: physical, LOD/KF, disintegration, pH, micro...)</v>
      </c>
      <c r="F311" s="16" t="s">
        <v>662</v>
      </c>
      <c r="G311" s="16" t="s">
        <v>670</v>
      </c>
      <c r="H311" s="16" t="s">
        <v>685</v>
      </c>
      <c r="I311" s="16" t="n">
        <v>1</v>
      </c>
      <c r="J311" s="16"/>
      <c r="K311" s="14"/>
      <c r="L311" s="14"/>
      <c r="M311" s="14"/>
      <c r="N311" s="14"/>
      <c r="O311" s="14"/>
      <c r="P311" s="18" t="n">
        <f aca="false">IF(N311="",0,IF(OR(M311="",O311=""),N311,(M311+4*N311+O311)/6))</f>
        <v>0</v>
      </c>
      <c r="Q311" s="14"/>
      <c r="R311" s="14"/>
      <c r="S311" s="14"/>
      <c r="T311" s="14"/>
      <c r="U311" s="16"/>
      <c r="V311" s="13"/>
      <c r="W311" s="16" t="s">
        <v>662</v>
      </c>
      <c r="X311" s="16"/>
      <c r="Y311" s="16"/>
      <c r="Z311" s="16"/>
      <c r="AA311" s="22" t="n">
        <f aca="false">IF(F311&lt;&gt;"Y",0,((SUMIF(Products!$E$5:$E$300,A311,Products!$F$5:$F$300)+SUMIF(RM_Lots!$A$5:$A$400,A311,RM_Lots!$D$5:$D$400))+IF(W311="Y",SUMIF(Products!$E$5:$E$300,A311,Products!$G$5:$G$300),0))*(1+N(V311)))</f>
        <v>0</v>
      </c>
      <c r="AB311" s="22" t="n">
        <f aca="false">IF(F311&lt;&gt;"Y",0,((SUMIF(Products!$E$5:$E$300,A311,Products!$K$5:$K$300)+SUMIF(RM_Lots!$A$5:$A$400,A311,RM_Lots!$F$5:$F$400))+IF(W311="Y",SUMIF(Products!$E$5:$E$300,A311,Products!$L$5:$L$300),0))*(1+N(V311)))</f>
        <v>0</v>
      </c>
      <c r="AC311" s="17" t="n">
        <f aca="false">IF(J311="",1,MAX(1,COUNTIFS($J$5:$J$863,J311,$F$5:$F$863,"Y")))</f>
        <v>1</v>
      </c>
      <c r="AD311" s="18" t="n">
        <f aca="false">(MAX(1,N(I311))*(P311+N(S311))+MAX(1,N(I311))*N(K311)/(MAX(1,N(U311))*AC311))*Settings!$B$9</f>
        <v>0</v>
      </c>
      <c r="AE311" s="18" t="n">
        <f aca="false">(MAX(1,N(I311))*N(Q311)+MAX(1,N(I311))*N(L311)/(MAX(1,N(U311))*AC311))*Settings!$B$8</f>
        <v>0</v>
      </c>
      <c r="AF311" s="18" t="n">
        <f aca="false">MAX(1,N(I311))*N(T311)</f>
        <v>0</v>
      </c>
      <c r="AG311" s="15" t="n">
        <f aca="false">AA311*N(AD311)</f>
        <v>0</v>
      </c>
      <c r="AH311" s="15" t="n">
        <f aca="false">AA311*N(AE311)</f>
        <v>0</v>
      </c>
      <c r="AI311" s="15" t="n">
        <f aca="false">AA311*N(AF311)</f>
        <v>0</v>
      </c>
      <c r="AJ311" s="15" t="n">
        <f aca="false">AA311*N(R311)</f>
        <v>0</v>
      </c>
      <c r="AK311" s="15" t="n">
        <f aca="false">AB311*N(AD311)</f>
        <v>0</v>
      </c>
      <c r="AL311" s="15" t="n">
        <f aca="false">AB311*N(AE311)</f>
        <v>0</v>
      </c>
      <c r="AM311" s="15" t="n">
        <f aca="false">AB311*N(AF311)</f>
        <v>0</v>
      </c>
      <c r="AN311" s="15" t="n">
        <f aca="false">AB311*N(R311)</f>
        <v>0</v>
      </c>
      <c r="AO311" s="21" t="str">
        <f aca="false">IF(F311&lt;&gt;"Y","n/a",IF(AND(N311&lt;&gt;"",OR(Q311&lt;&gt;"",G311="Other / bench",G311="None"),U311&lt;&gt;""),"OK","Missing"))</f>
        <v>Missing</v>
      </c>
    </row>
    <row r="312" customFormat="false" ht="15" hidden="false" customHeight="false" outlineLevel="0" collapsed="false">
      <c r="A312" s="10" t="s">
        <v>388</v>
      </c>
      <c r="B312" s="10" t="s">
        <v>659</v>
      </c>
      <c r="C312" s="10" t="s">
        <v>727</v>
      </c>
      <c r="D312" s="10" t="s">
        <v>661</v>
      </c>
      <c r="E312" s="21" t="str">
        <f aca="false">IF(A312="","",A312&amp;"|"&amp;D312)</f>
        <v>F52|Assay</v>
      </c>
      <c r="F312" s="16" t="s">
        <v>662</v>
      </c>
      <c r="G312" s="16" t="s">
        <v>147</v>
      </c>
      <c r="H312" s="16" t="s">
        <v>672</v>
      </c>
      <c r="I312" s="16" t="n">
        <v>1</v>
      </c>
      <c r="J312" s="16"/>
      <c r="K312" s="14"/>
      <c r="L312" s="14"/>
      <c r="M312" s="14"/>
      <c r="N312" s="14"/>
      <c r="O312" s="14"/>
      <c r="P312" s="18" t="n">
        <f aca="false">IF(N312="",0,IF(OR(M312="",O312=""),N312,(M312+4*N312+O312)/6))</f>
        <v>0</v>
      </c>
      <c r="Q312" s="14"/>
      <c r="R312" s="14"/>
      <c r="S312" s="14"/>
      <c r="T312" s="14"/>
      <c r="U312" s="16"/>
      <c r="V312" s="13"/>
      <c r="W312" s="16" t="s">
        <v>662</v>
      </c>
      <c r="X312" s="16"/>
      <c r="Y312" s="16"/>
      <c r="Z312" s="16"/>
      <c r="AA312" s="22" t="n">
        <f aca="false">IF(F312&lt;&gt;"Y",0,((SUMIF(Products!$E$5:$E$300,A312,Products!$F$5:$F$300)+SUMIF(RM_Lots!$A$5:$A$400,A312,RM_Lots!$D$5:$D$400))+IF(W312="Y",SUMIF(Products!$E$5:$E$300,A312,Products!$G$5:$G$300),0))*(1+N(V312)))</f>
        <v>0</v>
      </c>
      <c r="AB312" s="22" t="n">
        <f aca="false">IF(F312&lt;&gt;"Y",0,((SUMIF(Products!$E$5:$E$300,A312,Products!$K$5:$K$300)+SUMIF(RM_Lots!$A$5:$A$400,A312,RM_Lots!$F$5:$F$400))+IF(W312="Y",SUMIF(Products!$E$5:$E$300,A312,Products!$L$5:$L$300),0))*(1+N(V312)))</f>
        <v>0</v>
      </c>
      <c r="AC312" s="17" t="n">
        <f aca="false">IF(J312="",1,MAX(1,COUNTIFS($J$5:$J$863,J312,$F$5:$F$863,"Y")))</f>
        <v>1</v>
      </c>
      <c r="AD312" s="18" t="n">
        <f aca="false">(MAX(1,N(I312))*(P312+N(S312))+MAX(1,N(I312))*N(K312)/(MAX(1,N(U312))*AC312))*Settings!$B$9</f>
        <v>0</v>
      </c>
      <c r="AE312" s="18" t="n">
        <f aca="false">(MAX(1,N(I312))*N(Q312)+MAX(1,N(I312))*N(L312)/(MAX(1,N(U312))*AC312))*Settings!$B$8</f>
        <v>0</v>
      </c>
      <c r="AF312" s="18" t="n">
        <f aca="false">MAX(1,N(I312))*N(T312)</f>
        <v>0</v>
      </c>
      <c r="AG312" s="15" t="n">
        <f aca="false">AA312*N(AD312)</f>
        <v>0</v>
      </c>
      <c r="AH312" s="15" t="n">
        <f aca="false">AA312*N(AE312)</f>
        <v>0</v>
      </c>
      <c r="AI312" s="15" t="n">
        <f aca="false">AA312*N(AF312)</f>
        <v>0</v>
      </c>
      <c r="AJ312" s="15" t="n">
        <f aca="false">AA312*N(R312)</f>
        <v>0</v>
      </c>
      <c r="AK312" s="15" t="n">
        <f aca="false">AB312*N(AD312)</f>
        <v>0</v>
      </c>
      <c r="AL312" s="15" t="n">
        <f aca="false">AB312*N(AE312)</f>
        <v>0</v>
      </c>
      <c r="AM312" s="15" t="n">
        <f aca="false">AB312*N(AF312)</f>
        <v>0</v>
      </c>
      <c r="AN312" s="15" t="n">
        <f aca="false">AB312*N(R312)</f>
        <v>0</v>
      </c>
      <c r="AO312" s="21" t="str">
        <f aca="false">IF(F312&lt;&gt;"Y","n/a",IF(AND(N312&lt;&gt;"",OR(Q312&lt;&gt;"",G312="Other / bench",G312="None"),U312&lt;&gt;""),"OK","Missing"))</f>
        <v>Missing</v>
      </c>
    </row>
    <row r="313" customFormat="false" ht="15" hidden="false" customHeight="false" outlineLevel="0" collapsed="false">
      <c r="A313" s="10" t="s">
        <v>388</v>
      </c>
      <c r="B313" s="10" t="s">
        <v>659</v>
      </c>
      <c r="C313" s="10" t="s">
        <v>727</v>
      </c>
      <c r="D313" s="10" t="s">
        <v>664</v>
      </c>
      <c r="E313" s="21" t="str">
        <f aca="false">IF(A313="","",A313&amp;"|"&amp;D313)</f>
        <v>F52|Related substances / impurities</v>
      </c>
      <c r="F313" s="16" t="s">
        <v>662</v>
      </c>
      <c r="G313" s="16" t="s">
        <v>147</v>
      </c>
      <c r="H313" s="16" t="s">
        <v>672</v>
      </c>
      <c r="I313" s="16" t="n">
        <v>1</v>
      </c>
      <c r="J313" s="16"/>
      <c r="K313" s="14"/>
      <c r="L313" s="14"/>
      <c r="M313" s="14"/>
      <c r="N313" s="14"/>
      <c r="O313" s="14"/>
      <c r="P313" s="18" t="n">
        <f aca="false">IF(N313="",0,IF(OR(M313="",O313=""),N313,(M313+4*N313+O313)/6))</f>
        <v>0</v>
      </c>
      <c r="Q313" s="14"/>
      <c r="R313" s="14"/>
      <c r="S313" s="14"/>
      <c r="T313" s="14"/>
      <c r="U313" s="16"/>
      <c r="V313" s="13"/>
      <c r="W313" s="16" t="s">
        <v>662</v>
      </c>
      <c r="X313" s="16"/>
      <c r="Y313" s="16"/>
      <c r="Z313" s="16"/>
      <c r="AA313" s="22" t="n">
        <f aca="false">IF(F313&lt;&gt;"Y",0,((SUMIF(Products!$E$5:$E$300,A313,Products!$F$5:$F$300)+SUMIF(RM_Lots!$A$5:$A$400,A313,RM_Lots!$D$5:$D$400))+IF(W313="Y",SUMIF(Products!$E$5:$E$300,A313,Products!$G$5:$G$300),0))*(1+N(V313)))</f>
        <v>0</v>
      </c>
      <c r="AB313" s="22" t="n">
        <f aca="false">IF(F313&lt;&gt;"Y",0,((SUMIF(Products!$E$5:$E$300,A313,Products!$K$5:$K$300)+SUMIF(RM_Lots!$A$5:$A$400,A313,RM_Lots!$F$5:$F$400))+IF(W313="Y",SUMIF(Products!$E$5:$E$300,A313,Products!$L$5:$L$300),0))*(1+N(V313)))</f>
        <v>0</v>
      </c>
      <c r="AC313" s="17" t="n">
        <f aca="false">IF(J313="",1,MAX(1,COUNTIFS($J$5:$J$863,J313,$F$5:$F$863,"Y")))</f>
        <v>1</v>
      </c>
      <c r="AD313" s="18" t="n">
        <f aca="false">(MAX(1,N(I313))*(P313+N(S313))+MAX(1,N(I313))*N(K313)/(MAX(1,N(U313))*AC313))*Settings!$B$9</f>
        <v>0</v>
      </c>
      <c r="AE313" s="18" t="n">
        <f aca="false">(MAX(1,N(I313))*N(Q313)+MAX(1,N(I313))*N(L313)/(MAX(1,N(U313))*AC313))*Settings!$B$8</f>
        <v>0</v>
      </c>
      <c r="AF313" s="18" t="n">
        <f aca="false">MAX(1,N(I313))*N(T313)</f>
        <v>0</v>
      </c>
      <c r="AG313" s="15" t="n">
        <f aca="false">AA313*N(AD313)</f>
        <v>0</v>
      </c>
      <c r="AH313" s="15" t="n">
        <f aca="false">AA313*N(AE313)</f>
        <v>0</v>
      </c>
      <c r="AI313" s="15" t="n">
        <f aca="false">AA313*N(AF313)</f>
        <v>0</v>
      </c>
      <c r="AJ313" s="15" t="n">
        <f aca="false">AA313*N(R313)</f>
        <v>0</v>
      </c>
      <c r="AK313" s="15" t="n">
        <f aca="false">AB313*N(AD313)</f>
        <v>0</v>
      </c>
      <c r="AL313" s="15" t="n">
        <f aca="false">AB313*N(AE313)</f>
        <v>0</v>
      </c>
      <c r="AM313" s="15" t="n">
        <f aca="false">AB313*N(AF313)</f>
        <v>0</v>
      </c>
      <c r="AN313" s="15" t="n">
        <f aca="false">AB313*N(R313)</f>
        <v>0</v>
      </c>
      <c r="AO313" s="21" t="str">
        <f aca="false">IF(F313&lt;&gt;"Y","n/a",IF(AND(N313&lt;&gt;"",OR(Q313&lt;&gt;"",G313="Other / bench",G313="None"),U313&lt;&gt;""),"OK","Missing"))</f>
        <v>Missing</v>
      </c>
    </row>
    <row r="314" customFormat="false" ht="15" hidden="false" customHeight="false" outlineLevel="0" collapsed="false">
      <c r="A314" s="10" t="s">
        <v>388</v>
      </c>
      <c r="B314" s="10" t="s">
        <v>659</v>
      </c>
      <c r="C314" s="10" t="s">
        <v>727</v>
      </c>
      <c r="D314" s="10" t="s">
        <v>665</v>
      </c>
      <c r="E314" s="21" t="str">
        <f aca="false">IF(A314="","",A314&amp;"|"&amp;D314)</f>
        <v>F52|Dissolution</v>
      </c>
      <c r="F314" s="16" t="s">
        <v>662</v>
      </c>
      <c r="G314" s="16" t="s">
        <v>147</v>
      </c>
      <c r="H314" s="16" t="s">
        <v>672</v>
      </c>
      <c r="I314" s="16" t="n">
        <v>1</v>
      </c>
      <c r="J314" s="16"/>
      <c r="K314" s="14"/>
      <c r="L314" s="14"/>
      <c r="M314" s="14"/>
      <c r="N314" s="14"/>
      <c r="O314" s="14"/>
      <c r="P314" s="18" t="n">
        <f aca="false">IF(N314="",0,IF(OR(M314="",O314=""),N314,(M314+4*N314+O314)/6))</f>
        <v>0</v>
      </c>
      <c r="Q314" s="14"/>
      <c r="R314" s="14"/>
      <c r="S314" s="14"/>
      <c r="T314" s="14"/>
      <c r="U314" s="16"/>
      <c r="V314" s="13"/>
      <c r="W314" s="16" t="s">
        <v>662</v>
      </c>
      <c r="X314" s="16"/>
      <c r="Y314" s="16"/>
      <c r="Z314" s="16"/>
      <c r="AA314" s="22" t="n">
        <f aca="false">IF(F314&lt;&gt;"Y",0,((SUMIF(Products!$E$5:$E$300,A314,Products!$F$5:$F$300)+SUMIF(RM_Lots!$A$5:$A$400,A314,RM_Lots!$D$5:$D$400))+IF(W314="Y",SUMIF(Products!$E$5:$E$300,A314,Products!$G$5:$G$300),0))*(1+N(V314)))</f>
        <v>0</v>
      </c>
      <c r="AB314" s="22" t="n">
        <f aca="false">IF(F314&lt;&gt;"Y",0,((SUMIF(Products!$E$5:$E$300,A314,Products!$K$5:$K$300)+SUMIF(RM_Lots!$A$5:$A$400,A314,RM_Lots!$F$5:$F$400))+IF(W314="Y",SUMIF(Products!$E$5:$E$300,A314,Products!$L$5:$L$300),0))*(1+N(V314)))</f>
        <v>0</v>
      </c>
      <c r="AC314" s="17" t="n">
        <f aca="false">IF(J314="",1,MAX(1,COUNTIFS($J$5:$J$863,J314,$F$5:$F$863,"Y")))</f>
        <v>1</v>
      </c>
      <c r="AD314" s="18" t="n">
        <f aca="false">(MAX(1,N(I314))*(P314+N(S314))+MAX(1,N(I314))*N(K314)/(MAX(1,N(U314))*AC314))*Settings!$B$9</f>
        <v>0</v>
      </c>
      <c r="AE314" s="18" t="n">
        <f aca="false">(MAX(1,N(I314))*N(Q314)+MAX(1,N(I314))*N(L314)/(MAX(1,N(U314))*AC314))*Settings!$B$8</f>
        <v>0</v>
      </c>
      <c r="AF314" s="18" t="n">
        <f aca="false">MAX(1,N(I314))*N(T314)</f>
        <v>0</v>
      </c>
      <c r="AG314" s="15" t="n">
        <f aca="false">AA314*N(AD314)</f>
        <v>0</v>
      </c>
      <c r="AH314" s="15" t="n">
        <f aca="false">AA314*N(AE314)</f>
        <v>0</v>
      </c>
      <c r="AI314" s="15" t="n">
        <f aca="false">AA314*N(AF314)</f>
        <v>0</v>
      </c>
      <c r="AJ314" s="15" t="n">
        <f aca="false">AA314*N(R314)</f>
        <v>0</v>
      </c>
      <c r="AK314" s="15" t="n">
        <f aca="false">AB314*N(AD314)</f>
        <v>0</v>
      </c>
      <c r="AL314" s="15" t="n">
        <f aca="false">AB314*N(AE314)</f>
        <v>0</v>
      </c>
      <c r="AM314" s="15" t="n">
        <f aca="false">AB314*N(AF314)</f>
        <v>0</v>
      </c>
      <c r="AN314" s="15" t="n">
        <f aca="false">AB314*N(R314)</f>
        <v>0</v>
      </c>
      <c r="AO314" s="21" t="str">
        <f aca="false">IF(F314&lt;&gt;"Y","n/a",IF(AND(N314&lt;&gt;"",OR(Q314&lt;&gt;"",G314="Other / bench",G314="None"),U314&lt;&gt;""),"OK","Missing"))</f>
        <v>Missing</v>
      </c>
    </row>
    <row r="315" customFormat="false" ht="15" hidden="false" customHeight="false" outlineLevel="0" collapsed="false">
      <c r="A315" s="10" t="s">
        <v>388</v>
      </c>
      <c r="B315" s="10" t="s">
        <v>659</v>
      </c>
      <c r="C315" s="10" t="s">
        <v>727</v>
      </c>
      <c r="D315" s="10" t="s">
        <v>666</v>
      </c>
      <c r="E315" s="21" t="str">
        <f aca="false">IF(A315="","",A315&amp;"|"&amp;D315)</f>
        <v>F52|Content uniformity</v>
      </c>
      <c r="F315" s="16" t="s">
        <v>662</v>
      </c>
      <c r="G315" s="16" t="s">
        <v>147</v>
      </c>
      <c r="H315" s="16" t="s">
        <v>672</v>
      </c>
      <c r="I315" s="16" t="n">
        <v>1</v>
      </c>
      <c r="J315" s="16"/>
      <c r="K315" s="14"/>
      <c r="L315" s="14"/>
      <c r="M315" s="14"/>
      <c r="N315" s="14"/>
      <c r="O315" s="14"/>
      <c r="P315" s="18" t="n">
        <f aca="false">IF(N315="",0,IF(OR(M315="",O315=""),N315,(M315+4*N315+O315)/6))</f>
        <v>0</v>
      </c>
      <c r="Q315" s="14"/>
      <c r="R315" s="14"/>
      <c r="S315" s="14"/>
      <c r="T315" s="14"/>
      <c r="U315" s="16"/>
      <c r="V315" s="13"/>
      <c r="W315" s="16" t="s">
        <v>667</v>
      </c>
      <c r="X315" s="16"/>
      <c r="Y315" s="16"/>
      <c r="Z315" s="16"/>
      <c r="AA315" s="22" t="n">
        <f aca="false">IF(F315&lt;&gt;"Y",0,((SUMIF(Products!$E$5:$E$300,A315,Products!$F$5:$F$300)+SUMIF(RM_Lots!$A$5:$A$400,A315,RM_Lots!$D$5:$D$400))+IF(W315="Y",SUMIF(Products!$E$5:$E$300,A315,Products!$G$5:$G$300),0))*(1+N(V315)))</f>
        <v>0</v>
      </c>
      <c r="AB315" s="22" t="n">
        <f aca="false">IF(F315&lt;&gt;"Y",0,((SUMIF(Products!$E$5:$E$300,A315,Products!$K$5:$K$300)+SUMIF(RM_Lots!$A$5:$A$400,A315,RM_Lots!$F$5:$F$400))+IF(W315="Y",SUMIF(Products!$E$5:$E$300,A315,Products!$L$5:$L$300),0))*(1+N(V315)))</f>
        <v>0</v>
      </c>
      <c r="AC315" s="17" t="n">
        <f aca="false">IF(J315="",1,MAX(1,COUNTIFS($J$5:$J$863,J315,$F$5:$F$863,"Y")))</f>
        <v>1</v>
      </c>
      <c r="AD315" s="18" t="n">
        <f aca="false">(MAX(1,N(I315))*(P315+N(S315))+MAX(1,N(I315))*N(K315)/(MAX(1,N(U315))*AC315))*Settings!$B$9</f>
        <v>0</v>
      </c>
      <c r="AE315" s="18" t="n">
        <f aca="false">(MAX(1,N(I315))*N(Q315)+MAX(1,N(I315))*N(L315)/(MAX(1,N(U315))*AC315))*Settings!$B$8</f>
        <v>0</v>
      </c>
      <c r="AF315" s="18" t="n">
        <f aca="false">MAX(1,N(I315))*N(T315)</f>
        <v>0</v>
      </c>
      <c r="AG315" s="15" t="n">
        <f aca="false">AA315*N(AD315)</f>
        <v>0</v>
      </c>
      <c r="AH315" s="15" t="n">
        <f aca="false">AA315*N(AE315)</f>
        <v>0</v>
      </c>
      <c r="AI315" s="15" t="n">
        <f aca="false">AA315*N(AF315)</f>
        <v>0</v>
      </c>
      <c r="AJ315" s="15" t="n">
        <f aca="false">AA315*N(R315)</f>
        <v>0</v>
      </c>
      <c r="AK315" s="15" t="n">
        <f aca="false">AB315*N(AD315)</f>
        <v>0</v>
      </c>
      <c r="AL315" s="15" t="n">
        <f aca="false">AB315*N(AE315)</f>
        <v>0</v>
      </c>
      <c r="AM315" s="15" t="n">
        <f aca="false">AB315*N(AF315)</f>
        <v>0</v>
      </c>
      <c r="AN315" s="15" t="n">
        <f aca="false">AB315*N(R315)</f>
        <v>0</v>
      </c>
      <c r="AO315" s="21" t="str">
        <f aca="false">IF(F315&lt;&gt;"Y","n/a",IF(AND(N315&lt;&gt;"",OR(Q315&lt;&gt;"",G315="Other / bench",G315="None"),U315&lt;&gt;""),"OK","Missing"))</f>
        <v>Missing</v>
      </c>
    </row>
    <row r="316" customFormat="false" ht="15" hidden="false" customHeight="false" outlineLevel="0" collapsed="false">
      <c r="A316" s="10" t="s">
        <v>388</v>
      </c>
      <c r="B316" s="10" t="s">
        <v>659</v>
      </c>
      <c r="C316" s="10" t="s">
        <v>727</v>
      </c>
      <c r="D316" s="10" t="s">
        <v>668</v>
      </c>
      <c r="E316" s="21" t="str">
        <f aca="false">IF(A316="","",A316&amp;"|"&amp;D316)</f>
        <v>F52|Identification (if separate from assay)</v>
      </c>
      <c r="F316" s="16" t="s">
        <v>667</v>
      </c>
      <c r="G316" s="16" t="s">
        <v>147</v>
      </c>
      <c r="H316" s="16" t="s">
        <v>672</v>
      </c>
      <c r="I316" s="16" t="n">
        <v>1</v>
      </c>
      <c r="J316" s="16"/>
      <c r="K316" s="14"/>
      <c r="L316" s="14"/>
      <c r="M316" s="14"/>
      <c r="N316" s="14"/>
      <c r="O316" s="14"/>
      <c r="P316" s="18" t="n">
        <f aca="false">IF(N316="",0,IF(OR(M316="",O316=""),N316,(M316+4*N316+O316)/6))</f>
        <v>0</v>
      </c>
      <c r="Q316" s="14"/>
      <c r="R316" s="14"/>
      <c r="S316" s="14"/>
      <c r="T316" s="14"/>
      <c r="U316" s="16"/>
      <c r="V316" s="13"/>
      <c r="W316" s="16" t="s">
        <v>667</v>
      </c>
      <c r="X316" s="16"/>
      <c r="Y316" s="16"/>
      <c r="Z316" s="16"/>
      <c r="AA316" s="22" t="n">
        <f aca="false">IF(F316&lt;&gt;"Y",0,((SUMIF(Products!$E$5:$E$300,A316,Products!$F$5:$F$300)+SUMIF(RM_Lots!$A$5:$A$400,A316,RM_Lots!$D$5:$D$400))+IF(W316="Y",SUMIF(Products!$E$5:$E$300,A316,Products!$G$5:$G$300),0))*(1+N(V316)))</f>
        <v>0</v>
      </c>
      <c r="AB316" s="22" t="n">
        <f aca="false">IF(F316&lt;&gt;"Y",0,((SUMIF(Products!$E$5:$E$300,A316,Products!$K$5:$K$300)+SUMIF(RM_Lots!$A$5:$A$400,A316,RM_Lots!$F$5:$F$400))+IF(W316="Y",SUMIF(Products!$E$5:$E$300,A316,Products!$L$5:$L$300),0))*(1+N(V316)))</f>
        <v>0</v>
      </c>
      <c r="AC316" s="17" t="n">
        <f aca="false">IF(J316="",1,MAX(1,COUNTIFS($J$5:$J$863,J316,$F$5:$F$863,"Y")))</f>
        <v>1</v>
      </c>
      <c r="AD316" s="18" t="n">
        <f aca="false">(MAX(1,N(I316))*(P316+N(S316))+MAX(1,N(I316))*N(K316)/(MAX(1,N(U316))*AC316))*Settings!$B$9</f>
        <v>0</v>
      </c>
      <c r="AE316" s="18" t="n">
        <f aca="false">(MAX(1,N(I316))*N(Q316)+MAX(1,N(I316))*N(L316)/(MAX(1,N(U316))*AC316))*Settings!$B$8</f>
        <v>0</v>
      </c>
      <c r="AF316" s="18" t="n">
        <f aca="false">MAX(1,N(I316))*N(T316)</f>
        <v>0</v>
      </c>
      <c r="AG316" s="15" t="n">
        <f aca="false">AA316*N(AD316)</f>
        <v>0</v>
      </c>
      <c r="AH316" s="15" t="n">
        <f aca="false">AA316*N(AE316)</f>
        <v>0</v>
      </c>
      <c r="AI316" s="15" t="n">
        <f aca="false">AA316*N(AF316)</f>
        <v>0</v>
      </c>
      <c r="AJ316" s="15" t="n">
        <f aca="false">AA316*N(R316)</f>
        <v>0</v>
      </c>
      <c r="AK316" s="15" t="n">
        <f aca="false">AB316*N(AD316)</f>
        <v>0</v>
      </c>
      <c r="AL316" s="15" t="n">
        <f aca="false">AB316*N(AE316)</f>
        <v>0</v>
      </c>
      <c r="AM316" s="15" t="n">
        <f aca="false">AB316*N(AF316)</f>
        <v>0</v>
      </c>
      <c r="AN316" s="15" t="n">
        <f aca="false">AB316*N(R316)</f>
        <v>0</v>
      </c>
      <c r="AO316" s="21" t="str">
        <f aca="false">IF(F316&lt;&gt;"Y","n/a",IF(AND(N316&lt;&gt;"",OR(Q316&lt;&gt;"",G316="Other / bench",G316="None"),U316&lt;&gt;""),"OK","Missing"))</f>
        <v>n/a</v>
      </c>
    </row>
    <row r="317" customFormat="false" ht="15" hidden="false" customHeight="false" outlineLevel="0" collapsed="false">
      <c r="A317" s="10" t="s">
        <v>388</v>
      </c>
      <c r="B317" s="10" t="s">
        <v>659</v>
      </c>
      <c r="C317" s="10" t="s">
        <v>727</v>
      </c>
      <c r="D317" s="10" t="s">
        <v>669</v>
      </c>
      <c r="E317" s="21" t="str">
        <f aca="false">IF(A317="","",A317&amp;"|"&amp;D317)</f>
        <v>F52|Other tests (non-HPLC: physical, LOD/KF, disintegration, pH, micro...)</v>
      </c>
      <c r="F317" s="16" t="s">
        <v>662</v>
      </c>
      <c r="G317" s="16" t="s">
        <v>670</v>
      </c>
      <c r="H317" s="16" t="s">
        <v>672</v>
      </c>
      <c r="I317" s="16" t="n">
        <v>1</v>
      </c>
      <c r="J317" s="16"/>
      <c r="K317" s="14"/>
      <c r="L317" s="14"/>
      <c r="M317" s="14"/>
      <c r="N317" s="14"/>
      <c r="O317" s="14"/>
      <c r="P317" s="18" t="n">
        <f aca="false">IF(N317="",0,IF(OR(M317="",O317=""),N317,(M317+4*N317+O317)/6))</f>
        <v>0</v>
      </c>
      <c r="Q317" s="14"/>
      <c r="R317" s="14"/>
      <c r="S317" s="14"/>
      <c r="T317" s="14"/>
      <c r="U317" s="16"/>
      <c r="V317" s="13"/>
      <c r="W317" s="16" t="s">
        <v>662</v>
      </c>
      <c r="X317" s="16"/>
      <c r="Y317" s="16"/>
      <c r="Z317" s="16"/>
      <c r="AA317" s="22" t="n">
        <f aca="false">IF(F317&lt;&gt;"Y",0,((SUMIF(Products!$E$5:$E$300,A317,Products!$F$5:$F$300)+SUMIF(RM_Lots!$A$5:$A$400,A317,RM_Lots!$D$5:$D$400))+IF(W317="Y",SUMIF(Products!$E$5:$E$300,A317,Products!$G$5:$G$300),0))*(1+N(V317)))</f>
        <v>0</v>
      </c>
      <c r="AB317" s="22" t="n">
        <f aca="false">IF(F317&lt;&gt;"Y",0,((SUMIF(Products!$E$5:$E$300,A317,Products!$K$5:$K$300)+SUMIF(RM_Lots!$A$5:$A$400,A317,RM_Lots!$F$5:$F$400))+IF(W317="Y",SUMIF(Products!$E$5:$E$300,A317,Products!$L$5:$L$300),0))*(1+N(V317)))</f>
        <v>0</v>
      </c>
      <c r="AC317" s="17" t="n">
        <f aca="false">IF(J317="",1,MAX(1,COUNTIFS($J$5:$J$863,J317,$F$5:$F$863,"Y")))</f>
        <v>1</v>
      </c>
      <c r="AD317" s="18" t="n">
        <f aca="false">(MAX(1,N(I317))*(P317+N(S317))+MAX(1,N(I317))*N(K317)/(MAX(1,N(U317))*AC317))*Settings!$B$9</f>
        <v>0</v>
      </c>
      <c r="AE317" s="18" t="n">
        <f aca="false">(MAX(1,N(I317))*N(Q317)+MAX(1,N(I317))*N(L317)/(MAX(1,N(U317))*AC317))*Settings!$B$8</f>
        <v>0</v>
      </c>
      <c r="AF317" s="18" t="n">
        <f aca="false">MAX(1,N(I317))*N(T317)</f>
        <v>0</v>
      </c>
      <c r="AG317" s="15" t="n">
        <f aca="false">AA317*N(AD317)</f>
        <v>0</v>
      </c>
      <c r="AH317" s="15" t="n">
        <f aca="false">AA317*N(AE317)</f>
        <v>0</v>
      </c>
      <c r="AI317" s="15" t="n">
        <f aca="false">AA317*N(AF317)</f>
        <v>0</v>
      </c>
      <c r="AJ317" s="15" t="n">
        <f aca="false">AA317*N(R317)</f>
        <v>0</v>
      </c>
      <c r="AK317" s="15" t="n">
        <f aca="false">AB317*N(AD317)</f>
        <v>0</v>
      </c>
      <c r="AL317" s="15" t="n">
        <f aca="false">AB317*N(AE317)</f>
        <v>0</v>
      </c>
      <c r="AM317" s="15" t="n">
        <f aca="false">AB317*N(AF317)</f>
        <v>0</v>
      </c>
      <c r="AN317" s="15" t="n">
        <f aca="false">AB317*N(R317)</f>
        <v>0</v>
      </c>
      <c r="AO317" s="21" t="str">
        <f aca="false">IF(F317&lt;&gt;"Y","n/a",IF(AND(N317&lt;&gt;"",OR(Q317&lt;&gt;"",G317="Other / bench",G317="None"),U317&lt;&gt;""),"OK","Missing"))</f>
        <v>Missing</v>
      </c>
    </row>
    <row r="318" customFormat="false" ht="15" hidden="false" customHeight="false" outlineLevel="0" collapsed="false">
      <c r="A318" s="10" t="s">
        <v>392</v>
      </c>
      <c r="B318" s="10" t="s">
        <v>659</v>
      </c>
      <c r="C318" s="10" t="s">
        <v>728</v>
      </c>
      <c r="D318" s="10" t="s">
        <v>661</v>
      </c>
      <c r="E318" s="21" t="str">
        <f aca="false">IF(A318="","",A318&amp;"|"&amp;D318)</f>
        <v>F53|Assay</v>
      </c>
      <c r="F318" s="16" t="s">
        <v>662</v>
      </c>
      <c r="G318" s="16" t="s">
        <v>147</v>
      </c>
      <c r="H318" s="16" t="s">
        <v>685</v>
      </c>
      <c r="I318" s="16" t="n">
        <v>1</v>
      </c>
      <c r="J318" s="16"/>
      <c r="K318" s="14"/>
      <c r="L318" s="14"/>
      <c r="M318" s="14"/>
      <c r="N318" s="14"/>
      <c r="O318" s="14"/>
      <c r="P318" s="18" t="n">
        <f aca="false">IF(N318="",0,IF(OR(M318="",O318=""),N318,(M318+4*N318+O318)/6))</f>
        <v>0</v>
      </c>
      <c r="Q318" s="14"/>
      <c r="R318" s="14"/>
      <c r="S318" s="14"/>
      <c r="T318" s="14"/>
      <c r="U318" s="16"/>
      <c r="V318" s="13"/>
      <c r="W318" s="16" t="s">
        <v>662</v>
      </c>
      <c r="X318" s="16"/>
      <c r="Y318" s="16"/>
      <c r="Z318" s="16" t="s">
        <v>693</v>
      </c>
      <c r="AA318" s="22" t="n">
        <f aca="false">IF(F318&lt;&gt;"Y",0,((SUMIF(Products!$E$5:$E$300,A318,Products!$F$5:$F$300)+SUMIF(RM_Lots!$A$5:$A$400,A318,RM_Lots!$D$5:$D$400))+IF(W318="Y",SUMIF(Products!$E$5:$E$300,A318,Products!$G$5:$G$300),0))*(1+N(V318)))</f>
        <v>0</v>
      </c>
      <c r="AB318" s="22" t="n">
        <f aca="false">IF(F318&lt;&gt;"Y",0,((SUMIF(Products!$E$5:$E$300,A318,Products!$K$5:$K$300)+SUMIF(RM_Lots!$A$5:$A$400,A318,RM_Lots!$F$5:$F$400))+IF(W318="Y",SUMIF(Products!$E$5:$E$300,A318,Products!$L$5:$L$300),0))*(1+N(V318)))</f>
        <v>0</v>
      </c>
      <c r="AC318" s="17" t="n">
        <f aca="false">IF(J318="",1,MAX(1,COUNTIFS($J$5:$J$863,J318,$F$5:$F$863,"Y")))</f>
        <v>1</v>
      </c>
      <c r="AD318" s="18" t="n">
        <f aca="false">(MAX(1,N(I318))*(P318+N(S318))+MAX(1,N(I318))*N(K318)/(MAX(1,N(U318))*AC318))*Settings!$B$9</f>
        <v>0</v>
      </c>
      <c r="AE318" s="18" t="n">
        <f aca="false">(MAX(1,N(I318))*N(Q318)+MAX(1,N(I318))*N(L318)/(MAX(1,N(U318))*AC318))*Settings!$B$8</f>
        <v>0</v>
      </c>
      <c r="AF318" s="18" t="n">
        <f aca="false">MAX(1,N(I318))*N(T318)</f>
        <v>0</v>
      </c>
      <c r="AG318" s="15" t="n">
        <f aca="false">AA318*N(AD318)</f>
        <v>0</v>
      </c>
      <c r="AH318" s="15" t="n">
        <f aca="false">AA318*N(AE318)</f>
        <v>0</v>
      </c>
      <c r="AI318" s="15" t="n">
        <f aca="false">AA318*N(AF318)</f>
        <v>0</v>
      </c>
      <c r="AJ318" s="15" t="n">
        <f aca="false">AA318*N(R318)</f>
        <v>0</v>
      </c>
      <c r="AK318" s="15" t="n">
        <f aca="false">AB318*N(AD318)</f>
        <v>0</v>
      </c>
      <c r="AL318" s="15" t="n">
        <f aca="false">AB318*N(AE318)</f>
        <v>0</v>
      </c>
      <c r="AM318" s="15" t="n">
        <f aca="false">AB318*N(AF318)</f>
        <v>0</v>
      </c>
      <c r="AN318" s="15" t="n">
        <f aca="false">AB318*N(R318)</f>
        <v>0</v>
      </c>
      <c r="AO318" s="21" t="str">
        <f aca="false">IF(F318&lt;&gt;"Y","n/a",IF(AND(N318&lt;&gt;"",OR(Q318&lt;&gt;"",G318="Other / bench",G318="None"),U318&lt;&gt;""),"OK","Missing"))</f>
        <v>Missing</v>
      </c>
    </row>
    <row r="319" customFormat="false" ht="15" hidden="false" customHeight="false" outlineLevel="0" collapsed="false">
      <c r="A319" s="10" t="s">
        <v>392</v>
      </c>
      <c r="B319" s="10" t="s">
        <v>659</v>
      </c>
      <c r="C319" s="10" t="s">
        <v>728</v>
      </c>
      <c r="D319" s="10" t="s">
        <v>664</v>
      </c>
      <c r="E319" s="21" t="str">
        <f aca="false">IF(A319="","",A319&amp;"|"&amp;D319)</f>
        <v>F53|Related substances / impurities</v>
      </c>
      <c r="F319" s="16" t="s">
        <v>667</v>
      </c>
      <c r="G319" s="16" t="s">
        <v>147</v>
      </c>
      <c r="H319" s="16" t="s">
        <v>685</v>
      </c>
      <c r="I319" s="16" t="n">
        <v>1</v>
      </c>
      <c r="J319" s="16"/>
      <c r="K319" s="14"/>
      <c r="L319" s="14"/>
      <c r="M319" s="14"/>
      <c r="N319" s="14"/>
      <c r="O319" s="14"/>
      <c r="P319" s="18" t="n">
        <f aca="false">IF(N319="",0,IF(OR(M319="",O319=""),N319,(M319+4*N319+O319)/6))</f>
        <v>0</v>
      </c>
      <c r="Q319" s="14"/>
      <c r="R319" s="14"/>
      <c r="S319" s="14"/>
      <c r="T319" s="14"/>
      <c r="U319" s="16"/>
      <c r="V319" s="13"/>
      <c r="W319" s="16" t="s">
        <v>662</v>
      </c>
      <c r="X319" s="16"/>
      <c r="Y319" s="16"/>
      <c r="Z319" s="16"/>
      <c r="AA319" s="22" t="n">
        <f aca="false">IF(F319&lt;&gt;"Y",0,((SUMIF(Products!$E$5:$E$300,A319,Products!$F$5:$F$300)+SUMIF(RM_Lots!$A$5:$A$400,A319,RM_Lots!$D$5:$D$400))+IF(W319="Y",SUMIF(Products!$E$5:$E$300,A319,Products!$G$5:$G$300),0))*(1+N(V319)))</f>
        <v>0</v>
      </c>
      <c r="AB319" s="22" t="n">
        <f aca="false">IF(F319&lt;&gt;"Y",0,((SUMIF(Products!$E$5:$E$300,A319,Products!$K$5:$K$300)+SUMIF(RM_Lots!$A$5:$A$400,A319,RM_Lots!$F$5:$F$400))+IF(W319="Y",SUMIF(Products!$E$5:$E$300,A319,Products!$L$5:$L$300),0))*(1+N(V319)))</f>
        <v>0</v>
      </c>
      <c r="AC319" s="17" t="n">
        <f aca="false">IF(J319="",1,MAX(1,COUNTIFS($J$5:$J$863,J319,$F$5:$F$863,"Y")))</f>
        <v>1</v>
      </c>
      <c r="AD319" s="18" t="n">
        <f aca="false">(MAX(1,N(I319))*(P319+N(S319))+MAX(1,N(I319))*N(K319)/(MAX(1,N(U319))*AC319))*Settings!$B$9</f>
        <v>0</v>
      </c>
      <c r="AE319" s="18" t="n">
        <f aca="false">(MAX(1,N(I319))*N(Q319)+MAX(1,N(I319))*N(L319)/(MAX(1,N(U319))*AC319))*Settings!$B$8</f>
        <v>0</v>
      </c>
      <c r="AF319" s="18" t="n">
        <f aca="false">MAX(1,N(I319))*N(T319)</f>
        <v>0</v>
      </c>
      <c r="AG319" s="15" t="n">
        <f aca="false">AA319*N(AD319)</f>
        <v>0</v>
      </c>
      <c r="AH319" s="15" t="n">
        <f aca="false">AA319*N(AE319)</f>
        <v>0</v>
      </c>
      <c r="AI319" s="15" t="n">
        <f aca="false">AA319*N(AF319)</f>
        <v>0</v>
      </c>
      <c r="AJ319" s="15" t="n">
        <f aca="false">AA319*N(R319)</f>
        <v>0</v>
      </c>
      <c r="AK319" s="15" t="n">
        <f aca="false">AB319*N(AD319)</f>
        <v>0</v>
      </c>
      <c r="AL319" s="15" t="n">
        <f aca="false">AB319*N(AE319)</f>
        <v>0</v>
      </c>
      <c r="AM319" s="15" t="n">
        <f aca="false">AB319*N(AF319)</f>
        <v>0</v>
      </c>
      <c r="AN319" s="15" t="n">
        <f aca="false">AB319*N(R319)</f>
        <v>0</v>
      </c>
      <c r="AO319" s="21" t="str">
        <f aca="false">IF(F319&lt;&gt;"Y","n/a",IF(AND(N319&lt;&gt;"",OR(Q319&lt;&gt;"",G319="Other / bench",G319="None"),U319&lt;&gt;""),"OK","Missing"))</f>
        <v>n/a</v>
      </c>
    </row>
    <row r="320" customFormat="false" ht="15" hidden="false" customHeight="false" outlineLevel="0" collapsed="false">
      <c r="A320" s="10" t="s">
        <v>392</v>
      </c>
      <c r="B320" s="10" t="s">
        <v>659</v>
      </c>
      <c r="C320" s="10" t="s">
        <v>728</v>
      </c>
      <c r="D320" s="10" t="s">
        <v>665</v>
      </c>
      <c r="E320" s="21" t="str">
        <f aca="false">IF(A320="","",A320&amp;"|"&amp;D320)</f>
        <v>F53|Dissolution</v>
      </c>
      <c r="F320" s="16" t="s">
        <v>662</v>
      </c>
      <c r="G320" s="16" t="s">
        <v>147</v>
      </c>
      <c r="H320" s="16" t="s">
        <v>685</v>
      </c>
      <c r="I320" s="16" t="n">
        <v>1</v>
      </c>
      <c r="J320" s="16"/>
      <c r="K320" s="14"/>
      <c r="L320" s="14"/>
      <c r="M320" s="14"/>
      <c r="N320" s="14"/>
      <c r="O320" s="14"/>
      <c r="P320" s="18" t="n">
        <f aca="false">IF(N320="",0,IF(OR(M320="",O320=""),N320,(M320+4*N320+O320)/6))</f>
        <v>0</v>
      </c>
      <c r="Q320" s="14"/>
      <c r="R320" s="14"/>
      <c r="S320" s="14"/>
      <c r="T320" s="14"/>
      <c r="U320" s="16"/>
      <c r="V320" s="13"/>
      <c r="W320" s="16" t="s">
        <v>662</v>
      </c>
      <c r="X320" s="16"/>
      <c r="Y320" s="16"/>
      <c r="Z320" s="16"/>
      <c r="AA320" s="22" t="n">
        <f aca="false">IF(F320&lt;&gt;"Y",0,((SUMIF(Products!$E$5:$E$300,A320,Products!$F$5:$F$300)+SUMIF(RM_Lots!$A$5:$A$400,A320,RM_Lots!$D$5:$D$400))+IF(W320="Y",SUMIF(Products!$E$5:$E$300,A320,Products!$G$5:$G$300),0))*(1+N(V320)))</f>
        <v>0</v>
      </c>
      <c r="AB320" s="22" t="n">
        <f aca="false">IF(F320&lt;&gt;"Y",0,((SUMIF(Products!$E$5:$E$300,A320,Products!$K$5:$K$300)+SUMIF(RM_Lots!$A$5:$A$400,A320,RM_Lots!$F$5:$F$400))+IF(W320="Y",SUMIF(Products!$E$5:$E$300,A320,Products!$L$5:$L$300),0))*(1+N(V320)))</f>
        <v>0</v>
      </c>
      <c r="AC320" s="17" t="n">
        <f aca="false">IF(J320="",1,MAX(1,COUNTIFS($J$5:$J$863,J320,$F$5:$F$863,"Y")))</f>
        <v>1</v>
      </c>
      <c r="AD320" s="18" t="n">
        <f aca="false">(MAX(1,N(I320))*(P320+N(S320))+MAX(1,N(I320))*N(K320)/(MAX(1,N(U320))*AC320))*Settings!$B$9</f>
        <v>0</v>
      </c>
      <c r="AE320" s="18" t="n">
        <f aca="false">(MAX(1,N(I320))*N(Q320)+MAX(1,N(I320))*N(L320)/(MAX(1,N(U320))*AC320))*Settings!$B$8</f>
        <v>0</v>
      </c>
      <c r="AF320" s="18" t="n">
        <f aca="false">MAX(1,N(I320))*N(T320)</f>
        <v>0</v>
      </c>
      <c r="AG320" s="15" t="n">
        <f aca="false">AA320*N(AD320)</f>
        <v>0</v>
      </c>
      <c r="AH320" s="15" t="n">
        <f aca="false">AA320*N(AE320)</f>
        <v>0</v>
      </c>
      <c r="AI320" s="15" t="n">
        <f aca="false">AA320*N(AF320)</f>
        <v>0</v>
      </c>
      <c r="AJ320" s="15" t="n">
        <f aca="false">AA320*N(R320)</f>
        <v>0</v>
      </c>
      <c r="AK320" s="15" t="n">
        <f aca="false">AB320*N(AD320)</f>
        <v>0</v>
      </c>
      <c r="AL320" s="15" t="n">
        <f aca="false">AB320*N(AE320)</f>
        <v>0</v>
      </c>
      <c r="AM320" s="15" t="n">
        <f aca="false">AB320*N(AF320)</f>
        <v>0</v>
      </c>
      <c r="AN320" s="15" t="n">
        <f aca="false">AB320*N(R320)</f>
        <v>0</v>
      </c>
      <c r="AO320" s="21" t="str">
        <f aca="false">IF(F320&lt;&gt;"Y","n/a",IF(AND(N320&lt;&gt;"",OR(Q320&lt;&gt;"",G320="Other / bench",G320="None"),U320&lt;&gt;""),"OK","Missing"))</f>
        <v>Missing</v>
      </c>
    </row>
    <row r="321" customFormat="false" ht="15" hidden="false" customHeight="false" outlineLevel="0" collapsed="false">
      <c r="A321" s="10" t="s">
        <v>392</v>
      </c>
      <c r="B321" s="10" t="s">
        <v>659</v>
      </c>
      <c r="C321" s="10" t="s">
        <v>728</v>
      </c>
      <c r="D321" s="10" t="s">
        <v>666</v>
      </c>
      <c r="E321" s="21" t="str">
        <f aca="false">IF(A321="","",A321&amp;"|"&amp;D321)</f>
        <v>F53|Content uniformity</v>
      </c>
      <c r="F321" s="16" t="s">
        <v>667</v>
      </c>
      <c r="G321" s="16" t="s">
        <v>147</v>
      </c>
      <c r="H321" s="16" t="s">
        <v>685</v>
      </c>
      <c r="I321" s="16" t="n">
        <v>1</v>
      </c>
      <c r="J321" s="16"/>
      <c r="K321" s="14"/>
      <c r="L321" s="14"/>
      <c r="M321" s="14"/>
      <c r="N321" s="14"/>
      <c r="O321" s="14"/>
      <c r="P321" s="18" t="n">
        <f aca="false">IF(N321="",0,IF(OR(M321="",O321=""),N321,(M321+4*N321+O321)/6))</f>
        <v>0</v>
      </c>
      <c r="Q321" s="14"/>
      <c r="R321" s="14"/>
      <c r="S321" s="14"/>
      <c r="T321" s="14"/>
      <c r="U321" s="16"/>
      <c r="V321" s="13"/>
      <c r="W321" s="16" t="s">
        <v>667</v>
      </c>
      <c r="X321" s="16"/>
      <c r="Y321" s="16"/>
      <c r="Z321" s="16"/>
      <c r="AA321" s="22" t="n">
        <f aca="false">IF(F321&lt;&gt;"Y",0,((SUMIF(Products!$E$5:$E$300,A321,Products!$F$5:$F$300)+SUMIF(RM_Lots!$A$5:$A$400,A321,RM_Lots!$D$5:$D$400))+IF(W321="Y",SUMIF(Products!$E$5:$E$300,A321,Products!$G$5:$G$300),0))*(1+N(V321)))</f>
        <v>0</v>
      </c>
      <c r="AB321" s="22" t="n">
        <f aca="false">IF(F321&lt;&gt;"Y",0,((SUMIF(Products!$E$5:$E$300,A321,Products!$K$5:$K$300)+SUMIF(RM_Lots!$A$5:$A$400,A321,RM_Lots!$F$5:$F$400))+IF(W321="Y",SUMIF(Products!$E$5:$E$300,A321,Products!$L$5:$L$300),0))*(1+N(V321)))</f>
        <v>0</v>
      </c>
      <c r="AC321" s="17" t="n">
        <f aca="false">IF(J321="",1,MAX(1,COUNTIFS($J$5:$J$863,J321,$F$5:$F$863,"Y")))</f>
        <v>1</v>
      </c>
      <c r="AD321" s="18" t="n">
        <f aca="false">(MAX(1,N(I321))*(P321+N(S321))+MAX(1,N(I321))*N(K321)/(MAX(1,N(U321))*AC321))*Settings!$B$9</f>
        <v>0</v>
      </c>
      <c r="AE321" s="18" t="n">
        <f aca="false">(MAX(1,N(I321))*N(Q321)+MAX(1,N(I321))*N(L321)/(MAX(1,N(U321))*AC321))*Settings!$B$8</f>
        <v>0</v>
      </c>
      <c r="AF321" s="18" t="n">
        <f aca="false">MAX(1,N(I321))*N(T321)</f>
        <v>0</v>
      </c>
      <c r="AG321" s="15" t="n">
        <f aca="false">AA321*N(AD321)</f>
        <v>0</v>
      </c>
      <c r="AH321" s="15" t="n">
        <f aca="false">AA321*N(AE321)</f>
        <v>0</v>
      </c>
      <c r="AI321" s="15" t="n">
        <f aca="false">AA321*N(AF321)</f>
        <v>0</v>
      </c>
      <c r="AJ321" s="15" t="n">
        <f aca="false">AA321*N(R321)</f>
        <v>0</v>
      </c>
      <c r="AK321" s="15" t="n">
        <f aca="false">AB321*N(AD321)</f>
        <v>0</v>
      </c>
      <c r="AL321" s="15" t="n">
        <f aca="false">AB321*N(AE321)</f>
        <v>0</v>
      </c>
      <c r="AM321" s="15" t="n">
        <f aca="false">AB321*N(AF321)</f>
        <v>0</v>
      </c>
      <c r="AN321" s="15" t="n">
        <f aca="false">AB321*N(R321)</f>
        <v>0</v>
      </c>
      <c r="AO321" s="21" t="str">
        <f aca="false">IF(F321&lt;&gt;"Y","n/a",IF(AND(N321&lt;&gt;"",OR(Q321&lt;&gt;"",G321="Other / bench",G321="None"),U321&lt;&gt;""),"OK","Missing"))</f>
        <v>n/a</v>
      </c>
    </row>
    <row r="322" customFormat="false" ht="15" hidden="false" customHeight="false" outlineLevel="0" collapsed="false">
      <c r="A322" s="10" t="s">
        <v>392</v>
      </c>
      <c r="B322" s="10" t="s">
        <v>659</v>
      </c>
      <c r="C322" s="10" t="s">
        <v>728</v>
      </c>
      <c r="D322" s="10" t="s">
        <v>668</v>
      </c>
      <c r="E322" s="21" t="str">
        <f aca="false">IF(A322="","",A322&amp;"|"&amp;D322)</f>
        <v>F53|Identification (if separate from assay)</v>
      </c>
      <c r="F322" s="16" t="s">
        <v>667</v>
      </c>
      <c r="G322" s="16" t="s">
        <v>147</v>
      </c>
      <c r="H322" s="16" t="s">
        <v>685</v>
      </c>
      <c r="I322" s="16" t="n">
        <v>1</v>
      </c>
      <c r="J322" s="16"/>
      <c r="K322" s="14"/>
      <c r="L322" s="14"/>
      <c r="M322" s="14"/>
      <c r="N322" s="14"/>
      <c r="O322" s="14"/>
      <c r="P322" s="18" t="n">
        <f aca="false">IF(N322="",0,IF(OR(M322="",O322=""),N322,(M322+4*N322+O322)/6))</f>
        <v>0</v>
      </c>
      <c r="Q322" s="14"/>
      <c r="R322" s="14"/>
      <c r="S322" s="14"/>
      <c r="T322" s="14"/>
      <c r="U322" s="16"/>
      <c r="V322" s="13"/>
      <c r="W322" s="16" t="s">
        <v>667</v>
      </c>
      <c r="X322" s="16"/>
      <c r="Y322" s="16"/>
      <c r="Z322" s="16"/>
      <c r="AA322" s="22" t="n">
        <f aca="false">IF(F322&lt;&gt;"Y",0,((SUMIF(Products!$E$5:$E$300,A322,Products!$F$5:$F$300)+SUMIF(RM_Lots!$A$5:$A$400,A322,RM_Lots!$D$5:$D$400))+IF(W322="Y",SUMIF(Products!$E$5:$E$300,A322,Products!$G$5:$G$300),0))*(1+N(V322)))</f>
        <v>0</v>
      </c>
      <c r="AB322" s="22" t="n">
        <f aca="false">IF(F322&lt;&gt;"Y",0,((SUMIF(Products!$E$5:$E$300,A322,Products!$K$5:$K$300)+SUMIF(RM_Lots!$A$5:$A$400,A322,RM_Lots!$F$5:$F$400))+IF(W322="Y",SUMIF(Products!$E$5:$E$300,A322,Products!$L$5:$L$300),0))*(1+N(V322)))</f>
        <v>0</v>
      </c>
      <c r="AC322" s="17" t="n">
        <f aca="false">IF(J322="",1,MAX(1,COUNTIFS($J$5:$J$863,J322,$F$5:$F$863,"Y")))</f>
        <v>1</v>
      </c>
      <c r="AD322" s="18" t="n">
        <f aca="false">(MAX(1,N(I322))*(P322+N(S322))+MAX(1,N(I322))*N(K322)/(MAX(1,N(U322))*AC322))*Settings!$B$9</f>
        <v>0</v>
      </c>
      <c r="AE322" s="18" t="n">
        <f aca="false">(MAX(1,N(I322))*N(Q322)+MAX(1,N(I322))*N(L322)/(MAX(1,N(U322))*AC322))*Settings!$B$8</f>
        <v>0</v>
      </c>
      <c r="AF322" s="18" t="n">
        <f aca="false">MAX(1,N(I322))*N(T322)</f>
        <v>0</v>
      </c>
      <c r="AG322" s="15" t="n">
        <f aca="false">AA322*N(AD322)</f>
        <v>0</v>
      </c>
      <c r="AH322" s="15" t="n">
        <f aca="false">AA322*N(AE322)</f>
        <v>0</v>
      </c>
      <c r="AI322" s="15" t="n">
        <f aca="false">AA322*N(AF322)</f>
        <v>0</v>
      </c>
      <c r="AJ322" s="15" t="n">
        <f aca="false">AA322*N(R322)</f>
        <v>0</v>
      </c>
      <c r="AK322" s="15" t="n">
        <f aca="false">AB322*N(AD322)</f>
        <v>0</v>
      </c>
      <c r="AL322" s="15" t="n">
        <f aca="false">AB322*N(AE322)</f>
        <v>0</v>
      </c>
      <c r="AM322" s="15" t="n">
        <f aca="false">AB322*N(AF322)</f>
        <v>0</v>
      </c>
      <c r="AN322" s="15" t="n">
        <f aca="false">AB322*N(R322)</f>
        <v>0</v>
      </c>
      <c r="AO322" s="21" t="str">
        <f aca="false">IF(F322&lt;&gt;"Y","n/a",IF(AND(N322&lt;&gt;"",OR(Q322&lt;&gt;"",G322="Other / bench",G322="None"),U322&lt;&gt;""),"OK","Missing"))</f>
        <v>n/a</v>
      </c>
    </row>
    <row r="323" customFormat="false" ht="15" hidden="false" customHeight="false" outlineLevel="0" collapsed="false">
      <c r="A323" s="10" t="s">
        <v>392</v>
      </c>
      <c r="B323" s="10" t="s">
        <v>659</v>
      </c>
      <c r="C323" s="10" t="s">
        <v>728</v>
      </c>
      <c r="D323" s="10" t="s">
        <v>669</v>
      </c>
      <c r="E323" s="21" t="str">
        <f aca="false">IF(A323="","",A323&amp;"|"&amp;D323)</f>
        <v>F53|Other tests (non-HPLC: physical, LOD/KF, disintegration, pH, micro...)</v>
      </c>
      <c r="F323" s="16" t="s">
        <v>662</v>
      </c>
      <c r="G323" s="16" t="s">
        <v>670</v>
      </c>
      <c r="H323" s="16" t="s">
        <v>685</v>
      </c>
      <c r="I323" s="16" t="n">
        <v>1</v>
      </c>
      <c r="J323" s="16"/>
      <c r="K323" s="14"/>
      <c r="L323" s="14"/>
      <c r="M323" s="14"/>
      <c r="N323" s="14"/>
      <c r="O323" s="14"/>
      <c r="P323" s="18" t="n">
        <f aca="false">IF(N323="",0,IF(OR(M323="",O323=""),N323,(M323+4*N323+O323)/6))</f>
        <v>0</v>
      </c>
      <c r="Q323" s="14"/>
      <c r="R323" s="14"/>
      <c r="S323" s="14"/>
      <c r="T323" s="14"/>
      <c r="U323" s="16"/>
      <c r="V323" s="13"/>
      <c r="W323" s="16" t="s">
        <v>662</v>
      </c>
      <c r="X323" s="16"/>
      <c r="Y323" s="16"/>
      <c r="Z323" s="16"/>
      <c r="AA323" s="22" t="n">
        <f aca="false">IF(F323&lt;&gt;"Y",0,((SUMIF(Products!$E$5:$E$300,A323,Products!$F$5:$F$300)+SUMIF(RM_Lots!$A$5:$A$400,A323,RM_Lots!$D$5:$D$400))+IF(W323="Y",SUMIF(Products!$E$5:$E$300,A323,Products!$G$5:$G$300),0))*(1+N(V323)))</f>
        <v>0</v>
      </c>
      <c r="AB323" s="22" t="n">
        <f aca="false">IF(F323&lt;&gt;"Y",0,((SUMIF(Products!$E$5:$E$300,A323,Products!$K$5:$K$300)+SUMIF(RM_Lots!$A$5:$A$400,A323,RM_Lots!$F$5:$F$400))+IF(W323="Y",SUMIF(Products!$E$5:$E$300,A323,Products!$L$5:$L$300),0))*(1+N(V323)))</f>
        <v>0</v>
      </c>
      <c r="AC323" s="17" t="n">
        <f aca="false">IF(J323="",1,MAX(1,COUNTIFS($J$5:$J$863,J323,$F$5:$F$863,"Y")))</f>
        <v>1</v>
      </c>
      <c r="AD323" s="18" t="n">
        <f aca="false">(MAX(1,N(I323))*(P323+N(S323))+MAX(1,N(I323))*N(K323)/(MAX(1,N(U323))*AC323))*Settings!$B$9</f>
        <v>0</v>
      </c>
      <c r="AE323" s="18" t="n">
        <f aca="false">(MAX(1,N(I323))*N(Q323)+MAX(1,N(I323))*N(L323)/(MAX(1,N(U323))*AC323))*Settings!$B$8</f>
        <v>0</v>
      </c>
      <c r="AF323" s="18" t="n">
        <f aca="false">MAX(1,N(I323))*N(T323)</f>
        <v>0</v>
      </c>
      <c r="AG323" s="15" t="n">
        <f aca="false">AA323*N(AD323)</f>
        <v>0</v>
      </c>
      <c r="AH323" s="15" t="n">
        <f aca="false">AA323*N(AE323)</f>
        <v>0</v>
      </c>
      <c r="AI323" s="15" t="n">
        <f aca="false">AA323*N(AF323)</f>
        <v>0</v>
      </c>
      <c r="AJ323" s="15" t="n">
        <f aca="false">AA323*N(R323)</f>
        <v>0</v>
      </c>
      <c r="AK323" s="15" t="n">
        <f aca="false">AB323*N(AD323)</f>
        <v>0</v>
      </c>
      <c r="AL323" s="15" t="n">
        <f aca="false">AB323*N(AE323)</f>
        <v>0</v>
      </c>
      <c r="AM323" s="15" t="n">
        <f aca="false">AB323*N(AF323)</f>
        <v>0</v>
      </c>
      <c r="AN323" s="15" t="n">
        <f aca="false">AB323*N(R323)</f>
        <v>0</v>
      </c>
      <c r="AO323" s="21" t="str">
        <f aca="false">IF(F323&lt;&gt;"Y","n/a",IF(AND(N323&lt;&gt;"",OR(Q323&lt;&gt;"",G323="Other / bench",G323="None"),U323&lt;&gt;""),"OK","Missing"))</f>
        <v>Missing</v>
      </c>
    </row>
    <row r="324" customFormat="false" ht="15" hidden="false" customHeight="false" outlineLevel="0" collapsed="false">
      <c r="A324" s="10" t="s">
        <v>396</v>
      </c>
      <c r="B324" s="10" t="s">
        <v>659</v>
      </c>
      <c r="C324" s="10" t="s">
        <v>729</v>
      </c>
      <c r="D324" s="10" t="s">
        <v>661</v>
      </c>
      <c r="E324" s="21" t="str">
        <f aca="false">IF(A324="","",A324&amp;"|"&amp;D324)</f>
        <v>F54|Assay</v>
      </c>
      <c r="F324" s="16" t="s">
        <v>662</v>
      </c>
      <c r="G324" s="16" t="s">
        <v>147</v>
      </c>
      <c r="H324" s="16" t="s">
        <v>663</v>
      </c>
      <c r="I324" s="16" t="n">
        <v>1</v>
      </c>
      <c r="J324" s="16"/>
      <c r="K324" s="14"/>
      <c r="L324" s="14"/>
      <c r="M324" s="14"/>
      <c r="N324" s="14"/>
      <c r="O324" s="14"/>
      <c r="P324" s="18" t="n">
        <f aca="false">IF(N324="",0,IF(OR(M324="",O324=""),N324,(M324+4*N324+O324)/6))</f>
        <v>0</v>
      </c>
      <c r="Q324" s="14"/>
      <c r="R324" s="14"/>
      <c r="S324" s="14"/>
      <c r="T324" s="14"/>
      <c r="U324" s="16"/>
      <c r="V324" s="13"/>
      <c r="W324" s="16" t="s">
        <v>662</v>
      </c>
      <c r="X324" s="16"/>
      <c r="Y324" s="16"/>
      <c r="Z324" s="16"/>
      <c r="AA324" s="22" t="n">
        <f aca="false">IF(F324&lt;&gt;"Y",0,((SUMIF(Products!$E$5:$E$300,A324,Products!$F$5:$F$300)+SUMIF(RM_Lots!$A$5:$A$400,A324,RM_Lots!$D$5:$D$400))+IF(W324="Y",SUMIF(Products!$E$5:$E$300,A324,Products!$G$5:$G$300),0))*(1+N(V324)))</f>
        <v>0</v>
      </c>
      <c r="AB324" s="22" t="n">
        <f aca="false">IF(F324&lt;&gt;"Y",0,((SUMIF(Products!$E$5:$E$300,A324,Products!$K$5:$K$300)+SUMIF(RM_Lots!$A$5:$A$400,A324,RM_Lots!$F$5:$F$400))+IF(W324="Y",SUMIF(Products!$E$5:$E$300,A324,Products!$L$5:$L$300),0))*(1+N(V324)))</f>
        <v>0</v>
      </c>
      <c r="AC324" s="17" t="n">
        <f aca="false">IF(J324="",1,MAX(1,COUNTIFS($J$5:$J$863,J324,$F$5:$F$863,"Y")))</f>
        <v>1</v>
      </c>
      <c r="AD324" s="18" t="n">
        <f aca="false">(MAX(1,N(I324))*(P324+N(S324))+MAX(1,N(I324))*N(K324)/(MAX(1,N(U324))*AC324))*Settings!$B$9</f>
        <v>0</v>
      </c>
      <c r="AE324" s="18" t="n">
        <f aca="false">(MAX(1,N(I324))*N(Q324)+MAX(1,N(I324))*N(L324)/(MAX(1,N(U324))*AC324))*Settings!$B$8</f>
        <v>0</v>
      </c>
      <c r="AF324" s="18" t="n">
        <f aca="false">MAX(1,N(I324))*N(T324)</f>
        <v>0</v>
      </c>
      <c r="AG324" s="15" t="n">
        <f aca="false">AA324*N(AD324)</f>
        <v>0</v>
      </c>
      <c r="AH324" s="15" t="n">
        <f aca="false">AA324*N(AE324)</f>
        <v>0</v>
      </c>
      <c r="AI324" s="15" t="n">
        <f aca="false">AA324*N(AF324)</f>
        <v>0</v>
      </c>
      <c r="AJ324" s="15" t="n">
        <f aca="false">AA324*N(R324)</f>
        <v>0</v>
      </c>
      <c r="AK324" s="15" t="n">
        <f aca="false">AB324*N(AD324)</f>
        <v>0</v>
      </c>
      <c r="AL324" s="15" t="n">
        <f aca="false">AB324*N(AE324)</f>
        <v>0</v>
      </c>
      <c r="AM324" s="15" t="n">
        <f aca="false">AB324*N(AF324)</f>
        <v>0</v>
      </c>
      <c r="AN324" s="15" t="n">
        <f aca="false">AB324*N(R324)</f>
        <v>0</v>
      </c>
      <c r="AO324" s="21" t="str">
        <f aca="false">IF(F324&lt;&gt;"Y","n/a",IF(AND(N324&lt;&gt;"",OR(Q324&lt;&gt;"",G324="Other / bench",G324="None"),U324&lt;&gt;""),"OK","Missing"))</f>
        <v>Missing</v>
      </c>
    </row>
    <row r="325" customFormat="false" ht="15" hidden="false" customHeight="false" outlineLevel="0" collapsed="false">
      <c r="A325" s="10" t="s">
        <v>396</v>
      </c>
      <c r="B325" s="10" t="s">
        <v>659</v>
      </c>
      <c r="C325" s="10" t="s">
        <v>729</v>
      </c>
      <c r="D325" s="10" t="s">
        <v>664</v>
      </c>
      <c r="E325" s="21" t="str">
        <f aca="false">IF(A325="","",A325&amp;"|"&amp;D325)</f>
        <v>F54|Related substances / impurities</v>
      </c>
      <c r="F325" s="16" t="s">
        <v>662</v>
      </c>
      <c r="G325" s="16" t="s">
        <v>147</v>
      </c>
      <c r="H325" s="16" t="s">
        <v>663</v>
      </c>
      <c r="I325" s="16" t="n">
        <v>1</v>
      </c>
      <c r="J325" s="16"/>
      <c r="K325" s="14"/>
      <c r="L325" s="14"/>
      <c r="M325" s="14"/>
      <c r="N325" s="14"/>
      <c r="O325" s="14"/>
      <c r="P325" s="18" t="n">
        <f aca="false">IF(N325="",0,IF(OR(M325="",O325=""),N325,(M325+4*N325+O325)/6))</f>
        <v>0</v>
      </c>
      <c r="Q325" s="14"/>
      <c r="R325" s="14"/>
      <c r="S325" s="14"/>
      <c r="T325" s="14"/>
      <c r="U325" s="16"/>
      <c r="V325" s="13"/>
      <c r="W325" s="16" t="s">
        <v>662</v>
      </c>
      <c r="X325" s="16"/>
      <c r="Y325" s="16"/>
      <c r="Z325" s="16"/>
      <c r="AA325" s="22" t="n">
        <f aca="false">IF(F325&lt;&gt;"Y",0,((SUMIF(Products!$E$5:$E$300,A325,Products!$F$5:$F$300)+SUMIF(RM_Lots!$A$5:$A$400,A325,RM_Lots!$D$5:$D$400))+IF(W325="Y",SUMIF(Products!$E$5:$E$300,A325,Products!$G$5:$G$300),0))*(1+N(V325)))</f>
        <v>0</v>
      </c>
      <c r="AB325" s="22" t="n">
        <f aca="false">IF(F325&lt;&gt;"Y",0,((SUMIF(Products!$E$5:$E$300,A325,Products!$K$5:$K$300)+SUMIF(RM_Lots!$A$5:$A$400,A325,RM_Lots!$F$5:$F$400))+IF(W325="Y",SUMIF(Products!$E$5:$E$300,A325,Products!$L$5:$L$300),0))*(1+N(V325)))</f>
        <v>0</v>
      </c>
      <c r="AC325" s="17" t="n">
        <f aca="false">IF(J325="",1,MAX(1,COUNTIFS($J$5:$J$863,J325,$F$5:$F$863,"Y")))</f>
        <v>1</v>
      </c>
      <c r="AD325" s="18" t="n">
        <f aca="false">(MAX(1,N(I325))*(P325+N(S325))+MAX(1,N(I325))*N(K325)/(MAX(1,N(U325))*AC325))*Settings!$B$9</f>
        <v>0</v>
      </c>
      <c r="AE325" s="18" t="n">
        <f aca="false">(MAX(1,N(I325))*N(Q325)+MAX(1,N(I325))*N(L325)/(MAX(1,N(U325))*AC325))*Settings!$B$8</f>
        <v>0</v>
      </c>
      <c r="AF325" s="18" t="n">
        <f aca="false">MAX(1,N(I325))*N(T325)</f>
        <v>0</v>
      </c>
      <c r="AG325" s="15" t="n">
        <f aca="false">AA325*N(AD325)</f>
        <v>0</v>
      </c>
      <c r="AH325" s="15" t="n">
        <f aca="false">AA325*N(AE325)</f>
        <v>0</v>
      </c>
      <c r="AI325" s="15" t="n">
        <f aca="false">AA325*N(AF325)</f>
        <v>0</v>
      </c>
      <c r="AJ325" s="15" t="n">
        <f aca="false">AA325*N(R325)</f>
        <v>0</v>
      </c>
      <c r="AK325" s="15" t="n">
        <f aca="false">AB325*N(AD325)</f>
        <v>0</v>
      </c>
      <c r="AL325" s="15" t="n">
        <f aca="false">AB325*N(AE325)</f>
        <v>0</v>
      </c>
      <c r="AM325" s="15" t="n">
        <f aca="false">AB325*N(AF325)</f>
        <v>0</v>
      </c>
      <c r="AN325" s="15" t="n">
        <f aca="false">AB325*N(R325)</f>
        <v>0</v>
      </c>
      <c r="AO325" s="21" t="str">
        <f aca="false">IF(F325&lt;&gt;"Y","n/a",IF(AND(N325&lt;&gt;"",OR(Q325&lt;&gt;"",G325="Other / bench",G325="None"),U325&lt;&gt;""),"OK","Missing"))</f>
        <v>Missing</v>
      </c>
    </row>
    <row r="326" customFormat="false" ht="15" hidden="false" customHeight="false" outlineLevel="0" collapsed="false">
      <c r="A326" s="10" t="s">
        <v>396</v>
      </c>
      <c r="B326" s="10" t="s">
        <v>659</v>
      </c>
      <c r="C326" s="10" t="s">
        <v>729</v>
      </c>
      <c r="D326" s="10" t="s">
        <v>665</v>
      </c>
      <c r="E326" s="21" t="str">
        <f aca="false">IF(A326="","",A326&amp;"|"&amp;D326)</f>
        <v>F54|Dissolution</v>
      </c>
      <c r="F326" s="16" t="s">
        <v>662</v>
      </c>
      <c r="G326" s="16" t="s">
        <v>147</v>
      </c>
      <c r="H326" s="16" t="s">
        <v>663</v>
      </c>
      <c r="I326" s="16" t="n">
        <v>1</v>
      </c>
      <c r="J326" s="16"/>
      <c r="K326" s="14"/>
      <c r="L326" s="14"/>
      <c r="M326" s="14"/>
      <c r="N326" s="14"/>
      <c r="O326" s="14"/>
      <c r="P326" s="18" t="n">
        <f aca="false">IF(N326="",0,IF(OR(M326="",O326=""),N326,(M326+4*N326+O326)/6))</f>
        <v>0</v>
      </c>
      <c r="Q326" s="14"/>
      <c r="R326" s="14"/>
      <c r="S326" s="14"/>
      <c r="T326" s="14"/>
      <c r="U326" s="16"/>
      <c r="V326" s="13"/>
      <c r="W326" s="16" t="s">
        <v>662</v>
      </c>
      <c r="X326" s="16"/>
      <c r="Y326" s="16"/>
      <c r="Z326" s="16"/>
      <c r="AA326" s="22" t="n">
        <f aca="false">IF(F326&lt;&gt;"Y",0,((SUMIF(Products!$E$5:$E$300,A326,Products!$F$5:$F$300)+SUMIF(RM_Lots!$A$5:$A$400,A326,RM_Lots!$D$5:$D$400))+IF(W326="Y",SUMIF(Products!$E$5:$E$300,A326,Products!$G$5:$G$300),0))*(1+N(V326)))</f>
        <v>0</v>
      </c>
      <c r="AB326" s="22" t="n">
        <f aca="false">IF(F326&lt;&gt;"Y",0,((SUMIF(Products!$E$5:$E$300,A326,Products!$K$5:$K$300)+SUMIF(RM_Lots!$A$5:$A$400,A326,RM_Lots!$F$5:$F$400))+IF(W326="Y",SUMIF(Products!$E$5:$E$300,A326,Products!$L$5:$L$300),0))*(1+N(V326)))</f>
        <v>0</v>
      </c>
      <c r="AC326" s="17" t="n">
        <f aca="false">IF(J326="",1,MAX(1,COUNTIFS($J$5:$J$863,J326,$F$5:$F$863,"Y")))</f>
        <v>1</v>
      </c>
      <c r="AD326" s="18" t="n">
        <f aca="false">(MAX(1,N(I326))*(P326+N(S326))+MAX(1,N(I326))*N(K326)/(MAX(1,N(U326))*AC326))*Settings!$B$9</f>
        <v>0</v>
      </c>
      <c r="AE326" s="18" t="n">
        <f aca="false">(MAX(1,N(I326))*N(Q326)+MAX(1,N(I326))*N(L326)/(MAX(1,N(U326))*AC326))*Settings!$B$8</f>
        <v>0</v>
      </c>
      <c r="AF326" s="18" t="n">
        <f aca="false">MAX(1,N(I326))*N(T326)</f>
        <v>0</v>
      </c>
      <c r="AG326" s="15" t="n">
        <f aca="false">AA326*N(AD326)</f>
        <v>0</v>
      </c>
      <c r="AH326" s="15" t="n">
        <f aca="false">AA326*N(AE326)</f>
        <v>0</v>
      </c>
      <c r="AI326" s="15" t="n">
        <f aca="false">AA326*N(AF326)</f>
        <v>0</v>
      </c>
      <c r="AJ326" s="15" t="n">
        <f aca="false">AA326*N(R326)</f>
        <v>0</v>
      </c>
      <c r="AK326" s="15" t="n">
        <f aca="false">AB326*N(AD326)</f>
        <v>0</v>
      </c>
      <c r="AL326" s="15" t="n">
        <f aca="false">AB326*N(AE326)</f>
        <v>0</v>
      </c>
      <c r="AM326" s="15" t="n">
        <f aca="false">AB326*N(AF326)</f>
        <v>0</v>
      </c>
      <c r="AN326" s="15" t="n">
        <f aca="false">AB326*N(R326)</f>
        <v>0</v>
      </c>
      <c r="AO326" s="21" t="str">
        <f aca="false">IF(F326&lt;&gt;"Y","n/a",IF(AND(N326&lt;&gt;"",OR(Q326&lt;&gt;"",G326="Other / bench",G326="None"),U326&lt;&gt;""),"OK","Missing"))</f>
        <v>Missing</v>
      </c>
    </row>
    <row r="327" customFormat="false" ht="15" hidden="false" customHeight="false" outlineLevel="0" collapsed="false">
      <c r="A327" s="10" t="s">
        <v>396</v>
      </c>
      <c r="B327" s="10" t="s">
        <v>659</v>
      </c>
      <c r="C327" s="10" t="s">
        <v>729</v>
      </c>
      <c r="D327" s="10" t="s">
        <v>666</v>
      </c>
      <c r="E327" s="21" t="str">
        <f aca="false">IF(A327="","",A327&amp;"|"&amp;D327)</f>
        <v>F54|Content uniformity</v>
      </c>
      <c r="F327" s="16" t="s">
        <v>662</v>
      </c>
      <c r="G327" s="16" t="s">
        <v>147</v>
      </c>
      <c r="H327" s="16" t="s">
        <v>663</v>
      </c>
      <c r="I327" s="16" t="n">
        <v>1</v>
      </c>
      <c r="J327" s="16"/>
      <c r="K327" s="14"/>
      <c r="L327" s="14"/>
      <c r="M327" s="14"/>
      <c r="N327" s="14"/>
      <c r="O327" s="14"/>
      <c r="P327" s="18" t="n">
        <f aca="false">IF(N327="",0,IF(OR(M327="",O327=""),N327,(M327+4*N327+O327)/6))</f>
        <v>0</v>
      </c>
      <c r="Q327" s="14"/>
      <c r="R327" s="14"/>
      <c r="S327" s="14"/>
      <c r="T327" s="14"/>
      <c r="U327" s="16"/>
      <c r="V327" s="13"/>
      <c r="W327" s="16" t="s">
        <v>667</v>
      </c>
      <c r="X327" s="16"/>
      <c r="Y327" s="16"/>
      <c r="Z327" s="16"/>
      <c r="AA327" s="22" t="n">
        <f aca="false">IF(F327&lt;&gt;"Y",0,((SUMIF(Products!$E$5:$E$300,A327,Products!$F$5:$F$300)+SUMIF(RM_Lots!$A$5:$A$400,A327,RM_Lots!$D$5:$D$400))+IF(W327="Y",SUMIF(Products!$E$5:$E$300,A327,Products!$G$5:$G$300),0))*(1+N(V327)))</f>
        <v>0</v>
      </c>
      <c r="AB327" s="22" t="n">
        <f aca="false">IF(F327&lt;&gt;"Y",0,((SUMIF(Products!$E$5:$E$300,A327,Products!$K$5:$K$300)+SUMIF(RM_Lots!$A$5:$A$400,A327,RM_Lots!$F$5:$F$400))+IF(W327="Y",SUMIF(Products!$E$5:$E$300,A327,Products!$L$5:$L$300),0))*(1+N(V327)))</f>
        <v>0</v>
      </c>
      <c r="AC327" s="17" t="n">
        <f aca="false">IF(J327="",1,MAX(1,COUNTIFS($J$5:$J$863,J327,$F$5:$F$863,"Y")))</f>
        <v>1</v>
      </c>
      <c r="AD327" s="18" t="n">
        <f aca="false">(MAX(1,N(I327))*(P327+N(S327))+MAX(1,N(I327))*N(K327)/(MAX(1,N(U327))*AC327))*Settings!$B$9</f>
        <v>0</v>
      </c>
      <c r="AE327" s="18" t="n">
        <f aca="false">(MAX(1,N(I327))*N(Q327)+MAX(1,N(I327))*N(L327)/(MAX(1,N(U327))*AC327))*Settings!$B$8</f>
        <v>0</v>
      </c>
      <c r="AF327" s="18" t="n">
        <f aca="false">MAX(1,N(I327))*N(T327)</f>
        <v>0</v>
      </c>
      <c r="AG327" s="15" t="n">
        <f aca="false">AA327*N(AD327)</f>
        <v>0</v>
      </c>
      <c r="AH327" s="15" t="n">
        <f aca="false">AA327*N(AE327)</f>
        <v>0</v>
      </c>
      <c r="AI327" s="15" t="n">
        <f aca="false">AA327*N(AF327)</f>
        <v>0</v>
      </c>
      <c r="AJ327" s="15" t="n">
        <f aca="false">AA327*N(R327)</f>
        <v>0</v>
      </c>
      <c r="AK327" s="15" t="n">
        <f aca="false">AB327*N(AD327)</f>
        <v>0</v>
      </c>
      <c r="AL327" s="15" t="n">
        <f aca="false">AB327*N(AE327)</f>
        <v>0</v>
      </c>
      <c r="AM327" s="15" t="n">
        <f aca="false">AB327*N(AF327)</f>
        <v>0</v>
      </c>
      <c r="AN327" s="15" t="n">
        <f aca="false">AB327*N(R327)</f>
        <v>0</v>
      </c>
      <c r="AO327" s="21" t="str">
        <f aca="false">IF(F327&lt;&gt;"Y","n/a",IF(AND(N327&lt;&gt;"",OR(Q327&lt;&gt;"",G327="Other / bench",G327="None"),U327&lt;&gt;""),"OK","Missing"))</f>
        <v>Missing</v>
      </c>
    </row>
    <row r="328" customFormat="false" ht="15" hidden="false" customHeight="false" outlineLevel="0" collapsed="false">
      <c r="A328" s="10" t="s">
        <v>396</v>
      </c>
      <c r="B328" s="10" t="s">
        <v>659</v>
      </c>
      <c r="C328" s="10" t="s">
        <v>729</v>
      </c>
      <c r="D328" s="10" t="s">
        <v>668</v>
      </c>
      <c r="E328" s="21" t="str">
        <f aca="false">IF(A328="","",A328&amp;"|"&amp;D328)</f>
        <v>F54|Identification (if separate from assay)</v>
      </c>
      <c r="F328" s="16" t="s">
        <v>667</v>
      </c>
      <c r="G328" s="16" t="s">
        <v>147</v>
      </c>
      <c r="H328" s="16" t="s">
        <v>663</v>
      </c>
      <c r="I328" s="16" t="n">
        <v>1</v>
      </c>
      <c r="J328" s="16"/>
      <c r="K328" s="14"/>
      <c r="L328" s="14"/>
      <c r="M328" s="14"/>
      <c r="N328" s="14"/>
      <c r="O328" s="14"/>
      <c r="P328" s="18" t="n">
        <f aca="false">IF(N328="",0,IF(OR(M328="",O328=""),N328,(M328+4*N328+O328)/6))</f>
        <v>0</v>
      </c>
      <c r="Q328" s="14"/>
      <c r="R328" s="14"/>
      <c r="S328" s="14"/>
      <c r="T328" s="14"/>
      <c r="U328" s="16"/>
      <c r="V328" s="13"/>
      <c r="W328" s="16" t="s">
        <v>667</v>
      </c>
      <c r="X328" s="16"/>
      <c r="Y328" s="16"/>
      <c r="Z328" s="16"/>
      <c r="AA328" s="22" t="n">
        <f aca="false">IF(F328&lt;&gt;"Y",0,((SUMIF(Products!$E$5:$E$300,A328,Products!$F$5:$F$300)+SUMIF(RM_Lots!$A$5:$A$400,A328,RM_Lots!$D$5:$D$400))+IF(W328="Y",SUMIF(Products!$E$5:$E$300,A328,Products!$G$5:$G$300),0))*(1+N(V328)))</f>
        <v>0</v>
      </c>
      <c r="AB328" s="22" t="n">
        <f aca="false">IF(F328&lt;&gt;"Y",0,((SUMIF(Products!$E$5:$E$300,A328,Products!$K$5:$K$300)+SUMIF(RM_Lots!$A$5:$A$400,A328,RM_Lots!$F$5:$F$400))+IF(W328="Y",SUMIF(Products!$E$5:$E$300,A328,Products!$L$5:$L$300),0))*(1+N(V328)))</f>
        <v>0</v>
      </c>
      <c r="AC328" s="17" t="n">
        <f aca="false">IF(J328="",1,MAX(1,COUNTIFS($J$5:$J$863,J328,$F$5:$F$863,"Y")))</f>
        <v>1</v>
      </c>
      <c r="AD328" s="18" t="n">
        <f aca="false">(MAX(1,N(I328))*(P328+N(S328))+MAX(1,N(I328))*N(K328)/(MAX(1,N(U328))*AC328))*Settings!$B$9</f>
        <v>0</v>
      </c>
      <c r="AE328" s="18" t="n">
        <f aca="false">(MAX(1,N(I328))*N(Q328)+MAX(1,N(I328))*N(L328)/(MAX(1,N(U328))*AC328))*Settings!$B$8</f>
        <v>0</v>
      </c>
      <c r="AF328" s="18" t="n">
        <f aca="false">MAX(1,N(I328))*N(T328)</f>
        <v>0</v>
      </c>
      <c r="AG328" s="15" t="n">
        <f aca="false">AA328*N(AD328)</f>
        <v>0</v>
      </c>
      <c r="AH328" s="15" t="n">
        <f aca="false">AA328*N(AE328)</f>
        <v>0</v>
      </c>
      <c r="AI328" s="15" t="n">
        <f aca="false">AA328*N(AF328)</f>
        <v>0</v>
      </c>
      <c r="AJ328" s="15" t="n">
        <f aca="false">AA328*N(R328)</f>
        <v>0</v>
      </c>
      <c r="AK328" s="15" t="n">
        <f aca="false">AB328*N(AD328)</f>
        <v>0</v>
      </c>
      <c r="AL328" s="15" t="n">
        <f aca="false">AB328*N(AE328)</f>
        <v>0</v>
      </c>
      <c r="AM328" s="15" t="n">
        <f aca="false">AB328*N(AF328)</f>
        <v>0</v>
      </c>
      <c r="AN328" s="15" t="n">
        <f aca="false">AB328*N(R328)</f>
        <v>0</v>
      </c>
      <c r="AO328" s="21" t="str">
        <f aca="false">IF(F328&lt;&gt;"Y","n/a",IF(AND(N328&lt;&gt;"",OR(Q328&lt;&gt;"",G328="Other / bench",G328="None"),U328&lt;&gt;""),"OK","Missing"))</f>
        <v>n/a</v>
      </c>
    </row>
    <row r="329" customFormat="false" ht="15" hidden="false" customHeight="false" outlineLevel="0" collapsed="false">
      <c r="A329" s="10" t="s">
        <v>396</v>
      </c>
      <c r="B329" s="10" t="s">
        <v>659</v>
      </c>
      <c r="C329" s="10" t="s">
        <v>729</v>
      </c>
      <c r="D329" s="10" t="s">
        <v>669</v>
      </c>
      <c r="E329" s="21" t="str">
        <f aca="false">IF(A329="","",A329&amp;"|"&amp;D329)</f>
        <v>F54|Other tests (non-HPLC: physical, LOD/KF, disintegration, pH, micro...)</v>
      </c>
      <c r="F329" s="16" t="s">
        <v>662</v>
      </c>
      <c r="G329" s="16" t="s">
        <v>670</v>
      </c>
      <c r="H329" s="16" t="s">
        <v>663</v>
      </c>
      <c r="I329" s="16" t="n">
        <v>1</v>
      </c>
      <c r="J329" s="16"/>
      <c r="K329" s="14"/>
      <c r="L329" s="14"/>
      <c r="M329" s="14"/>
      <c r="N329" s="14"/>
      <c r="O329" s="14"/>
      <c r="P329" s="18" t="n">
        <f aca="false">IF(N329="",0,IF(OR(M329="",O329=""),N329,(M329+4*N329+O329)/6))</f>
        <v>0</v>
      </c>
      <c r="Q329" s="14"/>
      <c r="R329" s="14"/>
      <c r="S329" s="14"/>
      <c r="T329" s="14"/>
      <c r="U329" s="16"/>
      <c r="V329" s="13"/>
      <c r="W329" s="16" t="s">
        <v>662</v>
      </c>
      <c r="X329" s="16"/>
      <c r="Y329" s="16"/>
      <c r="Z329" s="16"/>
      <c r="AA329" s="22" t="n">
        <f aca="false">IF(F329&lt;&gt;"Y",0,((SUMIF(Products!$E$5:$E$300,A329,Products!$F$5:$F$300)+SUMIF(RM_Lots!$A$5:$A$400,A329,RM_Lots!$D$5:$D$400))+IF(W329="Y",SUMIF(Products!$E$5:$E$300,A329,Products!$G$5:$G$300),0))*(1+N(V329)))</f>
        <v>0</v>
      </c>
      <c r="AB329" s="22" t="n">
        <f aca="false">IF(F329&lt;&gt;"Y",0,((SUMIF(Products!$E$5:$E$300,A329,Products!$K$5:$K$300)+SUMIF(RM_Lots!$A$5:$A$400,A329,RM_Lots!$F$5:$F$400))+IF(W329="Y",SUMIF(Products!$E$5:$E$300,A329,Products!$L$5:$L$300),0))*(1+N(V329)))</f>
        <v>0</v>
      </c>
      <c r="AC329" s="17" t="n">
        <f aca="false">IF(J329="",1,MAX(1,COUNTIFS($J$5:$J$863,J329,$F$5:$F$863,"Y")))</f>
        <v>1</v>
      </c>
      <c r="AD329" s="18" t="n">
        <f aca="false">(MAX(1,N(I329))*(P329+N(S329))+MAX(1,N(I329))*N(K329)/(MAX(1,N(U329))*AC329))*Settings!$B$9</f>
        <v>0</v>
      </c>
      <c r="AE329" s="18" t="n">
        <f aca="false">(MAX(1,N(I329))*N(Q329)+MAX(1,N(I329))*N(L329)/(MAX(1,N(U329))*AC329))*Settings!$B$8</f>
        <v>0</v>
      </c>
      <c r="AF329" s="18" t="n">
        <f aca="false">MAX(1,N(I329))*N(T329)</f>
        <v>0</v>
      </c>
      <c r="AG329" s="15" t="n">
        <f aca="false">AA329*N(AD329)</f>
        <v>0</v>
      </c>
      <c r="AH329" s="15" t="n">
        <f aca="false">AA329*N(AE329)</f>
        <v>0</v>
      </c>
      <c r="AI329" s="15" t="n">
        <f aca="false">AA329*N(AF329)</f>
        <v>0</v>
      </c>
      <c r="AJ329" s="15" t="n">
        <f aca="false">AA329*N(R329)</f>
        <v>0</v>
      </c>
      <c r="AK329" s="15" t="n">
        <f aca="false">AB329*N(AD329)</f>
        <v>0</v>
      </c>
      <c r="AL329" s="15" t="n">
        <f aca="false">AB329*N(AE329)</f>
        <v>0</v>
      </c>
      <c r="AM329" s="15" t="n">
        <f aca="false">AB329*N(AF329)</f>
        <v>0</v>
      </c>
      <c r="AN329" s="15" t="n">
        <f aca="false">AB329*N(R329)</f>
        <v>0</v>
      </c>
      <c r="AO329" s="21" t="str">
        <f aca="false">IF(F329&lt;&gt;"Y","n/a",IF(AND(N329&lt;&gt;"",OR(Q329&lt;&gt;"",G329="Other / bench",G329="None"),U329&lt;&gt;""),"OK","Missing"))</f>
        <v>Missing</v>
      </c>
    </row>
    <row r="330" customFormat="false" ht="15" hidden="false" customHeight="false" outlineLevel="0" collapsed="false">
      <c r="A330" s="10" t="s">
        <v>399</v>
      </c>
      <c r="B330" s="10" t="s">
        <v>659</v>
      </c>
      <c r="C330" s="10" t="s">
        <v>730</v>
      </c>
      <c r="D330" s="10" t="s">
        <v>661</v>
      </c>
      <c r="E330" s="21" t="str">
        <f aca="false">IF(A330="","",A330&amp;"|"&amp;D330)</f>
        <v>F55|Assay</v>
      </c>
      <c r="F330" s="16" t="s">
        <v>662</v>
      </c>
      <c r="G330" s="16" t="s">
        <v>147</v>
      </c>
      <c r="H330" s="16" t="s">
        <v>685</v>
      </c>
      <c r="I330" s="16" t="n">
        <v>1</v>
      </c>
      <c r="J330" s="16"/>
      <c r="K330" s="14"/>
      <c r="L330" s="14"/>
      <c r="M330" s="14"/>
      <c r="N330" s="14"/>
      <c r="O330" s="14"/>
      <c r="P330" s="18" t="n">
        <f aca="false">IF(N330="",0,IF(OR(M330="",O330=""),N330,(M330+4*N330+O330)/6))</f>
        <v>0</v>
      </c>
      <c r="Q330" s="14"/>
      <c r="R330" s="14"/>
      <c r="S330" s="14"/>
      <c r="T330" s="14"/>
      <c r="U330" s="16"/>
      <c r="V330" s="13"/>
      <c r="W330" s="16" t="s">
        <v>662</v>
      </c>
      <c r="X330" s="16"/>
      <c r="Y330" s="16"/>
      <c r="Z330" s="16" t="s">
        <v>693</v>
      </c>
      <c r="AA330" s="22" t="n">
        <f aca="false">IF(F330&lt;&gt;"Y",0,((SUMIF(Products!$E$5:$E$300,A330,Products!$F$5:$F$300)+SUMIF(RM_Lots!$A$5:$A$400,A330,RM_Lots!$D$5:$D$400))+IF(W330="Y",SUMIF(Products!$E$5:$E$300,A330,Products!$G$5:$G$300),0))*(1+N(V330)))</f>
        <v>0</v>
      </c>
      <c r="AB330" s="22" t="n">
        <f aca="false">IF(F330&lt;&gt;"Y",0,((SUMIF(Products!$E$5:$E$300,A330,Products!$K$5:$K$300)+SUMIF(RM_Lots!$A$5:$A$400,A330,RM_Lots!$F$5:$F$400))+IF(W330="Y",SUMIF(Products!$E$5:$E$300,A330,Products!$L$5:$L$300),0))*(1+N(V330)))</f>
        <v>0</v>
      </c>
      <c r="AC330" s="17" t="n">
        <f aca="false">IF(J330="",1,MAX(1,COUNTIFS($J$5:$J$863,J330,$F$5:$F$863,"Y")))</f>
        <v>1</v>
      </c>
      <c r="AD330" s="18" t="n">
        <f aca="false">(MAX(1,N(I330))*(P330+N(S330))+MAX(1,N(I330))*N(K330)/(MAX(1,N(U330))*AC330))*Settings!$B$9</f>
        <v>0</v>
      </c>
      <c r="AE330" s="18" t="n">
        <f aca="false">(MAX(1,N(I330))*N(Q330)+MAX(1,N(I330))*N(L330)/(MAX(1,N(U330))*AC330))*Settings!$B$8</f>
        <v>0</v>
      </c>
      <c r="AF330" s="18" t="n">
        <f aca="false">MAX(1,N(I330))*N(T330)</f>
        <v>0</v>
      </c>
      <c r="AG330" s="15" t="n">
        <f aca="false">AA330*N(AD330)</f>
        <v>0</v>
      </c>
      <c r="AH330" s="15" t="n">
        <f aca="false">AA330*N(AE330)</f>
        <v>0</v>
      </c>
      <c r="AI330" s="15" t="n">
        <f aca="false">AA330*N(AF330)</f>
        <v>0</v>
      </c>
      <c r="AJ330" s="15" t="n">
        <f aca="false">AA330*N(R330)</f>
        <v>0</v>
      </c>
      <c r="AK330" s="15" t="n">
        <f aca="false">AB330*N(AD330)</f>
        <v>0</v>
      </c>
      <c r="AL330" s="15" t="n">
        <f aca="false">AB330*N(AE330)</f>
        <v>0</v>
      </c>
      <c r="AM330" s="15" t="n">
        <f aca="false">AB330*N(AF330)</f>
        <v>0</v>
      </c>
      <c r="AN330" s="15" t="n">
        <f aca="false">AB330*N(R330)</f>
        <v>0</v>
      </c>
      <c r="AO330" s="21" t="str">
        <f aca="false">IF(F330&lt;&gt;"Y","n/a",IF(AND(N330&lt;&gt;"",OR(Q330&lt;&gt;"",G330="Other / bench",G330="None"),U330&lt;&gt;""),"OK","Missing"))</f>
        <v>Missing</v>
      </c>
    </row>
    <row r="331" customFormat="false" ht="15" hidden="false" customHeight="false" outlineLevel="0" collapsed="false">
      <c r="A331" s="10" t="s">
        <v>399</v>
      </c>
      <c r="B331" s="10" t="s">
        <v>659</v>
      </c>
      <c r="C331" s="10" t="s">
        <v>730</v>
      </c>
      <c r="D331" s="10" t="s">
        <v>664</v>
      </c>
      <c r="E331" s="21" t="str">
        <f aca="false">IF(A331="","",A331&amp;"|"&amp;D331)</f>
        <v>F55|Related substances / impurities</v>
      </c>
      <c r="F331" s="16" t="s">
        <v>667</v>
      </c>
      <c r="G331" s="16" t="s">
        <v>147</v>
      </c>
      <c r="H331" s="16" t="s">
        <v>685</v>
      </c>
      <c r="I331" s="16" t="n">
        <v>1</v>
      </c>
      <c r="J331" s="16"/>
      <c r="K331" s="14"/>
      <c r="L331" s="14"/>
      <c r="M331" s="14"/>
      <c r="N331" s="14"/>
      <c r="O331" s="14"/>
      <c r="P331" s="18" t="n">
        <f aca="false">IF(N331="",0,IF(OR(M331="",O331=""),N331,(M331+4*N331+O331)/6))</f>
        <v>0</v>
      </c>
      <c r="Q331" s="14"/>
      <c r="R331" s="14"/>
      <c r="S331" s="14"/>
      <c r="T331" s="14"/>
      <c r="U331" s="16"/>
      <c r="V331" s="13"/>
      <c r="W331" s="16" t="s">
        <v>662</v>
      </c>
      <c r="X331" s="16"/>
      <c r="Y331" s="16"/>
      <c r="Z331" s="16"/>
      <c r="AA331" s="22" t="n">
        <f aca="false">IF(F331&lt;&gt;"Y",0,((SUMIF(Products!$E$5:$E$300,A331,Products!$F$5:$F$300)+SUMIF(RM_Lots!$A$5:$A$400,A331,RM_Lots!$D$5:$D$400))+IF(W331="Y",SUMIF(Products!$E$5:$E$300,A331,Products!$G$5:$G$300),0))*(1+N(V331)))</f>
        <v>0</v>
      </c>
      <c r="AB331" s="22" t="n">
        <f aca="false">IF(F331&lt;&gt;"Y",0,((SUMIF(Products!$E$5:$E$300,A331,Products!$K$5:$K$300)+SUMIF(RM_Lots!$A$5:$A$400,A331,RM_Lots!$F$5:$F$400))+IF(W331="Y",SUMIF(Products!$E$5:$E$300,A331,Products!$L$5:$L$300),0))*(1+N(V331)))</f>
        <v>0</v>
      </c>
      <c r="AC331" s="17" t="n">
        <f aca="false">IF(J331="",1,MAX(1,COUNTIFS($J$5:$J$863,J331,$F$5:$F$863,"Y")))</f>
        <v>1</v>
      </c>
      <c r="AD331" s="18" t="n">
        <f aca="false">(MAX(1,N(I331))*(P331+N(S331))+MAX(1,N(I331))*N(K331)/(MAX(1,N(U331))*AC331))*Settings!$B$9</f>
        <v>0</v>
      </c>
      <c r="AE331" s="18" t="n">
        <f aca="false">(MAX(1,N(I331))*N(Q331)+MAX(1,N(I331))*N(L331)/(MAX(1,N(U331))*AC331))*Settings!$B$8</f>
        <v>0</v>
      </c>
      <c r="AF331" s="18" t="n">
        <f aca="false">MAX(1,N(I331))*N(T331)</f>
        <v>0</v>
      </c>
      <c r="AG331" s="15" t="n">
        <f aca="false">AA331*N(AD331)</f>
        <v>0</v>
      </c>
      <c r="AH331" s="15" t="n">
        <f aca="false">AA331*N(AE331)</f>
        <v>0</v>
      </c>
      <c r="AI331" s="15" t="n">
        <f aca="false">AA331*N(AF331)</f>
        <v>0</v>
      </c>
      <c r="AJ331" s="15" t="n">
        <f aca="false">AA331*N(R331)</f>
        <v>0</v>
      </c>
      <c r="AK331" s="15" t="n">
        <f aca="false">AB331*N(AD331)</f>
        <v>0</v>
      </c>
      <c r="AL331" s="15" t="n">
        <f aca="false">AB331*N(AE331)</f>
        <v>0</v>
      </c>
      <c r="AM331" s="15" t="n">
        <f aca="false">AB331*N(AF331)</f>
        <v>0</v>
      </c>
      <c r="AN331" s="15" t="n">
        <f aca="false">AB331*N(R331)</f>
        <v>0</v>
      </c>
      <c r="AO331" s="21" t="str">
        <f aca="false">IF(F331&lt;&gt;"Y","n/a",IF(AND(N331&lt;&gt;"",OR(Q331&lt;&gt;"",G331="Other / bench",G331="None"),U331&lt;&gt;""),"OK","Missing"))</f>
        <v>n/a</v>
      </c>
    </row>
    <row r="332" customFormat="false" ht="15" hidden="false" customHeight="false" outlineLevel="0" collapsed="false">
      <c r="A332" s="10" t="s">
        <v>399</v>
      </c>
      <c r="B332" s="10" t="s">
        <v>659</v>
      </c>
      <c r="C332" s="10" t="s">
        <v>730</v>
      </c>
      <c r="D332" s="10" t="s">
        <v>665</v>
      </c>
      <c r="E332" s="21" t="str">
        <f aca="false">IF(A332="","",A332&amp;"|"&amp;D332)</f>
        <v>F55|Dissolution</v>
      </c>
      <c r="F332" s="16" t="s">
        <v>662</v>
      </c>
      <c r="G332" s="16" t="s">
        <v>147</v>
      </c>
      <c r="H332" s="16" t="s">
        <v>685</v>
      </c>
      <c r="I332" s="16" t="n">
        <v>1</v>
      </c>
      <c r="J332" s="16"/>
      <c r="K332" s="14"/>
      <c r="L332" s="14"/>
      <c r="M332" s="14"/>
      <c r="N332" s="14"/>
      <c r="O332" s="14"/>
      <c r="P332" s="18" t="n">
        <f aca="false">IF(N332="",0,IF(OR(M332="",O332=""),N332,(M332+4*N332+O332)/6))</f>
        <v>0</v>
      </c>
      <c r="Q332" s="14"/>
      <c r="R332" s="14"/>
      <c r="S332" s="14"/>
      <c r="T332" s="14"/>
      <c r="U332" s="16"/>
      <c r="V332" s="13"/>
      <c r="W332" s="16" t="s">
        <v>662</v>
      </c>
      <c r="X332" s="16"/>
      <c r="Y332" s="16"/>
      <c r="Z332" s="16"/>
      <c r="AA332" s="22" t="n">
        <f aca="false">IF(F332&lt;&gt;"Y",0,((SUMIF(Products!$E$5:$E$300,A332,Products!$F$5:$F$300)+SUMIF(RM_Lots!$A$5:$A$400,A332,RM_Lots!$D$5:$D$400))+IF(W332="Y",SUMIF(Products!$E$5:$E$300,A332,Products!$G$5:$G$300),0))*(1+N(V332)))</f>
        <v>0</v>
      </c>
      <c r="AB332" s="22" t="n">
        <f aca="false">IF(F332&lt;&gt;"Y",0,((SUMIF(Products!$E$5:$E$300,A332,Products!$K$5:$K$300)+SUMIF(RM_Lots!$A$5:$A$400,A332,RM_Lots!$F$5:$F$400))+IF(W332="Y",SUMIF(Products!$E$5:$E$300,A332,Products!$L$5:$L$300),0))*(1+N(V332)))</f>
        <v>0</v>
      </c>
      <c r="AC332" s="17" t="n">
        <f aca="false">IF(J332="",1,MAX(1,COUNTIFS($J$5:$J$863,J332,$F$5:$F$863,"Y")))</f>
        <v>1</v>
      </c>
      <c r="AD332" s="18" t="n">
        <f aca="false">(MAX(1,N(I332))*(P332+N(S332))+MAX(1,N(I332))*N(K332)/(MAX(1,N(U332))*AC332))*Settings!$B$9</f>
        <v>0</v>
      </c>
      <c r="AE332" s="18" t="n">
        <f aca="false">(MAX(1,N(I332))*N(Q332)+MAX(1,N(I332))*N(L332)/(MAX(1,N(U332))*AC332))*Settings!$B$8</f>
        <v>0</v>
      </c>
      <c r="AF332" s="18" t="n">
        <f aca="false">MAX(1,N(I332))*N(T332)</f>
        <v>0</v>
      </c>
      <c r="AG332" s="15" t="n">
        <f aca="false">AA332*N(AD332)</f>
        <v>0</v>
      </c>
      <c r="AH332" s="15" t="n">
        <f aca="false">AA332*N(AE332)</f>
        <v>0</v>
      </c>
      <c r="AI332" s="15" t="n">
        <f aca="false">AA332*N(AF332)</f>
        <v>0</v>
      </c>
      <c r="AJ332" s="15" t="n">
        <f aca="false">AA332*N(R332)</f>
        <v>0</v>
      </c>
      <c r="AK332" s="15" t="n">
        <f aca="false">AB332*N(AD332)</f>
        <v>0</v>
      </c>
      <c r="AL332" s="15" t="n">
        <f aca="false">AB332*N(AE332)</f>
        <v>0</v>
      </c>
      <c r="AM332" s="15" t="n">
        <f aca="false">AB332*N(AF332)</f>
        <v>0</v>
      </c>
      <c r="AN332" s="15" t="n">
        <f aca="false">AB332*N(R332)</f>
        <v>0</v>
      </c>
      <c r="AO332" s="21" t="str">
        <f aca="false">IF(F332&lt;&gt;"Y","n/a",IF(AND(N332&lt;&gt;"",OR(Q332&lt;&gt;"",G332="Other / bench",G332="None"),U332&lt;&gt;""),"OK","Missing"))</f>
        <v>Missing</v>
      </c>
    </row>
    <row r="333" customFormat="false" ht="15" hidden="false" customHeight="false" outlineLevel="0" collapsed="false">
      <c r="A333" s="10" t="s">
        <v>399</v>
      </c>
      <c r="B333" s="10" t="s">
        <v>659</v>
      </c>
      <c r="C333" s="10" t="s">
        <v>730</v>
      </c>
      <c r="D333" s="10" t="s">
        <v>666</v>
      </c>
      <c r="E333" s="21" t="str">
        <f aca="false">IF(A333="","",A333&amp;"|"&amp;D333)</f>
        <v>F55|Content uniformity</v>
      </c>
      <c r="F333" s="16" t="s">
        <v>667</v>
      </c>
      <c r="G333" s="16" t="s">
        <v>147</v>
      </c>
      <c r="H333" s="16" t="s">
        <v>685</v>
      </c>
      <c r="I333" s="16" t="n">
        <v>1</v>
      </c>
      <c r="J333" s="16"/>
      <c r="K333" s="14"/>
      <c r="L333" s="14"/>
      <c r="M333" s="14"/>
      <c r="N333" s="14"/>
      <c r="O333" s="14"/>
      <c r="P333" s="18" t="n">
        <f aca="false">IF(N333="",0,IF(OR(M333="",O333=""),N333,(M333+4*N333+O333)/6))</f>
        <v>0</v>
      </c>
      <c r="Q333" s="14"/>
      <c r="R333" s="14"/>
      <c r="S333" s="14"/>
      <c r="T333" s="14"/>
      <c r="U333" s="16"/>
      <c r="V333" s="13"/>
      <c r="W333" s="16" t="s">
        <v>667</v>
      </c>
      <c r="X333" s="16"/>
      <c r="Y333" s="16"/>
      <c r="Z333" s="16"/>
      <c r="AA333" s="22" t="n">
        <f aca="false">IF(F333&lt;&gt;"Y",0,((SUMIF(Products!$E$5:$E$300,A333,Products!$F$5:$F$300)+SUMIF(RM_Lots!$A$5:$A$400,A333,RM_Lots!$D$5:$D$400))+IF(W333="Y",SUMIF(Products!$E$5:$E$300,A333,Products!$G$5:$G$300),0))*(1+N(V333)))</f>
        <v>0</v>
      </c>
      <c r="AB333" s="22" t="n">
        <f aca="false">IF(F333&lt;&gt;"Y",0,((SUMIF(Products!$E$5:$E$300,A333,Products!$K$5:$K$300)+SUMIF(RM_Lots!$A$5:$A$400,A333,RM_Lots!$F$5:$F$400))+IF(W333="Y",SUMIF(Products!$E$5:$E$300,A333,Products!$L$5:$L$300),0))*(1+N(V333)))</f>
        <v>0</v>
      </c>
      <c r="AC333" s="17" t="n">
        <f aca="false">IF(J333="",1,MAX(1,COUNTIFS($J$5:$J$863,J333,$F$5:$F$863,"Y")))</f>
        <v>1</v>
      </c>
      <c r="AD333" s="18" t="n">
        <f aca="false">(MAX(1,N(I333))*(P333+N(S333))+MAX(1,N(I333))*N(K333)/(MAX(1,N(U333))*AC333))*Settings!$B$9</f>
        <v>0</v>
      </c>
      <c r="AE333" s="18" t="n">
        <f aca="false">(MAX(1,N(I333))*N(Q333)+MAX(1,N(I333))*N(L333)/(MAX(1,N(U333))*AC333))*Settings!$B$8</f>
        <v>0</v>
      </c>
      <c r="AF333" s="18" t="n">
        <f aca="false">MAX(1,N(I333))*N(T333)</f>
        <v>0</v>
      </c>
      <c r="AG333" s="15" t="n">
        <f aca="false">AA333*N(AD333)</f>
        <v>0</v>
      </c>
      <c r="AH333" s="15" t="n">
        <f aca="false">AA333*N(AE333)</f>
        <v>0</v>
      </c>
      <c r="AI333" s="15" t="n">
        <f aca="false">AA333*N(AF333)</f>
        <v>0</v>
      </c>
      <c r="AJ333" s="15" t="n">
        <f aca="false">AA333*N(R333)</f>
        <v>0</v>
      </c>
      <c r="AK333" s="15" t="n">
        <f aca="false">AB333*N(AD333)</f>
        <v>0</v>
      </c>
      <c r="AL333" s="15" t="n">
        <f aca="false">AB333*N(AE333)</f>
        <v>0</v>
      </c>
      <c r="AM333" s="15" t="n">
        <f aca="false">AB333*N(AF333)</f>
        <v>0</v>
      </c>
      <c r="AN333" s="15" t="n">
        <f aca="false">AB333*N(R333)</f>
        <v>0</v>
      </c>
      <c r="AO333" s="21" t="str">
        <f aca="false">IF(F333&lt;&gt;"Y","n/a",IF(AND(N333&lt;&gt;"",OR(Q333&lt;&gt;"",G333="Other / bench",G333="None"),U333&lt;&gt;""),"OK","Missing"))</f>
        <v>n/a</v>
      </c>
    </row>
    <row r="334" customFormat="false" ht="15" hidden="false" customHeight="false" outlineLevel="0" collapsed="false">
      <c r="A334" s="10" t="s">
        <v>399</v>
      </c>
      <c r="B334" s="10" t="s">
        <v>659</v>
      </c>
      <c r="C334" s="10" t="s">
        <v>730</v>
      </c>
      <c r="D334" s="10" t="s">
        <v>668</v>
      </c>
      <c r="E334" s="21" t="str">
        <f aca="false">IF(A334="","",A334&amp;"|"&amp;D334)</f>
        <v>F55|Identification (if separate from assay)</v>
      </c>
      <c r="F334" s="16" t="s">
        <v>667</v>
      </c>
      <c r="G334" s="16" t="s">
        <v>147</v>
      </c>
      <c r="H334" s="16" t="s">
        <v>685</v>
      </c>
      <c r="I334" s="16" t="n">
        <v>1</v>
      </c>
      <c r="J334" s="16"/>
      <c r="K334" s="14"/>
      <c r="L334" s="14"/>
      <c r="M334" s="14"/>
      <c r="N334" s="14"/>
      <c r="O334" s="14"/>
      <c r="P334" s="18" t="n">
        <f aca="false">IF(N334="",0,IF(OR(M334="",O334=""),N334,(M334+4*N334+O334)/6))</f>
        <v>0</v>
      </c>
      <c r="Q334" s="14"/>
      <c r="R334" s="14"/>
      <c r="S334" s="14"/>
      <c r="T334" s="14"/>
      <c r="U334" s="16"/>
      <c r="V334" s="13"/>
      <c r="W334" s="16" t="s">
        <v>667</v>
      </c>
      <c r="X334" s="16"/>
      <c r="Y334" s="16"/>
      <c r="Z334" s="16"/>
      <c r="AA334" s="22" t="n">
        <f aca="false">IF(F334&lt;&gt;"Y",0,((SUMIF(Products!$E$5:$E$300,A334,Products!$F$5:$F$300)+SUMIF(RM_Lots!$A$5:$A$400,A334,RM_Lots!$D$5:$D$400))+IF(W334="Y",SUMIF(Products!$E$5:$E$300,A334,Products!$G$5:$G$300),0))*(1+N(V334)))</f>
        <v>0</v>
      </c>
      <c r="AB334" s="22" t="n">
        <f aca="false">IF(F334&lt;&gt;"Y",0,((SUMIF(Products!$E$5:$E$300,A334,Products!$K$5:$K$300)+SUMIF(RM_Lots!$A$5:$A$400,A334,RM_Lots!$F$5:$F$400))+IF(W334="Y",SUMIF(Products!$E$5:$E$300,A334,Products!$L$5:$L$300),0))*(1+N(V334)))</f>
        <v>0</v>
      </c>
      <c r="AC334" s="17" t="n">
        <f aca="false">IF(J334="",1,MAX(1,COUNTIFS($J$5:$J$863,J334,$F$5:$F$863,"Y")))</f>
        <v>1</v>
      </c>
      <c r="AD334" s="18" t="n">
        <f aca="false">(MAX(1,N(I334))*(P334+N(S334))+MAX(1,N(I334))*N(K334)/(MAX(1,N(U334))*AC334))*Settings!$B$9</f>
        <v>0</v>
      </c>
      <c r="AE334" s="18" t="n">
        <f aca="false">(MAX(1,N(I334))*N(Q334)+MAX(1,N(I334))*N(L334)/(MAX(1,N(U334))*AC334))*Settings!$B$8</f>
        <v>0</v>
      </c>
      <c r="AF334" s="18" t="n">
        <f aca="false">MAX(1,N(I334))*N(T334)</f>
        <v>0</v>
      </c>
      <c r="AG334" s="15" t="n">
        <f aca="false">AA334*N(AD334)</f>
        <v>0</v>
      </c>
      <c r="AH334" s="15" t="n">
        <f aca="false">AA334*N(AE334)</f>
        <v>0</v>
      </c>
      <c r="AI334" s="15" t="n">
        <f aca="false">AA334*N(AF334)</f>
        <v>0</v>
      </c>
      <c r="AJ334" s="15" t="n">
        <f aca="false">AA334*N(R334)</f>
        <v>0</v>
      </c>
      <c r="AK334" s="15" t="n">
        <f aca="false">AB334*N(AD334)</f>
        <v>0</v>
      </c>
      <c r="AL334" s="15" t="n">
        <f aca="false">AB334*N(AE334)</f>
        <v>0</v>
      </c>
      <c r="AM334" s="15" t="n">
        <f aca="false">AB334*N(AF334)</f>
        <v>0</v>
      </c>
      <c r="AN334" s="15" t="n">
        <f aca="false">AB334*N(R334)</f>
        <v>0</v>
      </c>
      <c r="AO334" s="21" t="str">
        <f aca="false">IF(F334&lt;&gt;"Y","n/a",IF(AND(N334&lt;&gt;"",OR(Q334&lt;&gt;"",G334="Other / bench",G334="None"),U334&lt;&gt;""),"OK","Missing"))</f>
        <v>n/a</v>
      </c>
    </row>
    <row r="335" customFormat="false" ht="15" hidden="false" customHeight="false" outlineLevel="0" collapsed="false">
      <c r="A335" s="10" t="s">
        <v>399</v>
      </c>
      <c r="B335" s="10" t="s">
        <v>659</v>
      </c>
      <c r="C335" s="10" t="s">
        <v>730</v>
      </c>
      <c r="D335" s="10" t="s">
        <v>669</v>
      </c>
      <c r="E335" s="21" t="str">
        <f aca="false">IF(A335="","",A335&amp;"|"&amp;D335)</f>
        <v>F55|Other tests (non-HPLC: physical, LOD/KF, disintegration, pH, micro...)</v>
      </c>
      <c r="F335" s="16" t="s">
        <v>662</v>
      </c>
      <c r="G335" s="16" t="s">
        <v>670</v>
      </c>
      <c r="H335" s="16" t="s">
        <v>685</v>
      </c>
      <c r="I335" s="16" t="n">
        <v>1</v>
      </c>
      <c r="J335" s="16"/>
      <c r="K335" s="14"/>
      <c r="L335" s="14"/>
      <c r="M335" s="14"/>
      <c r="N335" s="14"/>
      <c r="O335" s="14"/>
      <c r="P335" s="18" t="n">
        <f aca="false">IF(N335="",0,IF(OR(M335="",O335=""),N335,(M335+4*N335+O335)/6))</f>
        <v>0</v>
      </c>
      <c r="Q335" s="14"/>
      <c r="R335" s="14"/>
      <c r="S335" s="14"/>
      <c r="T335" s="14"/>
      <c r="U335" s="16"/>
      <c r="V335" s="13"/>
      <c r="W335" s="16" t="s">
        <v>662</v>
      </c>
      <c r="X335" s="16"/>
      <c r="Y335" s="16"/>
      <c r="Z335" s="16"/>
      <c r="AA335" s="22" t="n">
        <f aca="false">IF(F335&lt;&gt;"Y",0,((SUMIF(Products!$E$5:$E$300,A335,Products!$F$5:$F$300)+SUMIF(RM_Lots!$A$5:$A$400,A335,RM_Lots!$D$5:$D$400))+IF(W335="Y",SUMIF(Products!$E$5:$E$300,A335,Products!$G$5:$G$300),0))*(1+N(V335)))</f>
        <v>0</v>
      </c>
      <c r="AB335" s="22" t="n">
        <f aca="false">IF(F335&lt;&gt;"Y",0,((SUMIF(Products!$E$5:$E$300,A335,Products!$K$5:$K$300)+SUMIF(RM_Lots!$A$5:$A$400,A335,RM_Lots!$F$5:$F$400))+IF(W335="Y",SUMIF(Products!$E$5:$E$300,A335,Products!$L$5:$L$300),0))*(1+N(V335)))</f>
        <v>0</v>
      </c>
      <c r="AC335" s="17" t="n">
        <f aca="false">IF(J335="",1,MAX(1,COUNTIFS($J$5:$J$863,J335,$F$5:$F$863,"Y")))</f>
        <v>1</v>
      </c>
      <c r="AD335" s="18" t="n">
        <f aca="false">(MAX(1,N(I335))*(P335+N(S335))+MAX(1,N(I335))*N(K335)/(MAX(1,N(U335))*AC335))*Settings!$B$9</f>
        <v>0</v>
      </c>
      <c r="AE335" s="18" t="n">
        <f aca="false">(MAX(1,N(I335))*N(Q335)+MAX(1,N(I335))*N(L335)/(MAX(1,N(U335))*AC335))*Settings!$B$8</f>
        <v>0</v>
      </c>
      <c r="AF335" s="18" t="n">
        <f aca="false">MAX(1,N(I335))*N(T335)</f>
        <v>0</v>
      </c>
      <c r="AG335" s="15" t="n">
        <f aca="false">AA335*N(AD335)</f>
        <v>0</v>
      </c>
      <c r="AH335" s="15" t="n">
        <f aca="false">AA335*N(AE335)</f>
        <v>0</v>
      </c>
      <c r="AI335" s="15" t="n">
        <f aca="false">AA335*N(AF335)</f>
        <v>0</v>
      </c>
      <c r="AJ335" s="15" t="n">
        <f aca="false">AA335*N(R335)</f>
        <v>0</v>
      </c>
      <c r="AK335" s="15" t="n">
        <f aca="false">AB335*N(AD335)</f>
        <v>0</v>
      </c>
      <c r="AL335" s="15" t="n">
        <f aca="false">AB335*N(AE335)</f>
        <v>0</v>
      </c>
      <c r="AM335" s="15" t="n">
        <f aca="false">AB335*N(AF335)</f>
        <v>0</v>
      </c>
      <c r="AN335" s="15" t="n">
        <f aca="false">AB335*N(R335)</f>
        <v>0</v>
      </c>
      <c r="AO335" s="21" t="str">
        <f aca="false">IF(F335&lt;&gt;"Y","n/a",IF(AND(N335&lt;&gt;"",OR(Q335&lt;&gt;"",G335="Other / bench",G335="None"),U335&lt;&gt;""),"OK","Missing"))</f>
        <v>Missing</v>
      </c>
    </row>
    <row r="336" customFormat="false" ht="15" hidden="false" customHeight="false" outlineLevel="0" collapsed="false">
      <c r="A336" s="10" t="s">
        <v>403</v>
      </c>
      <c r="B336" s="10" t="s">
        <v>659</v>
      </c>
      <c r="C336" s="10" t="s">
        <v>731</v>
      </c>
      <c r="D336" s="10" t="s">
        <v>661</v>
      </c>
      <c r="E336" s="21" t="str">
        <f aca="false">IF(A336="","",A336&amp;"|"&amp;D336)</f>
        <v>F56|Assay</v>
      </c>
      <c r="F336" s="16" t="s">
        <v>662</v>
      </c>
      <c r="G336" s="16" t="s">
        <v>147</v>
      </c>
      <c r="H336" s="16" t="s">
        <v>685</v>
      </c>
      <c r="I336" s="16" t="n">
        <v>1</v>
      </c>
      <c r="J336" s="16"/>
      <c r="K336" s="14"/>
      <c r="L336" s="14"/>
      <c r="M336" s="14"/>
      <c r="N336" s="14"/>
      <c r="O336" s="14"/>
      <c r="P336" s="18" t="n">
        <f aca="false">IF(N336="",0,IF(OR(M336="",O336=""),N336,(M336+4*N336+O336)/6))</f>
        <v>0</v>
      </c>
      <c r="Q336" s="14"/>
      <c r="R336" s="14"/>
      <c r="S336" s="14"/>
      <c r="T336" s="14"/>
      <c r="U336" s="16"/>
      <c r="V336" s="13"/>
      <c r="W336" s="16" t="s">
        <v>662</v>
      </c>
      <c r="X336" s="16"/>
      <c r="Y336" s="16"/>
      <c r="Z336" s="16" t="s">
        <v>693</v>
      </c>
      <c r="AA336" s="22" t="n">
        <f aca="false">IF(F336&lt;&gt;"Y",0,((SUMIF(Products!$E$5:$E$300,A336,Products!$F$5:$F$300)+SUMIF(RM_Lots!$A$5:$A$400,A336,RM_Lots!$D$5:$D$400))+IF(W336="Y",SUMIF(Products!$E$5:$E$300,A336,Products!$G$5:$G$300),0))*(1+N(V336)))</f>
        <v>0</v>
      </c>
      <c r="AB336" s="22" t="n">
        <f aca="false">IF(F336&lt;&gt;"Y",0,((SUMIF(Products!$E$5:$E$300,A336,Products!$K$5:$K$300)+SUMIF(RM_Lots!$A$5:$A$400,A336,RM_Lots!$F$5:$F$400))+IF(W336="Y",SUMIF(Products!$E$5:$E$300,A336,Products!$L$5:$L$300),0))*(1+N(V336)))</f>
        <v>0</v>
      </c>
      <c r="AC336" s="17" t="n">
        <f aca="false">IF(J336="",1,MAX(1,COUNTIFS($J$5:$J$863,J336,$F$5:$F$863,"Y")))</f>
        <v>1</v>
      </c>
      <c r="AD336" s="18" t="n">
        <f aca="false">(MAX(1,N(I336))*(P336+N(S336))+MAX(1,N(I336))*N(K336)/(MAX(1,N(U336))*AC336))*Settings!$B$9</f>
        <v>0</v>
      </c>
      <c r="AE336" s="18" t="n">
        <f aca="false">(MAX(1,N(I336))*N(Q336)+MAX(1,N(I336))*N(L336)/(MAX(1,N(U336))*AC336))*Settings!$B$8</f>
        <v>0</v>
      </c>
      <c r="AF336" s="18" t="n">
        <f aca="false">MAX(1,N(I336))*N(T336)</f>
        <v>0</v>
      </c>
      <c r="AG336" s="15" t="n">
        <f aca="false">AA336*N(AD336)</f>
        <v>0</v>
      </c>
      <c r="AH336" s="15" t="n">
        <f aca="false">AA336*N(AE336)</f>
        <v>0</v>
      </c>
      <c r="AI336" s="15" t="n">
        <f aca="false">AA336*N(AF336)</f>
        <v>0</v>
      </c>
      <c r="AJ336" s="15" t="n">
        <f aca="false">AA336*N(R336)</f>
        <v>0</v>
      </c>
      <c r="AK336" s="15" t="n">
        <f aca="false">AB336*N(AD336)</f>
        <v>0</v>
      </c>
      <c r="AL336" s="15" t="n">
        <f aca="false">AB336*N(AE336)</f>
        <v>0</v>
      </c>
      <c r="AM336" s="15" t="n">
        <f aca="false">AB336*N(AF336)</f>
        <v>0</v>
      </c>
      <c r="AN336" s="15" t="n">
        <f aca="false">AB336*N(R336)</f>
        <v>0</v>
      </c>
      <c r="AO336" s="21" t="str">
        <f aca="false">IF(F336&lt;&gt;"Y","n/a",IF(AND(N336&lt;&gt;"",OR(Q336&lt;&gt;"",G336="Other / bench",G336="None"),U336&lt;&gt;""),"OK","Missing"))</f>
        <v>Missing</v>
      </c>
    </row>
    <row r="337" customFormat="false" ht="15" hidden="false" customHeight="false" outlineLevel="0" collapsed="false">
      <c r="A337" s="10" t="s">
        <v>403</v>
      </c>
      <c r="B337" s="10" t="s">
        <v>659</v>
      </c>
      <c r="C337" s="10" t="s">
        <v>731</v>
      </c>
      <c r="D337" s="10" t="s">
        <v>664</v>
      </c>
      <c r="E337" s="21" t="str">
        <f aca="false">IF(A337="","",A337&amp;"|"&amp;D337)</f>
        <v>F56|Related substances / impurities</v>
      </c>
      <c r="F337" s="16" t="s">
        <v>667</v>
      </c>
      <c r="G337" s="16" t="s">
        <v>147</v>
      </c>
      <c r="H337" s="16" t="s">
        <v>685</v>
      </c>
      <c r="I337" s="16" t="n">
        <v>1</v>
      </c>
      <c r="J337" s="16"/>
      <c r="K337" s="14"/>
      <c r="L337" s="14"/>
      <c r="M337" s="14"/>
      <c r="N337" s="14"/>
      <c r="O337" s="14"/>
      <c r="P337" s="18" t="n">
        <f aca="false">IF(N337="",0,IF(OR(M337="",O337=""),N337,(M337+4*N337+O337)/6))</f>
        <v>0</v>
      </c>
      <c r="Q337" s="14"/>
      <c r="R337" s="14"/>
      <c r="S337" s="14"/>
      <c r="T337" s="14"/>
      <c r="U337" s="16"/>
      <c r="V337" s="13"/>
      <c r="W337" s="16" t="s">
        <v>662</v>
      </c>
      <c r="X337" s="16"/>
      <c r="Y337" s="16"/>
      <c r="Z337" s="16"/>
      <c r="AA337" s="22" t="n">
        <f aca="false">IF(F337&lt;&gt;"Y",0,((SUMIF(Products!$E$5:$E$300,A337,Products!$F$5:$F$300)+SUMIF(RM_Lots!$A$5:$A$400,A337,RM_Lots!$D$5:$D$400))+IF(W337="Y",SUMIF(Products!$E$5:$E$300,A337,Products!$G$5:$G$300),0))*(1+N(V337)))</f>
        <v>0</v>
      </c>
      <c r="AB337" s="22" t="n">
        <f aca="false">IF(F337&lt;&gt;"Y",0,((SUMIF(Products!$E$5:$E$300,A337,Products!$K$5:$K$300)+SUMIF(RM_Lots!$A$5:$A$400,A337,RM_Lots!$F$5:$F$400))+IF(W337="Y",SUMIF(Products!$E$5:$E$300,A337,Products!$L$5:$L$300),0))*(1+N(V337)))</f>
        <v>0</v>
      </c>
      <c r="AC337" s="17" t="n">
        <f aca="false">IF(J337="",1,MAX(1,COUNTIFS($J$5:$J$863,J337,$F$5:$F$863,"Y")))</f>
        <v>1</v>
      </c>
      <c r="AD337" s="18" t="n">
        <f aca="false">(MAX(1,N(I337))*(P337+N(S337))+MAX(1,N(I337))*N(K337)/(MAX(1,N(U337))*AC337))*Settings!$B$9</f>
        <v>0</v>
      </c>
      <c r="AE337" s="18" t="n">
        <f aca="false">(MAX(1,N(I337))*N(Q337)+MAX(1,N(I337))*N(L337)/(MAX(1,N(U337))*AC337))*Settings!$B$8</f>
        <v>0</v>
      </c>
      <c r="AF337" s="18" t="n">
        <f aca="false">MAX(1,N(I337))*N(T337)</f>
        <v>0</v>
      </c>
      <c r="AG337" s="15" t="n">
        <f aca="false">AA337*N(AD337)</f>
        <v>0</v>
      </c>
      <c r="AH337" s="15" t="n">
        <f aca="false">AA337*N(AE337)</f>
        <v>0</v>
      </c>
      <c r="AI337" s="15" t="n">
        <f aca="false">AA337*N(AF337)</f>
        <v>0</v>
      </c>
      <c r="AJ337" s="15" t="n">
        <f aca="false">AA337*N(R337)</f>
        <v>0</v>
      </c>
      <c r="AK337" s="15" t="n">
        <f aca="false">AB337*N(AD337)</f>
        <v>0</v>
      </c>
      <c r="AL337" s="15" t="n">
        <f aca="false">AB337*N(AE337)</f>
        <v>0</v>
      </c>
      <c r="AM337" s="15" t="n">
        <f aca="false">AB337*N(AF337)</f>
        <v>0</v>
      </c>
      <c r="AN337" s="15" t="n">
        <f aca="false">AB337*N(R337)</f>
        <v>0</v>
      </c>
      <c r="AO337" s="21" t="str">
        <f aca="false">IF(F337&lt;&gt;"Y","n/a",IF(AND(N337&lt;&gt;"",OR(Q337&lt;&gt;"",G337="Other / bench",G337="None"),U337&lt;&gt;""),"OK","Missing"))</f>
        <v>n/a</v>
      </c>
    </row>
    <row r="338" customFormat="false" ht="15" hidden="false" customHeight="false" outlineLevel="0" collapsed="false">
      <c r="A338" s="10" t="s">
        <v>403</v>
      </c>
      <c r="B338" s="10" t="s">
        <v>659</v>
      </c>
      <c r="C338" s="10" t="s">
        <v>731</v>
      </c>
      <c r="D338" s="10" t="s">
        <v>665</v>
      </c>
      <c r="E338" s="21" t="str">
        <f aca="false">IF(A338="","",A338&amp;"|"&amp;D338)</f>
        <v>F56|Dissolution</v>
      </c>
      <c r="F338" s="16" t="s">
        <v>662</v>
      </c>
      <c r="G338" s="16" t="s">
        <v>147</v>
      </c>
      <c r="H338" s="16" t="s">
        <v>685</v>
      </c>
      <c r="I338" s="16" t="n">
        <v>1</v>
      </c>
      <c r="J338" s="16"/>
      <c r="K338" s="14"/>
      <c r="L338" s="14"/>
      <c r="M338" s="14"/>
      <c r="N338" s="14"/>
      <c r="O338" s="14"/>
      <c r="P338" s="18" t="n">
        <f aca="false">IF(N338="",0,IF(OR(M338="",O338=""),N338,(M338+4*N338+O338)/6))</f>
        <v>0</v>
      </c>
      <c r="Q338" s="14"/>
      <c r="R338" s="14"/>
      <c r="S338" s="14"/>
      <c r="T338" s="14"/>
      <c r="U338" s="16"/>
      <c r="V338" s="13"/>
      <c r="W338" s="16" t="s">
        <v>662</v>
      </c>
      <c r="X338" s="16"/>
      <c r="Y338" s="16"/>
      <c r="Z338" s="16"/>
      <c r="AA338" s="22" t="n">
        <f aca="false">IF(F338&lt;&gt;"Y",0,((SUMIF(Products!$E$5:$E$300,A338,Products!$F$5:$F$300)+SUMIF(RM_Lots!$A$5:$A$400,A338,RM_Lots!$D$5:$D$400))+IF(W338="Y",SUMIF(Products!$E$5:$E$300,A338,Products!$G$5:$G$300),0))*(1+N(V338)))</f>
        <v>0</v>
      </c>
      <c r="AB338" s="22" t="n">
        <f aca="false">IF(F338&lt;&gt;"Y",0,((SUMIF(Products!$E$5:$E$300,A338,Products!$K$5:$K$300)+SUMIF(RM_Lots!$A$5:$A$400,A338,RM_Lots!$F$5:$F$400))+IF(W338="Y",SUMIF(Products!$E$5:$E$300,A338,Products!$L$5:$L$300),0))*(1+N(V338)))</f>
        <v>0</v>
      </c>
      <c r="AC338" s="17" t="n">
        <f aca="false">IF(J338="",1,MAX(1,COUNTIFS($J$5:$J$863,J338,$F$5:$F$863,"Y")))</f>
        <v>1</v>
      </c>
      <c r="AD338" s="18" t="n">
        <f aca="false">(MAX(1,N(I338))*(P338+N(S338))+MAX(1,N(I338))*N(K338)/(MAX(1,N(U338))*AC338))*Settings!$B$9</f>
        <v>0</v>
      </c>
      <c r="AE338" s="18" t="n">
        <f aca="false">(MAX(1,N(I338))*N(Q338)+MAX(1,N(I338))*N(L338)/(MAX(1,N(U338))*AC338))*Settings!$B$8</f>
        <v>0</v>
      </c>
      <c r="AF338" s="18" t="n">
        <f aca="false">MAX(1,N(I338))*N(T338)</f>
        <v>0</v>
      </c>
      <c r="AG338" s="15" t="n">
        <f aca="false">AA338*N(AD338)</f>
        <v>0</v>
      </c>
      <c r="AH338" s="15" t="n">
        <f aca="false">AA338*N(AE338)</f>
        <v>0</v>
      </c>
      <c r="AI338" s="15" t="n">
        <f aca="false">AA338*N(AF338)</f>
        <v>0</v>
      </c>
      <c r="AJ338" s="15" t="n">
        <f aca="false">AA338*N(R338)</f>
        <v>0</v>
      </c>
      <c r="AK338" s="15" t="n">
        <f aca="false">AB338*N(AD338)</f>
        <v>0</v>
      </c>
      <c r="AL338" s="15" t="n">
        <f aca="false">AB338*N(AE338)</f>
        <v>0</v>
      </c>
      <c r="AM338" s="15" t="n">
        <f aca="false">AB338*N(AF338)</f>
        <v>0</v>
      </c>
      <c r="AN338" s="15" t="n">
        <f aca="false">AB338*N(R338)</f>
        <v>0</v>
      </c>
      <c r="AO338" s="21" t="str">
        <f aca="false">IF(F338&lt;&gt;"Y","n/a",IF(AND(N338&lt;&gt;"",OR(Q338&lt;&gt;"",G338="Other / bench",G338="None"),U338&lt;&gt;""),"OK","Missing"))</f>
        <v>Missing</v>
      </c>
    </row>
    <row r="339" customFormat="false" ht="15" hidden="false" customHeight="false" outlineLevel="0" collapsed="false">
      <c r="A339" s="10" t="s">
        <v>403</v>
      </c>
      <c r="B339" s="10" t="s">
        <v>659</v>
      </c>
      <c r="C339" s="10" t="s">
        <v>731</v>
      </c>
      <c r="D339" s="10" t="s">
        <v>666</v>
      </c>
      <c r="E339" s="21" t="str">
        <f aca="false">IF(A339="","",A339&amp;"|"&amp;D339)</f>
        <v>F56|Content uniformity</v>
      </c>
      <c r="F339" s="16" t="s">
        <v>667</v>
      </c>
      <c r="G339" s="16" t="s">
        <v>147</v>
      </c>
      <c r="H339" s="16" t="s">
        <v>685</v>
      </c>
      <c r="I339" s="16" t="n">
        <v>1</v>
      </c>
      <c r="J339" s="16"/>
      <c r="K339" s="14"/>
      <c r="L339" s="14"/>
      <c r="M339" s="14"/>
      <c r="N339" s="14"/>
      <c r="O339" s="14"/>
      <c r="P339" s="18" t="n">
        <f aca="false">IF(N339="",0,IF(OR(M339="",O339=""),N339,(M339+4*N339+O339)/6))</f>
        <v>0</v>
      </c>
      <c r="Q339" s="14"/>
      <c r="R339" s="14"/>
      <c r="S339" s="14"/>
      <c r="T339" s="14"/>
      <c r="U339" s="16"/>
      <c r="V339" s="13"/>
      <c r="W339" s="16" t="s">
        <v>667</v>
      </c>
      <c r="X339" s="16"/>
      <c r="Y339" s="16"/>
      <c r="Z339" s="16"/>
      <c r="AA339" s="22" t="n">
        <f aca="false">IF(F339&lt;&gt;"Y",0,((SUMIF(Products!$E$5:$E$300,A339,Products!$F$5:$F$300)+SUMIF(RM_Lots!$A$5:$A$400,A339,RM_Lots!$D$5:$D$400))+IF(W339="Y",SUMIF(Products!$E$5:$E$300,A339,Products!$G$5:$G$300),0))*(1+N(V339)))</f>
        <v>0</v>
      </c>
      <c r="AB339" s="22" t="n">
        <f aca="false">IF(F339&lt;&gt;"Y",0,((SUMIF(Products!$E$5:$E$300,A339,Products!$K$5:$K$300)+SUMIF(RM_Lots!$A$5:$A$400,A339,RM_Lots!$F$5:$F$400))+IF(W339="Y",SUMIF(Products!$E$5:$E$300,A339,Products!$L$5:$L$300),0))*(1+N(V339)))</f>
        <v>0</v>
      </c>
      <c r="AC339" s="17" t="n">
        <f aca="false">IF(J339="",1,MAX(1,COUNTIFS($J$5:$J$863,J339,$F$5:$F$863,"Y")))</f>
        <v>1</v>
      </c>
      <c r="AD339" s="18" t="n">
        <f aca="false">(MAX(1,N(I339))*(P339+N(S339))+MAX(1,N(I339))*N(K339)/(MAX(1,N(U339))*AC339))*Settings!$B$9</f>
        <v>0</v>
      </c>
      <c r="AE339" s="18" t="n">
        <f aca="false">(MAX(1,N(I339))*N(Q339)+MAX(1,N(I339))*N(L339)/(MAX(1,N(U339))*AC339))*Settings!$B$8</f>
        <v>0</v>
      </c>
      <c r="AF339" s="18" t="n">
        <f aca="false">MAX(1,N(I339))*N(T339)</f>
        <v>0</v>
      </c>
      <c r="AG339" s="15" t="n">
        <f aca="false">AA339*N(AD339)</f>
        <v>0</v>
      </c>
      <c r="AH339" s="15" t="n">
        <f aca="false">AA339*N(AE339)</f>
        <v>0</v>
      </c>
      <c r="AI339" s="15" t="n">
        <f aca="false">AA339*N(AF339)</f>
        <v>0</v>
      </c>
      <c r="AJ339" s="15" t="n">
        <f aca="false">AA339*N(R339)</f>
        <v>0</v>
      </c>
      <c r="AK339" s="15" t="n">
        <f aca="false">AB339*N(AD339)</f>
        <v>0</v>
      </c>
      <c r="AL339" s="15" t="n">
        <f aca="false">AB339*N(AE339)</f>
        <v>0</v>
      </c>
      <c r="AM339" s="15" t="n">
        <f aca="false">AB339*N(AF339)</f>
        <v>0</v>
      </c>
      <c r="AN339" s="15" t="n">
        <f aca="false">AB339*N(R339)</f>
        <v>0</v>
      </c>
      <c r="AO339" s="21" t="str">
        <f aca="false">IF(F339&lt;&gt;"Y","n/a",IF(AND(N339&lt;&gt;"",OR(Q339&lt;&gt;"",G339="Other / bench",G339="None"),U339&lt;&gt;""),"OK","Missing"))</f>
        <v>n/a</v>
      </c>
    </row>
    <row r="340" customFormat="false" ht="15" hidden="false" customHeight="false" outlineLevel="0" collapsed="false">
      <c r="A340" s="10" t="s">
        <v>403</v>
      </c>
      <c r="B340" s="10" t="s">
        <v>659</v>
      </c>
      <c r="C340" s="10" t="s">
        <v>731</v>
      </c>
      <c r="D340" s="10" t="s">
        <v>668</v>
      </c>
      <c r="E340" s="21" t="str">
        <f aca="false">IF(A340="","",A340&amp;"|"&amp;D340)</f>
        <v>F56|Identification (if separate from assay)</v>
      </c>
      <c r="F340" s="16" t="s">
        <v>667</v>
      </c>
      <c r="G340" s="16" t="s">
        <v>147</v>
      </c>
      <c r="H340" s="16" t="s">
        <v>685</v>
      </c>
      <c r="I340" s="16" t="n">
        <v>1</v>
      </c>
      <c r="J340" s="16"/>
      <c r="K340" s="14"/>
      <c r="L340" s="14"/>
      <c r="M340" s="14"/>
      <c r="N340" s="14"/>
      <c r="O340" s="14"/>
      <c r="P340" s="18" t="n">
        <f aca="false">IF(N340="",0,IF(OR(M340="",O340=""),N340,(M340+4*N340+O340)/6))</f>
        <v>0</v>
      </c>
      <c r="Q340" s="14"/>
      <c r="R340" s="14"/>
      <c r="S340" s="14"/>
      <c r="T340" s="14"/>
      <c r="U340" s="16"/>
      <c r="V340" s="13"/>
      <c r="W340" s="16" t="s">
        <v>667</v>
      </c>
      <c r="X340" s="16"/>
      <c r="Y340" s="16"/>
      <c r="Z340" s="16"/>
      <c r="AA340" s="22" t="n">
        <f aca="false">IF(F340&lt;&gt;"Y",0,((SUMIF(Products!$E$5:$E$300,A340,Products!$F$5:$F$300)+SUMIF(RM_Lots!$A$5:$A$400,A340,RM_Lots!$D$5:$D$400))+IF(W340="Y",SUMIF(Products!$E$5:$E$300,A340,Products!$G$5:$G$300),0))*(1+N(V340)))</f>
        <v>0</v>
      </c>
      <c r="AB340" s="22" t="n">
        <f aca="false">IF(F340&lt;&gt;"Y",0,((SUMIF(Products!$E$5:$E$300,A340,Products!$K$5:$K$300)+SUMIF(RM_Lots!$A$5:$A$400,A340,RM_Lots!$F$5:$F$400))+IF(W340="Y",SUMIF(Products!$E$5:$E$300,A340,Products!$L$5:$L$300),0))*(1+N(V340)))</f>
        <v>0</v>
      </c>
      <c r="AC340" s="17" t="n">
        <f aca="false">IF(J340="",1,MAX(1,COUNTIFS($J$5:$J$863,J340,$F$5:$F$863,"Y")))</f>
        <v>1</v>
      </c>
      <c r="AD340" s="18" t="n">
        <f aca="false">(MAX(1,N(I340))*(P340+N(S340))+MAX(1,N(I340))*N(K340)/(MAX(1,N(U340))*AC340))*Settings!$B$9</f>
        <v>0</v>
      </c>
      <c r="AE340" s="18" t="n">
        <f aca="false">(MAX(1,N(I340))*N(Q340)+MAX(1,N(I340))*N(L340)/(MAX(1,N(U340))*AC340))*Settings!$B$8</f>
        <v>0</v>
      </c>
      <c r="AF340" s="18" t="n">
        <f aca="false">MAX(1,N(I340))*N(T340)</f>
        <v>0</v>
      </c>
      <c r="AG340" s="15" t="n">
        <f aca="false">AA340*N(AD340)</f>
        <v>0</v>
      </c>
      <c r="AH340" s="15" t="n">
        <f aca="false">AA340*N(AE340)</f>
        <v>0</v>
      </c>
      <c r="AI340" s="15" t="n">
        <f aca="false">AA340*N(AF340)</f>
        <v>0</v>
      </c>
      <c r="AJ340" s="15" t="n">
        <f aca="false">AA340*N(R340)</f>
        <v>0</v>
      </c>
      <c r="AK340" s="15" t="n">
        <f aca="false">AB340*N(AD340)</f>
        <v>0</v>
      </c>
      <c r="AL340" s="15" t="n">
        <f aca="false">AB340*N(AE340)</f>
        <v>0</v>
      </c>
      <c r="AM340" s="15" t="n">
        <f aca="false">AB340*N(AF340)</f>
        <v>0</v>
      </c>
      <c r="AN340" s="15" t="n">
        <f aca="false">AB340*N(R340)</f>
        <v>0</v>
      </c>
      <c r="AO340" s="21" t="str">
        <f aca="false">IF(F340&lt;&gt;"Y","n/a",IF(AND(N340&lt;&gt;"",OR(Q340&lt;&gt;"",G340="Other / bench",G340="None"),U340&lt;&gt;""),"OK","Missing"))</f>
        <v>n/a</v>
      </c>
    </row>
    <row r="341" customFormat="false" ht="15" hidden="false" customHeight="false" outlineLevel="0" collapsed="false">
      <c r="A341" s="10" t="s">
        <v>403</v>
      </c>
      <c r="B341" s="10" t="s">
        <v>659</v>
      </c>
      <c r="C341" s="10" t="s">
        <v>731</v>
      </c>
      <c r="D341" s="10" t="s">
        <v>669</v>
      </c>
      <c r="E341" s="21" t="str">
        <f aca="false">IF(A341="","",A341&amp;"|"&amp;D341)</f>
        <v>F56|Other tests (non-HPLC: physical, LOD/KF, disintegration, pH, micro...)</v>
      </c>
      <c r="F341" s="16" t="s">
        <v>662</v>
      </c>
      <c r="G341" s="16" t="s">
        <v>670</v>
      </c>
      <c r="H341" s="16" t="s">
        <v>685</v>
      </c>
      <c r="I341" s="16" t="n">
        <v>1</v>
      </c>
      <c r="J341" s="16"/>
      <c r="K341" s="14"/>
      <c r="L341" s="14"/>
      <c r="M341" s="14"/>
      <c r="N341" s="14"/>
      <c r="O341" s="14"/>
      <c r="P341" s="18" t="n">
        <f aca="false">IF(N341="",0,IF(OR(M341="",O341=""),N341,(M341+4*N341+O341)/6))</f>
        <v>0</v>
      </c>
      <c r="Q341" s="14"/>
      <c r="R341" s="14"/>
      <c r="S341" s="14"/>
      <c r="T341" s="14"/>
      <c r="U341" s="16"/>
      <c r="V341" s="13"/>
      <c r="W341" s="16" t="s">
        <v>662</v>
      </c>
      <c r="X341" s="16"/>
      <c r="Y341" s="16"/>
      <c r="Z341" s="16"/>
      <c r="AA341" s="22" t="n">
        <f aca="false">IF(F341&lt;&gt;"Y",0,((SUMIF(Products!$E$5:$E$300,A341,Products!$F$5:$F$300)+SUMIF(RM_Lots!$A$5:$A$400,A341,RM_Lots!$D$5:$D$400))+IF(W341="Y",SUMIF(Products!$E$5:$E$300,A341,Products!$G$5:$G$300),0))*(1+N(V341)))</f>
        <v>0</v>
      </c>
      <c r="AB341" s="22" t="n">
        <f aca="false">IF(F341&lt;&gt;"Y",0,((SUMIF(Products!$E$5:$E$300,A341,Products!$K$5:$K$300)+SUMIF(RM_Lots!$A$5:$A$400,A341,RM_Lots!$F$5:$F$400))+IF(W341="Y",SUMIF(Products!$E$5:$E$300,A341,Products!$L$5:$L$300),0))*(1+N(V341)))</f>
        <v>0</v>
      </c>
      <c r="AC341" s="17" t="n">
        <f aca="false">IF(J341="",1,MAX(1,COUNTIFS($J$5:$J$863,J341,$F$5:$F$863,"Y")))</f>
        <v>1</v>
      </c>
      <c r="AD341" s="18" t="n">
        <f aca="false">(MAX(1,N(I341))*(P341+N(S341))+MAX(1,N(I341))*N(K341)/(MAX(1,N(U341))*AC341))*Settings!$B$9</f>
        <v>0</v>
      </c>
      <c r="AE341" s="18" t="n">
        <f aca="false">(MAX(1,N(I341))*N(Q341)+MAX(1,N(I341))*N(L341)/(MAX(1,N(U341))*AC341))*Settings!$B$8</f>
        <v>0</v>
      </c>
      <c r="AF341" s="18" t="n">
        <f aca="false">MAX(1,N(I341))*N(T341)</f>
        <v>0</v>
      </c>
      <c r="AG341" s="15" t="n">
        <f aca="false">AA341*N(AD341)</f>
        <v>0</v>
      </c>
      <c r="AH341" s="15" t="n">
        <f aca="false">AA341*N(AE341)</f>
        <v>0</v>
      </c>
      <c r="AI341" s="15" t="n">
        <f aca="false">AA341*N(AF341)</f>
        <v>0</v>
      </c>
      <c r="AJ341" s="15" t="n">
        <f aca="false">AA341*N(R341)</f>
        <v>0</v>
      </c>
      <c r="AK341" s="15" t="n">
        <f aca="false">AB341*N(AD341)</f>
        <v>0</v>
      </c>
      <c r="AL341" s="15" t="n">
        <f aca="false">AB341*N(AE341)</f>
        <v>0</v>
      </c>
      <c r="AM341" s="15" t="n">
        <f aca="false">AB341*N(AF341)</f>
        <v>0</v>
      </c>
      <c r="AN341" s="15" t="n">
        <f aca="false">AB341*N(R341)</f>
        <v>0</v>
      </c>
      <c r="AO341" s="21" t="str">
        <f aca="false">IF(F341&lt;&gt;"Y","n/a",IF(AND(N341&lt;&gt;"",OR(Q341&lt;&gt;"",G341="Other / bench",G341="None"),U341&lt;&gt;""),"OK","Missing"))</f>
        <v>Missing</v>
      </c>
    </row>
    <row r="342" customFormat="false" ht="15" hidden="false" customHeight="false" outlineLevel="0" collapsed="false">
      <c r="A342" s="10" t="s">
        <v>406</v>
      </c>
      <c r="B342" s="10" t="s">
        <v>659</v>
      </c>
      <c r="C342" s="10" t="s">
        <v>732</v>
      </c>
      <c r="D342" s="10" t="s">
        <v>661</v>
      </c>
      <c r="E342" s="21" t="str">
        <f aca="false">IF(A342="","",A342&amp;"|"&amp;D342)</f>
        <v>F57|Assay</v>
      </c>
      <c r="F342" s="16" t="s">
        <v>662</v>
      </c>
      <c r="G342" s="16" t="s">
        <v>147</v>
      </c>
      <c r="H342" s="16" t="s">
        <v>685</v>
      </c>
      <c r="I342" s="16" t="n">
        <v>1</v>
      </c>
      <c r="J342" s="16"/>
      <c r="K342" s="14"/>
      <c r="L342" s="14"/>
      <c r="M342" s="14"/>
      <c r="N342" s="14"/>
      <c r="O342" s="14"/>
      <c r="P342" s="18" t="n">
        <f aca="false">IF(N342="",0,IF(OR(M342="",O342=""),N342,(M342+4*N342+O342)/6))</f>
        <v>0</v>
      </c>
      <c r="Q342" s="14"/>
      <c r="R342" s="14"/>
      <c r="S342" s="14"/>
      <c r="T342" s="14"/>
      <c r="U342" s="16"/>
      <c r="V342" s="13"/>
      <c r="W342" s="16" t="s">
        <v>662</v>
      </c>
      <c r="X342" s="16"/>
      <c r="Y342" s="16"/>
      <c r="Z342" s="16" t="s">
        <v>693</v>
      </c>
      <c r="AA342" s="22" t="n">
        <f aca="false">IF(F342&lt;&gt;"Y",0,((SUMIF(Products!$E$5:$E$300,A342,Products!$F$5:$F$300)+SUMIF(RM_Lots!$A$5:$A$400,A342,RM_Lots!$D$5:$D$400))+IF(W342="Y",SUMIF(Products!$E$5:$E$300,A342,Products!$G$5:$G$300),0))*(1+N(V342)))</f>
        <v>0</v>
      </c>
      <c r="AB342" s="22" t="n">
        <f aca="false">IF(F342&lt;&gt;"Y",0,((SUMIF(Products!$E$5:$E$300,A342,Products!$K$5:$K$300)+SUMIF(RM_Lots!$A$5:$A$400,A342,RM_Lots!$F$5:$F$400))+IF(W342="Y",SUMIF(Products!$E$5:$E$300,A342,Products!$L$5:$L$300),0))*(1+N(V342)))</f>
        <v>0</v>
      </c>
      <c r="AC342" s="17" t="n">
        <f aca="false">IF(J342="",1,MAX(1,COUNTIFS($J$5:$J$863,J342,$F$5:$F$863,"Y")))</f>
        <v>1</v>
      </c>
      <c r="AD342" s="18" t="n">
        <f aca="false">(MAX(1,N(I342))*(P342+N(S342))+MAX(1,N(I342))*N(K342)/(MAX(1,N(U342))*AC342))*Settings!$B$9</f>
        <v>0</v>
      </c>
      <c r="AE342" s="18" t="n">
        <f aca="false">(MAX(1,N(I342))*N(Q342)+MAX(1,N(I342))*N(L342)/(MAX(1,N(U342))*AC342))*Settings!$B$8</f>
        <v>0</v>
      </c>
      <c r="AF342" s="18" t="n">
        <f aca="false">MAX(1,N(I342))*N(T342)</f>
        <v>0</v>
      </c>
      <c r="AG342" s="15" t="n">
        <f aca="false">AA342*N(AD342)</f>
        <v>0</v>
      </c>
      <c r="AH342" s="15" t="n">
        <f aca="false">AA342*N(AE342)</f>
        <v>0</v>
      </c>
      <c r="AI342" s="15" t="n">
        <f aca="false">AA342*N(AF342)</f>
        <v>0</v>
      </c>
      <c r="AJ342" s="15" t="n">
        <f aca="false">AA342*N(R342)</f>
        <v>0</v>
      </c>
      <c r="AK342" s="15" t="n">
        <f aca="false">AB342*N(AD342)</f>
        <v>0</v>
      </c>
      <c r="AL342" s="15" t="n">
        <f aca="false">AB342*N(AE342)</f>
        <v>0</v>
      </c>
      <c r="AM342" s="15" t="n">
        <f aca="false">AB342*N(AF342)</f>
        <v>0</v>
      </c>
      <c r="AN342" s="15" t="n">
        <f aca="false">AB342*N(R342)</f>
        <v>0</v>
      </c>
      <c r="AO342" s="21" t="str">
        <f aca="false">IF(F342&lt;&gt;"Y","n/a",IF(AND(N342&lt;&gt;"",OR(Q342&lt;&gt;"",G342="Other / bench",G342="None"),U342&lt;&gt;""),"OK","Missing"))</f>
        <v>Missing</v>
      </c>
    </row>
    <row r="343" customFormat="false" ht="15" hidden="false" customHeight="false" outlineLevel="0" collapsed="false">
      <c r="A343" s="10" t="s">
        <v>406</v>
      </c>
      <c r="B343" s="10" t="s">
        <v>659</v>
      </c>
      <c r="C343" s="10" t="s">
        <v>732</v>
      </c>
      <c r="D343" s="10" t="s">
        <v>664</v>
      </c>
      <c r="E343" s="21" t="str">
        <f aca="false">IF(A343="","",A343&amp;"|"&amp;D343)</f>
        <v>F57|Related substances / impurities</v>
      </c>
      <c r="F343" s="16" t="s">
        <v>667</v>
      </c>
      <c r="G343" s="16" t="s">
        <v>147</v>
      </c>
      <c r="H343" s="16" t="s">
        <v>685</v>
      </c>
      <c r="I343" s="16" t="n">
        <v>1</v>
      </c>
      <c r="J343" s="16"/>
      <c r="K343" s="14"/>
      <c r="L343" s="14"/>
      <c r="M343" s="14"/>
      <c r="N343" s="14"/>
      <c r="O343" s="14"/>
      <c r="P343" s="18" t="n">
        <f aca="false">IF(N343="",0,IF(OR(M343="",O343=""),N343,(M343+4*N343+O343)/6))</f>
        <v>0</v>
      </c>
      <c r="Q343" s="14"/>
      <c r="R343" s="14"/>
      <c r="S343" s="14"/>
      <c r="T343" s="14"/>
      <c r="U343" s="16"/>
      <c r="V343" s="13"/>
      <c r="W343" s="16" t="s">
        <v>662</v>
      </c>
      <c r="X343" s="16"/>
      <c r="Y343" s="16"/>
      <c r="Z343" s="16"/>
      <c r="AA343" s="22" t="n">
        <f aca="false">IF(F343&lt;&gt;"Y",0,((SUMIF(Products!$E$5:$E$300,A343,Products!$F$5:$F$300)+SUMIF(RM_Lots!$A$5:$A$400,A343,RM_Lots!$D$5:$D$400))+IF(W343="Y",SUMIF(Products!$E$5:$E$300,A343,Products!$G$5:$G$300),0))*(1+N(V343)))</f>
        <v>0</v>
      </c>
      <c r="AB343" s="22" t="n">
        <f aca="false">IF(F343&lt;&gt;"Y",0,((SUMIF(Products!$E$5:$E$300,A343,Products!$K$5:$K$300)+SUMIF(RM_Lots!$A$5:$A$400,A343,RM_Lots!$F$5:$F$400))+IF(W343="Y",SUMIF(Products!$E$5:$E$300,A343,Products!$L$5:$L$300),0))*(1+N(V343)))</f>
        <v>0</v>
      </c>
      <c r="AC343" s="17" t="n">
        <f aca="false">IF(J343="",1,MAX(1,COUNTIFS($J$5:$J$863,J343,$F$5:$F$863,"Y")))</f>
        <v>1</v>
      </c>
      <c r="AD343" s="18" t="n">
        <f aca="false">(MAX(1,N(I343))*(P343+N(S343))+MAX(1,N(I343))*N(K343)/(MAX(1,N(U343))*AC343))*Settings!$B$9</f>
        <v>0</v>
      </c>
      <c r="AE343" s="18" t="n">
        <f aca="false">(MAX(1,N(I343))*N(Q343)+MAX(1,N(I343))*N(L343)/(MAX(1,N(U343))*AC343))*Settings!$B$8</f>
        <v>0</v>
      </c>
      <c r="AF343" s="18" t="n">
        <f aca="false">MAX(1,N(I343))*N(T343)</f>
        <v>0</v>
      </c>
      <c r="AG343" s="15" t="n">
        <f aca="false">AA343*N(AD343)</f>
        <v>0</v>
      </c>
      <c r="AH343" s="15" t="n">
        <f aca="false">AA343*N(AE343)</f>
        <v>0</v>
      </c>
      <c r="AI343" s="15" t="n">
        <f aca="false">AA343*N(AF343)</f>
        <v>0</v>
      </c>
      <c r="AJ343" s="15" t="n">
        <f aca="false">AA343*N(R343)</f>
        <v>0</v>
      </c>
      <c r="AK343" s="15" t="n">
        <f aca="false">AB343*N(AD343)</f>
        <v>0</v>
      </c>
      <c r="AL343" s="15" t="n">
        <f aca="false">AB343*N(AE343)</f>
        <v>0</v>
      </c>
      <c r="AM343" s="15" t="n">
        <f aca="false">AB343*N(AF343)</f>
        <v>0</v>
      </c>
      <c r="AN343" s="15" t="n">
        <f aca="false">AB343*N(R343)</f>
        <v>0</v>
      </c>
      <c r="AO343" s="21" t="str">
        <f aca="false">IF(F343&lt;&gt;"Y","n/a",IF(AND(N343&lt;&gt;"",OR(Q343&lt;&gt;"",G343="Other / bench",G343="None"),U343&lt;&gt;""),"OK","Missing"))</f>
        <v>n/a</v>
      </c>
    </row>
    <row r="344" customFormat="false" ht="15" hidden="false" customHeight="false" outlineLevel="0" collapsed="false">
      <c r="A344" s="10" t="s">
        <v>406</v>
      </c>
      <c r="B344" s="10" t="s">
        <v>659</v>
      </c>
      <c r="C344" s="10" t="s">
        <v>732</v>
      </c>
      <c r="D344" s="10" t="s">
        <v>665</v>
      </c>
      <c r="E344" s="21" t="str">
        <f aca="false">IF(A344="","",A344&amp;"|"&amp;D344)</f>
        <v>F57|Dissolution</v>
      </c>
      <c r="F344" s="16" t="s">
        <v>662</v>
      </c>
      <c r="G344" s="16" t="s">
        <v>147</v>
      </c>
      <c r="H344" s="16" t="s">
        <v>685</v>
      </c>
      <c r="I344" s="16" t="n">
        <v>1</v>
      </c>
      <c r="J344" s="16"/>
      <c r="K344" s="14"/>
      <c r="L344" s="14"/>
      <c r="M344" s="14"/>
      <c r="N344" s="14"/>
      <c r="O344" s="14"/>
      <c r="P344" s="18" t="n">
        <f aca="false">IF(N344="",0,IF(OR(M344="",O344=""),N344,(M344+4*N344+O344)/6))</f>
        <v>0</v>
      </c>
      <c r="Q344" s="14"/>
      <c r="R344" s="14"/>
      <c r="S344" s="14"/>
      <c r="T344" s="14"/>
      <c r="U344" s="16"/>
      <c r="V344" s="13"/>
      <c r="W344" s="16" t="s">
        <v>662</v>
      </c>
      <c r="X344" s="16"/>
      <c r="Y344" s="16"/>
      <c r="Z344" s="16"/>
      <c r="AA344" s="22" t="n">
        <f aca="false">IF(F344&lt;&gt;"Y",0,((SUMIF(Products!$E$5:$E$300,A344,Products!$F$5:$F$300)+SUMIF(RM_Lots!$A$5:$A$400,A344,RM_Lots!$D$5:$D$400))+IF(W344="Y",SUMIF(Products!$E$5:$E$300,A344,Products!$G$5:$G$300),0))*(1+N(V344)))</f>
        <v>0</v>
      </c>
      <c r="AB344" s="22" t="n">
        <f aca="false">IF(F344&lt;&gt;"Y",0,((SUMIF(Products!$E$5:$E$300,A344,Products!$K$5:$K$300)+SUMIF(RM_Lots!$A$5:$A$400,A344,RM_Lots!$F$5:$F$400))+IF(W344="Y",SUMIF(Products!$E$5:$E$300,A344,Products!$L$5:$L$300),0))*(1+N(V344)))</f>
        <v>0</v>
      </c>
      <c r="AC344" s="17" t="n">
        <f aca="false">IF(J344="",1,MAX(1,COUNTIFS($J$5:$J$863,J344,$F$5:$F$863,"Y")))</f>
        <v>1</v>
      </c>
      <c r="AD344" s="18" t="n">
        <f aca="false">(MAX(1,N(I344))*(P344+N(S344))+MAX(1,N(I344))*N(K344)/(MAX(1,N(U344))*AC344))*Settings!$B$9</f>
        <v>0</v>
      </c>
      <c r="AE344" s="18" t="n">
        <f aca="false">(MAX(1,N(I344))*N(Q344)+MAX(1,N(I344))*N(L344)/(MAX(1,N(U344))*AC344))*Settings!$B$8</f>
        <v>0</v>
      </c>
      <c r="AF344" s="18" t="n">
        <f aca="false">MAX(1,N(I344))*N(T344)</f>
        <v>0</v>
      </c>
      <c r="AG344" s="15" t="n">
        <f aca="false">AA344*N(AD344)</f>
        <v>0</v>
      </c>
      <c r="AH344" s="15" t="n">
        <f aca="false">AA344*N(AE344)</f>
        <v>0</v>
      </c>
      <c r="AI344" s="15" t="n">
        <f aca="false">AA344*N(AF344)</f>
        <v>0</v>
      </c>
      <c r="AJ344" s="15" t="n">
        <f aca="false">AA344*N(R344)</f>
        <v>0</v>
      </c>
      <c r="AK344" s="15" t="n">
        <f aca="false">AB344*N(AD344)</f>
        <v>0</v>
      </c>
      <c r="AL344" s="15" t="n">
        <f aca="false">AB344*N(AE344)</f>
        <v>0</v>
      </c>
      <c r="AM344" s="15" t="n">
        <f aca="false">AB344*N(AF344)</f>
        <v>0</v>
      </c>
      <c r="AN344" s="15" t="n">
        <f aca="false">AB344*N(R344)</f>
        <v>0</v>
      </c>
      <c r="AO344" s="21" t="str">
        <f aca="false">IF(F344&lt;&gt;"Y","n/a",IF(AND(N344&lt;&gt;"",OR(Q344&lt;&gt;"",G344="Other / bench",G344="None"),U344&lt;&gt;""),"OK","Missing"))</f>
        <v>Missing</v>
      </c>
    </row>
    <row r="345" customFormat="false" ht="15" hidden="false" customHeight="false" outlineLevel="0" collapsed="false">
      <c r="A345" s="10" t="s">
        <v>406</v>
      </c>
      <c r="B345" s="10" t="s">
        <v>659</v>
      </c>
      <c r="C345" s="10" t="s">
        <v>732</v>
      </c>
      <c r="D345" s="10" t="s">
        <v>666</v>
      </c>
      <c r="E345" s="21" t="str">
        <f aca="false">IF(A345="","",A345&amp;"|"&amp;D345)</f>
        <v>F57|Content uniformity</v>
      </c>
      <c r="F345" s="16" t="s">
        <v>667</v>
      </c>
      <c r="G345" s="16" t="s">
        <v>147</v>
      </c>
      <c r="H345" s="16" t="s">
        <v>685</v>
      </c>
      <c r="I345" s="16" t="n">
        <v>1</v>
      </c>
      <c r="J345" s="16"/>
      <c r="K345" s="14"/>
      <c r="L345" s="14"/>
      <c r="M345" s="14"/>
      <c r="N345" s="14"/>
      <c r="O345" s="14"/>
      <c r="P345" s="18" t="n">
        <f aca="false">IF(N345="",0,IF(OR(M345="",O345=""),N345,(M345+4*N345+O345)/6))</f>
        <v>0</v>
      </c>
      <c r="Q345" s="14"/>
      <c r="R345" s="14"/>
      <c r="S345" s="14"/>
      <c r="T345" s="14"/>
      <c r="U345" s="16"/>
      <c r="V345" s="13"/>
      <c r="W345" s="16" t="s">
        <v>667</v>
      </c>
      <c r="X345" s="16"/>
      <c r="Y345" s="16"/>
      <c r="Z345" s="16"/>
      <c r="AA345" s="22" t="n">
        <f aca="false">IF(F345&lt;&gt;"Y",0,((SUMIF(Products!$E$5:$E$300,A345,Products!$F$5:$F$300)+SUMIF(RM_Lots!$A$5:$A$400,A345,RM_Lots!$D$5:$D$400))+IF(W345="Y",SUMIF(Products!$E$5:$E$300,A345,Products!$G$5:$G$300),0))*(1+N(V345)))</f>
        <v>0</v>
      </c>
      <c r="AB345" s="22" t="n">
        <f aca="false">IF(F345&lt;&gt;"Y",0,((SUMIF(Products!$E$5:$E$300,A345,Products!$K$5:$K$300)+SUMIF(RM_Lots!$A$5:$A$400,A345,RM_Lots!$F$5:$F$400))+IF(W345="Y",SUMIF(Products!$E$5:$E$300,A345,Products!$L$5:$L$300),0))*(1+N(V345)))</f>
        <v>0</v>
      </c>
      <c r="AC345" s="17" t="n">
        <f aca="false">IF(J345="",1,MAX(1,COUNTIFS($J$5:$J$863,J345,$F$5:$F$863,"Y")))</f>
        <v>1</v>
      </c>
      <c r="AD345" s="18" t="n">
        <f aca="false">(MAX(1,N(I345))*(P345+N(S345))+MAX(1,N(I345))*N(K345)/(MAX(1,N(U345))*AC345))*Settings!$B$9</f>
        <v>0</v>
      </c>
      <c r="AE345" s="18" t="n">
        <f aca="false">(MAX(1,N(I345))*N(Q345)+MAX(1,N(I345))*N(L345)/(MAX(1,N(U345))*AC345))*Settings!$B$8</f>
        <v>0</v>
      </c>
      <c r="AF345" s="18" t="n">
        <f aca="false">MAX(1,N(I345))*N(T345)</f>
        <v>0</v>
      </c>
      <c r="AG345" s="15" t="n">
        <f aca="false">AA345*N(AD345)</f>
        <v>0</v>
      </c>
      <c r="AH345" s="15" t="n">
        <f aca="false">AA345*N(AE345)</f>
        <v>0</v>
      </c>
      <c r="AI345" s="15" t="n">
        <f aca="false">AA345*N(AF345)</f>
        <v>0</v>
      </c>
      <c r="AJ345" s="15" t="n">
        <f aca="false">AA345*N(R345)</f>
        <v>0</v>
      </c>
      <c r="AK345" s="15" t="n">
        <f aca="false">AB345*N(AD345)</f>
        <v>0</v>
      </c>
      <c r="AL345" s="15" t="n">
        <f aca="false">AB345*N(AE345)</f>
        <v>0</v>
      </c>
      <c r="AM345" s="15" t="n">
        <f aca="false">AB345*N(AF345)</f>
        <v>0</v>
      </c>
      <c r="AN345" s="15" t="n">
        <f aca="false">AB345*N(R345)</f>
        <v>0</v>
      </c>
      <c r="AO345" s="21" t="str">
        <f aca="false">IF(F345&lt;&gt;"Y","n/a",IF(AND(N345&lt;&gt;"",OR(Q345&lt;&gt;"",G345="Other / bench",G345="None"),U345&lt;&gt;""),"OK","Missing"))</f>
        <v>n/a</v>
      </c>
    </row>
    <row r="346" customFormat="false" ht="15" hidden="false" customHeight="false" outlineLevel="0" collapsed="false">
      <c r="A346" s="10" t="s">
        <v>406</v>
      </c>
      <c r="B346" s="10" t="s">
        <v>659</v>
      </c>
      <c r="C346" s="10" t="s">
        <v>732</v>
      </c>
      <c r="D346" s="10" t="s">
        <v>668</v>
      </c>
      <c r="E346" s="21" t="str">
        <f aca="false">IF(A346="","",A346&amp;"|"&amp;D346)</f>
        <v>F57|Identification (if separate from assay)</v>
      </c>
      <c r="F346" s="16" t="s">
        <v>667</v>
      </c>
      <c r="G346" s="16" t="s">
        <v>147</v>
      </c>
      <c r="H346" s="16" t="s">
        <v>685</v>
      </c>
      <c r="I346" s="16" t="n">
        <v>1</v>
      </c>
      <c r="J346" s="16"/>
      <c r="K346" s="14"/>
      <c r="L346" s="14"/>
      <c r="M346" s="14"/>
      <c r="N346" s="14"/>
      <c r="O346" s="14"/>
      <c r="P346" s="18" t="n">
        <f aca="false">IF(N346="",0,IF(OR(M346="",O346=""),N346,(M346+4*N346+O346)/6))</f>
        <v>0</v>
      </c>
      <c r="Q346" s="14"/>
      <c r="R346" s="14"/>
      <c r="S346" s="14"/>
      <c r="T346" s="14"/>
      <c r="U346" s="16"/>
      <c r="V346" s="13"/>
      <c r="W346" s="16" t="s">
        <v>667</v>
      </c>
      <c r="X346" s="16"/>
      <c r="Y346" s="16"/>
      <c r="Z346" s="16"/>
      <c r="AA346" s="22" t="n">
        <f aca="false">IF(F346&lt;&gt;"Y",0,((SUMIF(Products!$E$5:$E$300,A346,Products!$F$5:$F$300)+SUMIF(RM_Lots!$A$5:$A$400,A346,RM_Lots!$D$5:$D$400))+IF(W346="Y",SUMIF(Products!$E$5:$E$300,A346,Products!$G$5:$G$300),0))*(1+N(V346)))</f>
        <v>0</v>
      </c>
      <c r="AB346" s="22" t="n">
        <f aca="false">IF(F346&lt;&gt;"Y",0,((SUMIF(Products!$E$5:$E$300,A346,Products!$K$5:$K$300)+SUMIF(RM_Lots!$A$5:$A$400,A346,RM_Lots!$F$5:$F$400))+IF(W346="Y",SUMIF(Products!$E$5:$E$300,A346,Products!$L$5:$L$300),0))*(1+N(V346)))</f>
        <v>0</v>
      </c>
      <c r="AC346" s="17" t="n">
        <f aca="false">IF(J346="",1,MAX(1,COUNTIFS($J$5:$J$863,J346,$F$5:$F$863,"Y")))</f>
        <v>1</v>
      </c>
      <c r="AD346" s="18" t="n">
        <f aca="false">(MAX(1,N(I346))*(P346+N(S346))+MAX(1,N(I346))*N(K346)/(MAX(1,N(U346))*AC346))*Settings!$B$9</f>
        <v>0</v>
      </c>
      <c r="AE346" s="18" t="n">
        <f aca="false">(MAX(1,N(I346))*N(Q346)+MAX(1,N(I346))*N(L346)/(MAX(1,N(U346))*AC346))*Settings!$B$8</f>
        <v>0</v>
      </c>
      <c r="AF346" s="18" t="n">
        <f aca="false">MAX(1,N(I346))*N(T346)</f>
        <v>0</v>
      </c>
      <c r="AG346" s="15" t="n">
        <f aca="false">AA346*N(AD346)</f>
        <v>0</v>
      </c>
      <c r="AH346" s="15" t="n">
        <f aca="false">AA346*N(AE346)</f>
        <v>0</v>
      </c>
      <c r="AI346" s="15" t="n">
        <f aca="false">AA346*N(AF346)</f>
        <v>0</v>
      </c>
      <c r="AJ346" s="15" t="n">
        <f aca="false">AA346*N(R346)</f>
        <v>0</v>
      </c>
      <c r="AK346" s="15" t="n">
        <f aca="false">AB346*N(AD346)</f>
        <v>0</v>
      </c>
      <c r="AL346" s="15" t="n">
        <f aca="false">AB346*N(AE346)</f>
        <v>0</v>
      </c>
      <c r="AM346" s="15" t="n">
        <f aca="false">AB346*N(AF346)</f>
        <v>0</v>
      </c>
      <c r="AN346" s="15" t="n">
        <f aca="false">AB346*N(R346)</f>
        <v>0</v>
      </c>
      <c r="AO346" s="21" t="str">
        <f aca="false">IF(F346&lt;&gt;"Y","n/a",IF(AND(N346&lt;&gt;"",OR(Q346&lt;&gt;"",G346="Other / bench",G346="None"),U346&lt;&gt;""),"OK","Missing"))</f>
        <v>n/a</v>
      </c>
    </row>
    <row r="347" customFormat="false" ht="15" hidden="false" customHeight="false" outlineLevel="0" collapsed="false">
      <c r="A347" s="10" t="s">
        <v>406</v>
      </c>
      <c r="B347" s="10" t="s">
        <v>659</v>
      </c>
      <c r="C347" s="10" t="s">
        <v>732</v>
      </c>
      <c r="D347" s="10" t="s">
        <v>669</v>
      </c>
      <c r="E347" s="21" t="str">
        <f aca="false">IF(A347="","",A347&amp;"|"&amp;D347)</f>
        <v>F57|Other tests (non-HPLC: physical, LOD/KF, disintegration, pH, micro...)</v>
      </c>
      <c r="F347" s="16" t="s">
        <v>662</v>
      </c>
      <c r="G347" s="16" t="s">
        <v>670</v>
      </c>
      <c r="H347" s="16" t="s">
        <v>685</v>
      </c>
      <c r="I347" s="16" t="n">
        <v>1</v>
      </c>
      <c r="J347" s="16"/>
      <c r="K347" s="14"/>
      <c r="L347" s="14"/>
      <c r="M347" s="14"/>
      <c r="N347" s="14"/>
      <c r="O347" s="14"/>
      <c r="P347" s="18" t="n">
        <f aca="false">IF(N347="",0,IF(OR(M347="",O347=""),N347,(M347+4*N347+O347)/6))</f>
        <v>0</v>
      </c>
      <c r="Q347" s="14"/>
      <c r="R347" s="14"/>
      <c r="S347" s="14"/>
      <c r="T347" s="14"/>
      <c r="U347" s="16"/>
      <c r="V347" s="13"/>
      <c r="W347" s="16" t="s">
        <v>662</v>
      </c>
      <c r="X347" s="16"/>
      <c r="Y347" s="16"/>
      <c r="Z347" s="16"/>
      <c r="AA347" s="22" t="n">
        <f aca="false">IF(F347&lt;&gt;"Y",0,((SUMIF(Products!$E$5:$E$300,A347,Products!$F$5:$F$300)+SUMIF(RM_Lots!$A$5:$A$400,A347,RM_Lots!$D$5:$D$400))+IF(W347="Y",SUMIF(Products!$E$5:$E$300,A347,Products!$G$5:$G$300),0))*(1+N(V347)))</f>
        <v>0</v>
      </c>
      <c r="AB347" s="22" t="n">
        <f aca="false">IF(F347&lt;&gt;"Y",0,((SUMIF(Products!$E$5:$E$300,A347,Products!$K$5:$K$300)+SUMIF(RM_Lots!$A$5:$A$400,A347,RM_Lots!$F$5:$F$400))+IF(W347="Y",SUMIF(Products!$E$5:$E$300,A347,Products!$L$5:$L$300),0))*(1+N(V347)))</f>
        <v>0</v>
      </c>
      <c r="AC347" s="17" t="n">
        <f aca="false">IF(J347="",1,MAX(1,COUNTIFS($J$5:$J$863,J347,$F$5:$F$863,"Y")))</f>
        <v>1</v>
      </c>
      <c r="AD347" s="18" t="n">
        <f aca="false">(MAX(1,N(I347))*(P347+N(S347))+MAX(1,N(I347))*N(K347)/(MAX(1,N(U347))*AC347))*Settings!$B$9</f>
        <v>0</v>
      </c>
      <c r="AE347" s="18" t="n">
        <f aca="false">(MAX(1,N(I347))*N(Q347)+MAX(1,N(I347))*N(L347)/(MAX(1,N(U347))*AC347))*Settings!$B$8</f>
        <v>0</v>
      </c>
      <c r="AF347" s="18" t="n">
        <f aca="false">MAX(1,N(I347))*N(T347)</f>
        <v>0</v>
      </c>
      <c r="AG347" s="15" t="n">
        <f aca="false">AA347*N(AD347)</f>
        <v>0</v>
      </c>
      <c r="AH347" s="15" t="n">
        <f aca="false">AA347*N(AE347)</f>
        <v>0</v>
      </c>
      <c r="AI347" s="15" t="n">
        <f aca="false">AA347*N(AF347)</f>
        <v>0</v>
      </c>
      <c r="AJ347" s="15" t="n">
        <f aca="false">AA347*N(R347)</f>
        <v>0</v>
      </c>
      <c r="AK347" s="15" t="n">
        <f aca="false">AB347*N(AD347)</f>
        <v>0</v>
      </c>
      <c r="AL347" s="15" t="n">
        <f aca="false">AB347*N(AE347)</f>
        <v>0</v>
      </c>
      <c r="AM347" s="15" t="n">
        <f aca="false">AB347*N(AF347)</f>
        <v>0</v>
      </c>
      <c r="AN347" s="15" t="n">
        <f aca="false">AB347*N(R347)</f>
        <v>0</v>
      </c>
      <c r="AO347" s="21" t="str">
        <f aca="false">IF(F347&lt;&gt;"Y","n/a",IF(AND(N347&lt;&gt;"",OR(Q347&lt;&gt;"",G347="Other / bench",G347="None"),U347&lt;&gt;""),"OK","Missing"))</f>
        <v>Missing</v>
      </c>
    </row>
    <row r="348" customFormat="false" ht="15" hidden="false" customHeight="false" outlineLevel="0" collapsed="false">
      <c r="A348" s="10" t="s">
        <v>409</v>
      </c>
      <c r="B348" s="10" t="s">
        <v>659</v>
      </c>
      <c r="C348" s="10" t="s">
        <v>733</v>
      </c>
      <c r="D348" s="10" t="s">
        <v>661</v>
      </c>
      <c r="E348" s="21" t="str">
        <f aca="false">IF(A348="","",A348&amp;"|"&amp;D348)</f>
        <v>F58|Assay</v>
      </c>
      <c r="F348" s="16" t="s">
        <v>662</v>
      </c>
      <c r="G348" s="16" t="s">
        <v>147</v>
      </c>
      <c r="H348" s="16" t="s">
        <v>685</v>
      </c>
      <c r="I348" s="16" t="n">
        <v>1</v>
      </c>
      <c r="J348" s="16"/>
      <c r="K348" s="14"/>
      <c r="L348" s="14"/>
      <c r="M348" s="14"/>
      <c r="N348" s="14"/>
      <c r="O348" s="14"/>
      <c r="P348" s="18" t="n">
        <f aca="false">IF(N348="",0,IF(OR(M348="",O348=""),N348,(M348+4*N348+O348)/6))</f>
        <v>0</v>
      </c>
      <c r="Q348" s="14"/>
      <c r="R348" s="14"/>
      <c r="S348" s="14"/>
      <c r="T348" s="14"/>
      <c r="U348" s="16"/>
      <c r="V348" s="13"/>
      <c r="W348" s="16" t="s">
        <v>662</v>
      </c>
      <c r="X348" s="16"/>
      <c r="Y348" s="16"/>
      <c r="Z348" s="16" t="s">
        <v>693</v>
      </c>
      <c r="AA348" s="22" t="n">
        <f aca="false">IF(F348&lt;&gt;"Y",0,((SUMIF(Products!$E$5:$E$300,A348,Products!$F$5:$F$300)+SUMIF(RM_Lots!$A$5:$A$400,A348,RM_Lots!$D$5:$D$400))+IF(W348="Y",SUMIF(Products!$E$5:$E$300,A348,Products!$G$5:$G$300),0))*(1+N(V348)))</f>
        <v>0</v>
      </c>
      <c r="AB348" s="22" t="n">
        <f aca="false">IF(F348&lt;&gt;"Y",0,((SUMIF(Products!$E$5:$E$300,A348,Products!$K$5:$K$300)+SUMIF(RM_Lots!$A$5:$A$400,A348,RM_Lots!$F$5:$F$400))+IF(W348="Y",SUMIF(Products!$E$5:$E$300,A348,Products!$L$5:$L$300),0))*(1+N(V348)))</f>
        <v>0</v>
      </c>
      <c r="AC348" s="17" t="n">
        <f aca="false">IF(J348="",1,MAX(1,COUNTIFS($J$5:$J$863,J348,$F$5:$F$863,"Y")))</f>
        <v>1</v>
      </c>
      <c r="AD348" s="18" t="n">
        <f aca="false">(MAX(1,N(I348))*(P348+N(S348))+MAX(1,N(I348))*N(K348)/(MAX(1,N(U348))*AC348))*Settings!$B$9</f>
        <v>0</v>
      </c>
      <c r="AE348" s="18" t="n">
        <f aca="false">(MAX(1,N(I348))*N(Q348)+MAX(1,N(I348))*N(L348)/(MAX(1,N(U348))*AC348))*Settings!$B$8</f>
        <v>0</v>
      </c>
      <c r="AF348" s="18" t="n">
        <f aca="false">MAX(1,N(I348))*N(T348)</f>
        <v>0</v>
      </c>
      <c r="AG348" s="15" t="n">
        <f aca="false">AA348*N(AD348)</f>
        <v>0</v>
      </c>
      <c r="AH348" s="15" t="n">
        <f aca="false">AA348*N(AE348)</f>
        <v>0</v>
      </c>
      <c r="AI348" s="15" t="n">
        <f aca="false">AA348*N(AF348)</f>
        <v>0</v>
      </c>
      <c r="AJ348" s="15" t="n">
        <f aca="false">AA348*N(R348)</f>
        <v>0</v>
      </c>
      <c r="AK348" s="15" t="n">
        <f aca="false">AB348*N(AD348)</f>
        <v>0</v>
      </c>
      <c r="AL348" s="15" t="n">
        <f aca="false">AB348*N(AE348)</f>
        <v>0</v>
      </c>
      <c r="AM348" s="15" t="n">
        <f aca="false">AB348*N(AF348)</f>
        <v>0</v>
      </c>
      <c r="AN348" s="15" t="n">
        <f aca="false">AB348*N(R348)</f>
        <v>0</v>
      </c>
      <c r="AO348" s="21" t="str">
        <f aca="false">IF(F348&lt;&gt;"Y","n/a",IF(AND(N348&lt;&gt;"",OR(Q348&lt;&gt;"",G348="Other / bench",G348="None"),U348&lt;&gt;""),"OK","Missing"))</f>
        <v>Missing</v>
      </c>
    </row>
    <row r="349" customFormat="false" ht="15" hidden="false" customHeight="false" outlineLevel="0" collapsed="false">
      <c r="A349" s="10" t="s">
        <v>409</v>
      </c>
      <c r="B349" s="10" t="s">
        <v>659</v>
      </c>
      <c r="C349" s="10" t="s">
        <v>733</v>
      </c>
      <c r="D349" s="10" t="s">
        <v>664</v>
      </c>
      <c r="E349" s="21" t="str">
        <f aca="false">IF(A349="","",A349&amp;"|"&amp;D349)</f>
        <v>F58|Related substances / impurities</v>
      </c>
      <c r="F349" s="16" t="s">
        <v>667</v>
      </c>
      <c r="G349" s="16" t="s">
        <v>147</v>
      </c>
      <c r="H349" s="16" t="s">
        <v>685</v>
      </c>
      <c r="I349" s="16" t="n">
        <v>1</v>
      </c>
      <c r="J349" s="16"/>
      <c r="K349" s="14"/>
      <c r="L349" s="14"/>
      <c r="M349" s="14"/>
      <c r="N349" s="14"/>
      <c r="O349" s="14"/>
      <c r="P349" s="18" t="n">
        <f aca="false">IF(N349="",0,IF(OR(M349="",O349=""),N349,(M349+4*N349+O349)/6))</f>
        <v>0</v>
      </c>
      <c r="Q349" s="14"/>
      <c r="R349" s="14"/>
      <c r="S349" s="14"/>
      <c r="T349" s="14"/>
      <c r="U349" s="16"/>
      <c r="V349" s="13"/>
      <c r="W349" s="16" t="s">
        <v>662</v>
      </c>
      <c r="X349" s="16"/>
      <c r="Y349" s="16"/>
      <c r="Z349" s="16"/>
      <c r="AA349" s="22" t="n">
        <f aca="false">IF(F349&lt;&gt;"Y",0,((SUMIF(Products!$E$5:$E$300,A349,Products!$F$5:$F$300)+SUMIF(RM_Lots!$A$5:$A$400,A349,RM_Lots!$D$5:$D$400))+IF(W349="Y",SUMIF(Products!$E$5:$E$300,A349,Products!$G$5:$G$300),0))*(1+N(V349)))</f>
        <v>0</v>
      </c>
      <c r="AB349" s="22" t="n">
        <f aca="false">IF(F349&lt;&gt;"Y",0,((SUMIF(Products!$E$5:$E$300,A349,Products!$K$5:$K$300)+SUMIF(RM_Lots!$A$5:$A$400,A349,RM_Lots!$F$5:$F$400))+IF(W349="Y",SUMIF(Products!$E$5:$E$300,A349,Products!$L$5:$L$300),0))*(1+N(V349)))</f>
        <v>0</v>
      </c>
      <c r="AC349" s="17" t="n">
        <f aca="false">IF(J349="",1,MAX(1,COUNTIFS($J$5:$J$863,J349,$F$5:$F$863,"Y")))</f>
        <v>1</v>
      </c>
      <c r="AD349" s="18" t="n">
        <f aca="false">(MAX(1,N(I349))*(P349+N(S349))+MAX(1,N(I349))*N(K349)/(MAX(1,N(U349))*AC349))*Settings!$B$9</f>
        <v>0</v>
      </c>
      <c r="AE349" s="18" t="n">
        <f aca="false">(MAX(1,N(I349))*N(Q349)+MAX(1,N(I349))*N(L349)/(MAX(1,N(U349))*AC349))*Settings!$B$8</f>
        <v>0</v>
      </c>
      <c r="AF349" s="18" t="n">
        <f aca="false">MAX(1,N(I349))*N(T349)</f>
        <v>0</v>
      </c>
      <c r="AG349" s="15" t="n">
        <f aca="false">AA349*N(AD349)</f>
        <v>0</v>
      </c>
      <c r="AH349" s="15" t="n">
        <f aca="false">AA349*N(AE349)</f>
        <v>0</v>
      </c>
      <c r="AI349" s="15" t="n">
        <f aca="false">AA349*N(AF349)</f>
        <v>0</v>
      </c>
      <c r="AJ349" s="15" t="n">
        <f aca="false">AA349*N(R349)</f>
        <v>0</v>
      </c>
      <c r="AK349" s="15" t="n">
        <f aca="false">AB349*N(AD349)</f>
        <v>0</v>
      </c>
      <c r="AL349" s="15" t="n">
        <f aca="false">AB349*N(AE349)</f>
        <v>0</v>
      </c>
      <c r="AM349" s="15" t="n">
        <f aca="false">AB349*N(AF349)</f>
        <v>0</v>
      </c>
      <c r="AN349" s="15" t="n">
        <f aca="false">AB349*N(R349)</f>
        <v>0</v>
      </c>
      <c r="AO349" s="21" t="str">
        <f aca="false">IF(F349&lt;&gt;"Y","n/a",IF(AND(N349&lt;&gt;"",OR(Q349&lt;&gt;"",G349="Other / bench",G349="None"),U349&lt;&gt;""),"OK","Missing"))</f>
        <v>n/a</v>
      </c>
    </row>
    <row r="350" customFormat="false" ht="15" hidden="false" customHeight="false" outlineLevel="0" collapsed="false">
      <c r="A350" s="10" t="s">
        <v>409</v>
      </c>
      <c r="B350" s="10" t="s">
        <v>659</v>
      </c>
      <c r="C350" s="10" t="s">
        <v>733</v>
      </c>
      <c r="D350" s="10" t="s">
        <v>665</v>
      </c>
      <c r="E350" s="21" t="str">
        <f aca="false">IF(A350="","",A350&amp;"|"&amp;D350)</f>
        <v>F58|Dissolution</v>
      </c>
      <c r="F350" s="16" t="s">
        <v>662</v>
      </c>
      <c r="G350" s="16" t="s">
        <v>147</v>
      </c>
      <c r="H350" s="16" t="s">
        <v>685</v>
      </c>
      <c r="I350" s="16" t="n">
        <v>1</v>
      </c>
      <c r="J350" s="16"/>
      <c r="K350" s="14"/>
      <c r="L350" s="14"/>
      <c r="M350" s="14"/>
      <c r="N350" s="14"/>
      <c r="O350" s="14"/>
      <c r="P350" s="18" t="n">
        <f aca="false">IF(N350="",0,IF(OR(M350="",O350=""),N350,(M350+4*N350+O350)/6))</f>
        <v>0</v>
      </c>
      <c r="Q350" s="14"/>
      <c r="R350" s="14"/>
      <c r="S350" s="14"/>
      <c r="T350" s="14"/>
      <c r="U350" s="16"/>
      <c r="V350" s="13"/>
      <c r="W350" s="16" t="s">
        <v>662</v>
      </c>
      <c r="X350" s="16"/>
      <c r="Y350" s="16"/>
      <c r="Z350" s="16"/>
      <c r="AA350" s="22" t="n">
        <f aca="false">IF(F350&lt;&gt;"Y",0,((SUMIF(Products!$E$5:$E$300,A350,Products!$F$5:$F$300)+SUMIF(RM_Lots!$A$5:$A$400,A350,RM_Lots!$D$5:$D$400))+IF(W350="Y",SUMIF(Products!$E$5:$E$300,A350,Products!$G$5:$G$300),0))*(1+N(V350)))</f>
        <v>0</v>
      </c>
      <c r="AB350" s="22" t="n">
        <f aca="false">IF(F350&lt;&gt;"Y",0,((SUMIF(Products!$E$5:$E$300,A350,Products!$K$5:$K$300)+SUMIF(RM_Lots!$A$5:$A$400,A350,RM_Lots!$F$5:$F$400))+IF(W350="Y",SUMIF(Products!$E$5:$E$300,A350,Products!$L$5:$L$300),0))*(1+N(V350)))</f>
        <v>0</v>
      </c>
      <c r="AC350" s="17" t="n">
        <f aca="false">IF(J350="",1,MAX(1,COUNTIFS($J$5:$J$863,J350,$F$5:$F$863,"Y")))</f>
        <v>1</v>
      </c>
      <c r="AD350" s="18" t="n">
        <f aca="false">(MAX(1,N(I350))*(P350+N(S350))+MAX(1,N(I350))*N(K350)/(MAX(1,N(U350))*AC350))*Settings!$B$9</f>
        <v>0</v>
      </c>
      <c r="AE350" s="18" t="n">
        <f aca="false">(MAX(1,N(I350))*N(Q350)+MAX(1,N(I350))*N(L350)/(MAX(1,N(U350))*AC350))*Settings!$B$8</f>
        <v>0</v>
      </c>
      <c r="AF350" s="18" t="n">
        <f aca="false">MAX(1,N(I350))*N(T350)</f>
        <v>0</v>
      </c>
      <c r="AG350" s="15" t="n">
        <f aca="false">AA350*N(AD350)</f>
        <v>0</v>
      </c>
      <c r="AH350" s="15" t="n">
        <f aca="false">AA350*N(AE350)</f>
        <v>0</v>
      </c>
      <c r="AI350" s="15" t="n">
        <f aca="false">AA350*N(AF350)</f>
        <v>0</v>
      </c>
      <c r="AJ350" s="15" t="n">
        <f aca="false">AA350*N(R350)</f>
        <v>0</v>
      </c>
      <c r="AK350" s="15" t="n">
        <f aca="false">AB350*N(AD350)</f>
        <v>0</v>
      </c>
      <c r="AL350" s="15" t="n">
        <f aca="false">AB350*N(AE350)</f>
        <v>0</v>
      </c>
      <c r="AM350" s="15" t="n">
        <f aca="false">AB350*N(AF350)</f>
        <v>0</v>
      </c>
      <c r="AN350" s="15" t="n">
        <f aca="false">AB350*N(R350)</f>
        <v>0</v>
      </c>
      <c r="AO350" s="21" t="str">
        <f aca="false">IF(F350&lt;&gt;"Y","n/a",IF(AND(N350&lt;&gt;"",OR(Q350&lt;&gt;"",G350="Other / bench",G350="None"),U350&lt;&gt;""),"OK","Missing"))</f>
        <v>Missing</v>
      </c>
    </row>
    <row r="351" customFormat="false" ht="15" hidden="false" customHeight="false" outlineLevel="0" collapsed="false">
      <c r="A351" s="10" t="s">
        <v>409</v>
      </c>
      <c r="B351" s="10" t="s">
        <v>659</v>
      </c>
      <c r="C351" s="10" t="s">
        <v>733</v>
      </c>
      <c r="D351" s="10" t="s">
        <v>666</v>
      </c>
      <c r="E351" s="21" t="str">
        <f aca="false">IF(A351="","",A351&amp;"|"&amp;D351)</f>
        <v>F58|Content uniformity</v>
      </c>
      <c r="F351" s="16" t="s">
        <v>667</v>
      </c>
      <c r="G351" s="16" t="s">
        <v>147</v>
      </c>
      <c r="H351" s="16" t="s">
        <v>685</v>
      </c>
      <c r="I351" s="16" t="n">
        <v>1</v>
      </c>
      <c r="J351" s="16"/>
      <c r="K351" s="14"/>
      <c r="L351" s="14"/>
      <c r="M351" s="14"/>
      <c r="N351" s="14"/>
      <c r="O351" s="14"/>
      <c r="P351" s="18" t="n">
        <f aca="false">IF(N351="",0,IF(OR(M351="",O351=""),N351,(M351+4*N351+O351)/6))</f>
        <v>0</v>
      </c>
      <c r="Q351" s="14"/>
      <c r="R351" s="14"/>
      <c r="S351" s="14"/>
      <c r="T351" s="14"/>
      <c r="U351" s="16"/>
      <c r="V351" s="13"/>
      <c r="W351" s="16" t="s">
        <v>667</v>
      </c>
      <c r="X351" s="16"/>
      <c r="Y351" s="16"/>
      <c r="Z351" s="16"/>
      <c r="AA351" s="22" t="n">
        <f aca="false">IF(F351&lt;&gt;"Y",0,((SUMIF(Products!$E$5:$E$300,A351,Products!$F$5:$F$300)+SUMIF(RM_Lots!$A$5:$A$400,A351,RM_Lots!$D$5:$D$400))+IF(W351="Y",SUMIF(Products!$E$5:$E$300,A351,Products!$G$5:$G$300),0))*(1+N(V351)))</f>
        <v>0</v>
      </c>
      <c r="AB351" s="22" t="n">
        <f aca="false">IF(F351&lt;&gt;"Y",0,((SUMIF(Products!$E$5:$E$300,A351,Products!$K$5:$K$300)+SUMIF(RM_Lots!$A$5:$A$400,A351,RM_Lots!$F$5:$F$400))+IF(W351="Y",SUMIF(Products!$E$5:$E$300,A351,Products!$L$5:$L$300),0))*(1+N(V351)))</f>
        <v>0</v>
      </c>
      <c r="AC351" s="17" t="n">
        <f aca="false">IF(J351="",1,MAX(1,COUNTIFS($J$5:$J$863,J351,$F$5:$F$863,"Y")))</f>
        <v>1</v>
      </c>
      <c r="AD351" s="18" t="n">
        <f aca="false">(MAX(1,N(I351))*(P351+N(S351))+MAX(1,N(I351))*N(K351)/(MAX(1,N(U351))*AC351))*Settings!$B$9</f>
        <v>0</v>
      </c>
      <c r="AE351" s="18" t="n">
        <f aca="false">(MAX(1,N(I351))*N(Q351)+MAX(1,N(I351))*N(L351)/(MAX(1,N(U351))*AC351))*Settings!$B$8</f>
        <v>0</v>
      </c>
      <c r="AF351" s="18" t="n">
        <f aca="false">MAX(1,N(I351))*N(T351)</f>
        <v>0</v>
      </c>
      <c r="AG351" s="15" t="n">
        <f aca="false">AA351*N(AD351)</f>
        <v>0</v>
      </c>
      <c r="AH351" s="15" t="n">
        <f aca="false">AA351*N(AE351)</f>
        <v>0</v>
      </c>
      <c r="AI351" s="15" t="n">
        <f aca="false">AA351*N(AF351)</f>
        <v>0</v>
      </c>
      <c r="AJ351" s="15" t="n">
        <f aca="false">AA351*N(R351)</f>
        <v>0</v>
      </c>
      <c r="AK351" s="15" t="n">
        <f aca="false">AB351*N(AD351)</f>
        <v>0</v>
      </c>
      <c r="AL351" s="15" t="n">
        <f aca="false">AB351*N(AE351)</f>
        <v>0</v>
      </c>
      <c r="AM351" s="15" t="n">
        <f aca="false">AB351*N(AF351)</f>
        <v>0</v>
      </c>
      <c r="AN351" s="15" t="n">
        <f aca="false">AB351*N(R351)</f>
        <v>0</v>
      </c>
      <c r="AO351" s="21" t="str">
        <f aca="false">IF(F351&lt;&gt;"Y","n/a",IF(AND(N351&lt;&gt;"",OR(Q351&lt;&gt;"",G351="Other / bench",G351="None"),U351&lt;&gt;""),"OK","Missing"))</f>
        <v>n/a</v>
      </c>
    </row>
    <row r="352" customFormat="false" ht="15" hidden="false" customHeight="false" outlineLevel="0" collapsed="false">
      <c r="A352" s="10" t="s">
        <v>409</v>
      </c>
      <c r="B352" s="10" t="s">
        <v>659</v>
      </c>
      <c r="C352" s="10" t="s">
        <v>733</v>
      </c>
      <c r="D352" s="10" t="s">
        <v>668</v>
      </c>
      <c r="E352" s="21" t="str">
        <f aca="false">IF(A352="","",A352&amp;"|"&amp;D352)</f>
        <v>F58|Identification (if separate from assay)</v>
      </c>
      <c r="F352" s="16" t="s">
        <v>667</v>
      </c>
      <c r="G352" s="16" t="s">
        <v>147</v>
      </c>
      <c r="H352" s="16" t="s">
        <v>685</v>
      </c>
      <c r="I352" s="16" t="n">
        <v>1</v>
      </c>
      <c r="J352" s="16"/>
      <c r="K352" s="14"/>
      <c r="L352" s="14"/>
      <c r="M352" s="14"/>
      <c r="N352" s="14"/>
      <c r="O352" s="14"/>
      <c r="P352" s="18" t="n">
        <f aca="false">IF(N352="",0,IF(OR(M352="",O352=""),N352,(M352+4*N352+O352)/6))</f>
        <v>0</v>
      </c>
      <c r="Q352" s="14"/>
      <c r="R352" s="14"/>
      <c r="S352" s="14"/>
      <c r="T352" s="14"/>
      <c r="U352" s="16"/>
      <c r="V352" s="13"/>
      <c r="W352" s="16" t="s">
        <v>667</v>
      </c>
      <c r="X352" s="16"/>
      <c r="Y352" s="16"/>
      <c r="Z352" s="16"/>
      <c r="AA352" s="22" t="n">
        <f aca="false">IF(F352&lt;&gt;"Y",0,((SUMIF(Products!$E$5:$E$300,A352,Products!$F$5:$F$300)+SUMIF(RM_Lots!$A$5:$A$400,A352,RM_Lots!$D$5:$D$400))+IF(W352="Y",SUMIF(Products!$E$5:$E$300,A352,Products!$G$5:$G$300),0))*(1+N(V352)))</f>
        <v>0</v>
      </c>
      <c r="AB352" s="22" t="n">
        <f aca="false">IF(F352&lt;&gt;"Y",0,((SUMIF(Products!$E$5:$E$300,A352,Products!$K$5:$K$300)+SUMIF(RM_Lots!$A$5:$A$400,A352,RM_Lots!$F$5:$F$400))+IF(W352="Y",SUMIF(Products!$E$5:$E$300,A352,Products!$L$5:$L$300),0))*(1+N(V352)))</f>
        <v>0</v>
      </c>
      <c r="AC352" s="17" t="n">
        <f aca="false">IF(J352="",1,MAX(1,COUNTIFS($J$5:$J$863,J352,$F$5:$F$863,"Y")))</f>
        <v>1</v>
      </c>
      <c r="AD352" s="18" t="n">
        <f aca="false">(MAX(1,N(I352))*(P352+N(S352))+MAX(1,N(I352))*N(K352)/(MAX(1,N(U352))*AC352))*Settings!$B$9</f>
        <v>0</v>
      </c>
      <c r="AE352" s="18" t="n">
        <f aca="false">(MAX(1,N(I352))*N(Q352)+MAX(1,N(I352))*N(L352)/(MAX(1,N(U352))*AC352))*Settings!$B$8</f>
        <v>0</v>
      </c>
      <c r="AF352" s="18" t="n">
        <f aca="false">MAX(1,N(I352))*N(T352)</f>
        <v>0</v>
      </c>
      <c r="AG352" s="15" t="n">
        <f aca="false">AA352*N(AD352)</f>
        <v>0</v>
      </c>
      <c r="AH352" s="15" t="n">
        <f aca="false">AA352*N(AE352)</f>
        <v>0</v>
      </c>
      <c r="AI352" s="15" t="n">
        <f aca="false">AA352*N(AF352)</f>
        <v>0</v>
      </c>
      <c r="AJ352" s="15" t="n">
        <f aca="false">AA352*N(R352)</f>
        <v>0</v>
      </c>
      <c r="AK352" s="15" t="n">
        <f aca="false">AB352*N(AD352)</f>
        <v>0</v>
      </c>
      <c r="AL352" s="15" t="n">
        <f aca="false">AB352*N(AE352)</f>
        <v>0</v>
      </c>
      <c r="AM352" s="15" t="n">
        <f aca="false">AB352*N(AF352)</f>
        <v>0</v>
      </c>
      <c r="AN352" s="15" t="n">
        <f aca="false">AB352*N(R352)</f>
        <v>0</v>
      </c>
      <c r="AO352" s="21" t="str">
        <f aca="false">IF(F352&lt;&gt;"Y","n/a",IF(AND(N352&lt;&gt;"",OR(Q352&lt;&gt;"",G352="Other / bench",G352="None"),U352&lt;&gt;""),"OK","Missing"))</f>
        <v>n/a</v>
      </c>
    </row>
    <row r="353" customFormat="false" ht="15" hidden="false" customHeight="false" outlineLevel="0" collapsed="false">
      <c r="A353" s="10" t="s">
        <v>409</v>
      </c>
      <c r="B353" s="10" t="s">
        <v>659</v>
      </c>
      <c r="C353" s="10" t="s">
        <v>733</v>
      </c>
      <c r="D353" s="10" t="s">
        <v>669</v>
      </c>
      <c r="E353" s="21" t="str">
        <f aca="false">IF(A353="","",A353&amp;"|"&amp;D353)</f>
        <v>F58|Other tests (non-HPLC: physical, LOD/KF, disintegration, pH, micro...)</v>
      </c>
      <c r="F353" s="16" t="s">
        <v>662</v>
      </c>
      <c r="G353" s="16" t="s">
        <v>670</v>
      </c>
      <c r="H353" s="16" t="s">
        <v>685</v>
      </c>
      <c r="I353" s="16" t="n">
        <v>1</v>
      </c>
      <c r="J353" s="16"/>
      <c r="K353" s="14"/>
      <c r="L353" s="14"/>
      <c r="M353" s="14"/>
      <c r="N353" s="14"/>
      <c r="O353" s="14"/>
      <c r="P353" s="18" t="n">
        <f aca="false">IF(N353="",0,IF(OR(M353="",O353=""),N353,(M353+4*N353+O353)/6))</f>
        <v>0</v>
      </c>
      <c r="Q353" s="14"/>
      <c r="R353" s="14"/>
      <c r="S353" s="14"/>
      <c r="T353" s="14"/>
      <c r="U353" s="16"/>
      <c r="V353" s="13"/>
      <c r="W353" s="16" t="s">
        <v>662</v>
      </c>
      <c r="X353" s="16"/>
      <c r="Y353" s="16"/>
      <c r="Z353" s="16"/>
      <c r="AA353" s="22" t="n">
        <f aca="false">IF(F353&lt;&gt;"Y",0,((SUMIF(Products!$E$5:$E$300,A353,Products!$F$5:$F$300)+SUMIF(RM_Lots!$A$5:$A$400,A353,RM_Lots!$D$5:$D$400))+IF(W353="Y",SUMIF(Products!$E$5:$E$300,A353,Products!$G$5:$G$300),0))*(1+N(V353)))</f>
        <v>0</v>
      </c>
      <c r="AB353" s="22" t="n">
        <f aca="false">IF(F353&lt;&gt;"Y",0,((SUMIF(Products!$E$5:$E$300,A353,Products!$K$5:$K$300)+SUMIF(RM_Lots!$A$5:$A$400,A353,RM_Lots!$F$5:$F$400))+IF(W353="Y",SUMIF(Products!$E$5:$E$300,A353,Products!$L$5:$L$300),0))*(1+N(V353)))</f>
        <v>0</v>
      </c>
      <c r="AC353" s="17" t="n">
        <f aca="false">IF(J353="",1,MAX(1,COUNTIFS($J$5:$J$863,J353,$F$5:$F$863,"Y")))</f>
        <v>1</v>
      </c>
      <c r="AD353" s="18" t="n">
        <f aca="false">(MAX(1,N(I353))*(P353+N(S353))+MAX(1,N(I353))*N(K353)/(MAX(1,N(U353))*AC353))*Settings!$B$9</f>
        <v>0</v>
      </c>
      <c r="AE353" s="18" t="n">
        <f aca="false">(MAX(1,N(I353))*N(Q353)+MAX(1,N(I353))*N(L353)/(MAX(1,N(U353))*AC353))*Settings!$B$8</f>
        <v>0</v>
      </c>
      <c r="AF353" s="18" t="n">
        <f aca="false">MAX(1,N(I353))*N(T353)</f>
        <v>0</v>
      </c>
      <c r="AG353" s="15" t="n">
        <f aca="false">AA353*N(AD353)</f>
        <v>0</v>
      </c>
      <c r="AH353" s="15" t="n">
        <f aca="false">AA353*N(AE353)</f>
        <v>0</v>
      </c>
      <c r="AI353" s="15" t="n">
        <f aca="false">AA353*N(AF353)</f>
        <v>0</v>
      </c>
      <c r="AJ353" s="15" t="n">
        <f aca="false">AA353*N(R353)</f>
        <v>0</v>
      </c>
      <c r="AK353" s="15" t="n">
        <f aca="false">AB353*N(AD353)</f>
        <v>0</v>
      </c>
      <c r="AL353" s="15" t="n">
        <f aca="false">AB353*N(AE353)</f>
        <v>0</v>
      </c>
      <c r="AM353" s="15" t="n">
        <f aca="false">AB353*N(AF353)</f>
        <v>0</v>
      </c>
      <c r="AN353" s="15" t="n">
        <f aca="false">AB353*N(R353)</f>
        <v>0</v>
      </c>
      <c r="AO353" s="21" t="str">
        <f aca="false">IF(F353&lt;&gt;"Y","n/a",IF(AND(N353&lt;&gt;"",OR(Q353&lt;&gt;"",G353="Other / bench",G353="None"),U353&lt;&gt;""),"OK","Missing"))</f>
        <v>Missing</v>
      </c>
    </row>
    <row r="354" customFormat="false" ht="15" hidden="false" customHeight="false" outlineLevel="0" collapsed="false">
      <c r="A354" s="10" t="s">
        <v>412</v>
      </c>
      <c r="B354" s="10" t="s">
        <v>659</v>
      </c>
      <c r="C354" s="10" t="s">
        <v>734</v>
      </c>
      <c r="D354" s="10" t="s">
        <v>661</v>
      </c>
      <c r="E354" s="21" t="str">
        <f aca="false">IF(A354="","",A354&amp;"|"&amp;D354)</f>
        <v>F59|Assay</v>
      </c>
      <c r="F354" s="16" t="s">
        <v>662</v>
      </c>
      <c r="G354" s="16" t="s">
        <v>147</v>
      </c>
      <c r="H354" s="16" t="s">
        <v>685</v>
      </c>
      <c r="I354" s="16" t="n">
        <v>1</v>
      </c>
      <c r="J354" s="16"/>
      <c r="K354" s="14"/>
      <c r="L354" s="14"/>
      <c r="M354" s="14"/>
      <c r="N354" s="14"/>
      <c r="O354" s="14"/>
      <c r="P354" s="18" t="n">
        <f aca="false">IF(N354="",0,IF(OR(M354="",O354=""),N354,(M354+4*N354+O354)/6))</f>
        <v>0</v>
      </c>
      <c r="Q354" s="14"/>
      <c r="R354" s="14"/>
      <c r="S354" s="14"/>
      <c r="T354" s="14"/>
      <c r="U354" s="16"/>
      <c r="V354" s="13"/>
      <c r="W354" s="16" t="s">
        <v>662</v>
      </c>
      <c r="X354" s="16"/>
      <c r="Y354" s="16"/>
      <c r="Z354" s="16" t="s">
        <v>693</v>
      </c>
      <c r="AA354" s="22" t="n">
        <f aca="false">IF(F354&lt;&gt;"Y",0,((SUMIF(Products!$E$5:$E$300,A354,Products!$F$5:$F$300)+SUMIF(RM_Lots!$A$5:$A$400,A354,RM_Lots!$D$5:$D$400))+IF(W354="Y",SUMIF(Products!$E$5:$E$300,A354,Products!$G$5:$G$300),0))*(1+N(V354)))</f>
        <v>0</v>
      </c>
      <c r="AB354" s="22" t="n">
        <f aca="false">IF(F354&lt;&gt;"Y",0,((SUMIF(Products!$E$5:$E$300,A354,Products!$K$5:$K$300)+SUMIF(RM_Lots!$A$5:$A$400,A354,RM_Lots!$F$5:$F$400))+IF(W354="Y",SUMIF(Products!$E$5:$E$300,A354,Products!$L$5:$L$300),0))*(1+N(V354)))</f>
        <v>0</v>
      </c>
      <c r="AC354" s="17" t="n">
        <f aca="false">IF(J354="",1,MAX(1,COUNTIFS($J$5:$J$863,J354,$F$5:$F$863,"Y")))</f>
        <v>1</v>
      </c>
      <c r="AD354" s="18" t="n">
        <f aca="false">(MAX(1,N(I354))*(P354+N(S354))+MAX(1,N(I354))*N(K354)/(MAX(1,N(U354))*AC354))*Settings!$B$9</f>
        <v>0</v>
      </c>
      <c r="AE354" s="18" t="n">
        <f aca="false">(MAX(1,N(I354))*N(Q354)+MAX(1,N(I354))*N(L354)/(MAX(1,N(U354))*AC354))*Settings!$B$8</f>
        <v>0</v>
      </c>
      <c r="AF354" s="18" t="n">
        <f aca="false">MAX(1,N(I354))*N(T354)</f>
        <v>0</v>
      </c>
      <c r="AG354" s="15" t="n">
        <f aca="false">AA354*N(AD354)</f>
        <v>0</v>
      </c>
      <c r="AH354" s="15" t="n">
        <f aca="false">AA354*N(AE354)</f>
        <v>0</v>
      </c>
      <c r="AI354" s="15" t="n">
        <f aca="false">AA354*N(AF354)</f>
        <v>0</v>
      </c>
      <c r="AJ354" s="15" t="n">
        <f aca="false">AA354*N(R354)</f>
        <v>0</v>
      </c>
      <c r="AK354" s="15" t="n">
        <f aca="false">AB354*N(AD354)</f>
        <v>0</v>
      </c>
      <c r="AL354" s="15" t="n">
        <f aca="false">AB354*N(AE354)</f>
        <v>0</v>
      </c>
      <c r="AM354" s="15" t="n">
        <f aca="false">AB354*N(AF354)</f>
        <v>0</v>
      </c>
      <c r="AN354" s="15" t="n">
        <f aca="false">AB354*N(R354)</f>
        <v>0</v>
      </c>
      <c r="AO354" s="21" t="str">
        <f aca="false">IF(F354&lt;&gt;"Y","n/a",IF(AND(N354&lt;&gt;"",OR(Q354&lt;&gt;"",G354="Other / bench",G354="None"),U354&lt;&gt;""),"OK","Missing"))</f>
        <v>Missing</v>
      </c>
    </row>
    <row r="355" customFormat="false" ht="15" hidden="false" customHeight="false" outlineLevel="0" collapsed="false">
      <c r="A355" s="10" t="s">
        <v>412</v>
      </c>
      <c r="B355" s="10" t="s">
        <v>659</v>
      </c>
      <c r="C355" s="10" t="s">
        <v>734</v>
      </c>
      <c r="D355" s="10" t="s">
        <v>664</v>
      </c>
      <c r="E355" s="21" t="str">
        <f aca="false">IF(A355="","",A355&amp;"|"&amp;D355)</f>
        <v>F59|Related substances / impurities</v>
      </c>
      <c r="F355" s="16" t="s">
        <v>667</v>
      </c>
      <c r="G355" s="16" t="s">
        <v>147</v>
      </c>
      <c r="H355" s="16" t="s">
        <v>685</v>
      </c>
      <c r="I355" s="16" t="n">
        <v>1</v>
      </c>
      <c r="J355" s="16"/>
      <c r="K355" s="14"/>
      <c r="L355" s="14"/>
      <c r="M355" s="14"/>
      <c r="N355" s="14"/>
      <c r="O355" s="14"/>
      <c r="P355" s="18" t="n">
        <f aca="false">IF(N355="",0,IF(OR(M355="",O355=""),N355,(M355+4*N355+O355)/6))</f>
        <v>0</v>
      </c>
      <c r="Q355" s="14"/>
      <c r="R355" s="14"/>
      <c r="S355" s="14"/>
      <c r="T355" s="14"/>
      <c r="U355" s="16"/>
      <c r="V355" s="13"/>
      <c r="W355" s="16" t="s">
        <v>662</v>
      </c>
      <c r="X355" s="16"/>
      <c r="Y355" s="16"/>
      <c r="Z355" s="16"/>
      <c r="AA355" s="22" t="n">
        <f aca="false">IF(F355&lt;&gt;"Y",0,((SUMIF(Products!$E$5:$E$300,A355,Products!$F$5:$F$300)+SUMIF(RM_Lots!$A$5:$A$400,A355,RM_Lots!$D$5:$D$400))+IF(W355="Y",SUMIF(Products!$E$5:$E$300,A355,Products!$G$5:$G$300),0))*(1+N(V355)))</f>
        <v>0</v>
      </c>
      <c r="AB355" s="22" t="n">
        <f aca="false">IF(F355&lt;&gt;"Y",0,((SUMIF(Products!$E$5:$E$300,A355,Products!$K$5:$K$300)+SUMIF(RM_Lots!$A$5:$A$400,A355,RM_Lots!$F$5:$F$400))+IF(W355="Y",SUMIF(Products!$E$5:$E$300,A355,Products!$L$5:$L$300),0))*(1+N(V355)))</f>
        <v>0</v>
      </c>
      <c r="AC355" s="17" t="n">
        <f aca="false">IF(J355="",1,MAX(1,COUNTIFS($J$5:$J$863,J355,$F$5:$F$863,"Y")))</f>
        <v>1</v>
      </c>
      <c r="AD355" s="18" t="n">
        <f aca="false">(MAX(1,N(I355))*(P355+N(S355))+MAX(1,N(I355))*N(K355)/(MAX(1,N(U355))*AC355))*Settings!$B$9</f>
        <v>0</v>
      </c>
      <c r="AE355" s="18" t="n">
        <f aca="false">(MAX(1,N(I355))*N(Q355)+MAX(1,N(I355))*N(L355)/(MAX(1,N(U355))*AC355))*Settings!$B$8</f>
        <v>0</v>
      </c>
      <c r="AF355" s="18" t="n">
        <f aca="false">MAX(1,N(I355))*N(T355)</f>
        <v>0</v>
      </c>
      <c r="AG355" s="15" t="n">
        <f aca="false">AA355*N(AD355)</f>
        <v>0</v>
      </c>
      <c r="AH355" s="15" t="n">
        <f aca="false">AA355*N(AE355)</f>
        <v>0</v>
      </c>
      <c r="AI355" s="15" t="n">
        <f aca="false">AA355*N(AF355)</f>
        <v>0</v>
      </c>
      <c r="AJ355" s="15" t="n">
        <f aca="false">AA355*N(R355)</f>
        <v>0</v>
      </c>
      <c r="AK355" s="15" t="n">
        <f aca="false">AB355*N(AD355)</f>
        <v>0</v>
      </c>
      <c r="AL355" s="15" t="n">
        <f aca="false">AB355*N(AE355)</f>
        <v>0</v>
      </c>
      <c r="AM355" s="15" t="n">
        <f aca="false">AB355*N(AF355)</f>
        <v>0</v>
      </c>
      <c r="AN355" s="15" t="n">
        <f aca="false">AB355*N(R355)</f>
        <v>0</v>
      </c>
      <c r="AO355" s="21" t="str">
        <f aca="false">IF(F355&lt;&gt;"Y","n/a",IF(AND(N355&lt;&gt;"",OR(Q355&lt;&gt;"",G355="Other / bench",G355="None"),U355&lt;&gt;""),"OK","Missing"))</f>
        <v>n/a</v>
      </c>
    </row>
    <row r="356" customFormat="false" ht="15" hidden="false" customHeight="false" outlineLevel="0" collapsed="false">
      <c r="A356" s="10" t="s">
        <v>412</v>
      </c>
      <c r="B356" s="10" t="s">
        <v>659</v>
      </c>
      <c r="C356" s="10" t="s">
        <v>734</v>
      </c>
      <c r="D356" s="10" t="s">
        <v>665</v>
      </c>
      <c r="E356" s="21" t="str">
        <f aca="false">IF(A356="","",A356&amp;"|"&amp;D356)</f>
        <v>F59|Dissolution</v>
      </c>
      <c r="F356" s="16" t="s">
        <v>662</v>
      </c>
      <c r="G356" s="16" t="s">
        <v>147</v>
      </c>
      <c r="H356" s="16" t="s">
        <v>685</v>
      </c>
      <c r="I356" s="16" t="n">
        <v>1</v>
      </c>
      <c r="J356" s="16"/>
      <c r="K356" s="14"/>
      <c r="L356" s="14"/>
      <c r="M356" s="14"/>
      <c r="N356" s="14"/>
      <c r="O356" s="14"/>
      <c r="P356" s="18" t="n">
        <f aca="false">IF(N356="",0,IF(OR(M356="",O356=""),N356,(M356+4*N356+O356)/6))</f>
        <v>0</v>
      </c>
      <c r="Q356" s="14"/>
      <c r="R356" s="14"/>
      <c r="S356" s="14"/>
      <c r="T356" s="14"/>
      <c r="U356" s="16"/>
      <c r="V356" s="13"/>
      <c r="W356" s="16" t="s">
        <v>662</v>
      </c>
      <c r="X356" s="16"/>
      <c r="Y356" s="16"/>
      <c r="Z356" s="16"/>
      <c r="AA356" s="22" t="n">
        <f aca="false">IF(F356&lt;&gt;"Y",0,((SUMIF(Products!$E$5:$E$300,A356,Products!$F$5:$F$300)+SUMIF(RM_Lots!$A$5:$A$400,A356,RM_Lots!$D$5:$D$400))+IF(W356="Y",SUMIF(Products!$E$5:$E$300,A356,Products!$G$5:$G$300),0))*(1+N(V356)))</f>
        <v>0</v>
      </c>
      <c r="AB356" s="22" t="n">
        <f aca="false">IF(F356&lt;&gt;"Y",0,((SUMIF(Products!$E$5:$E$300,A356,Products!$K$5:$K$300)+SUMIF(RM_Lots!$A$5:$A$400,A356,RM_Lots!$F$5:$F$400))+IF(W356="Y",SUMIF(Products!$E$5:$E$300,A356,Products!$L$5:$L$300),0))*(1+N(V356)))</f>
        <v>0</v>
      </c>
      <c r="AC356" s="17" t="n">
        <f aca="false">IF(J356="",1,MAX(1,COUNTIFS($J$5:$J$863,J356,$F$5:$F$863,"Y")))</f>
        <v>1</v>
      </c>
      <c r="AD356" s="18" t="n">
        <f aca="false">(MAX(1,N(I356))*(P356+N(S356))+MAX(1,N(I356))*N(K356)/(MAX(1,N(U356))*AC356))*Settings!$B$9</f>
        <v>0</v>
      </c>
      <c r="AE356" s="18" t="n">
        <f aca="false">(MAX(1,N(I356))*N(Q356)+MAX(1,N(I356))*N(L356)/(MAX(1,N(U356))*AC356))*Settings!$B$8</f>
        <v>0</v>
      </c>
      <c r="AF356" s="18" t="n">
        <f aca="false">MAX(1,N(I356))*N(T356)</f>
        <v>0</v>
      </c>
      <c r="AG356" s="15" t="n">
        <f aca="false">AA356*N(AD356)</f>
        <v>0</v>
      </c>
      <c r="AH356" s="15" t="n">
        <f aca="false">AA356*N(AE356)</f>
        <v>0</v>
      </c>
      <c r="AI356" s="15" t="n">
        <f aca="false">AA356*N(AF356)</f>
        <v>0</v>
      </c>
      <c r="AJ356" s="15" t="n">
        <f aca="false">AA356*N(R356)</f>
        <v>0</v>
      </c>
      <c r="AK356" s="15" t="n">
        <f aca="false">AB356*N(AD356)</f>
        <v>0</v>
      </c>
      <c r="AL356" s="15" t="n">
        <f aca="false">AB356*N(AE356)</f>
        <v>0</v>
      </c>
      <c r="AM356" s="15" t="n">
        <f aca="false">AB356*N(AF356)</f>
        <v>0</v>
      </c>
      <c r="AN356" s="15" t="n">
        <f aca="false">AB356*N(R356)</f>
        <v>0</v>
      </c>
      <c r="AO356" s="21" t="str">
        <f aca="false">IF(F356&lt;&gt;"Y","n/a",IF(AND(N356&lt;&gt;"",OR(Q356&lt;&gt;"",G356="Other / bench",G356="None"),U356&lt;&gt;""),"OK","Missing"))</f>
        <v>Missing</v>
      </c>
    </row>
    <row r="357" customFormat="false" ht="15" hidden="false" customHeight="false" outlineLevel="0" collapsed="false">
      <c r="A357" s="10" t="s">
        <v>412</v>
      </c>
      <c r="B357" s="10" t="s">
        <v>659</v>
      </c>
      <c r="C357" s="10" t="s">
        <v>734</v>
      </c>
      <c r="D357" s="10" t="s">
        <v>666</v>
      </c>
      <c r="E357" s="21" t="str">
        <f aca="false">IF(A357="","",A357&amp;"|"&amp;D357)</f>
        <v>F59|Content uniformity</v>
      </c>
      <c r="F357" s="16" t="s">
        <v>667</v>
      </c>
      <c r="G357" s="16" t="s">
        <v>147</v>
      </c>
      <c r="H357" s="16" t="s">
        <v>685</v>
      </c>
      <c r="I357" s="16" t="n">
        <v>1</v>
      </c>
      <c r="J357" s="16"/>
      <c r="K357" s="14"/>
      <c r="L357" s="14"/>
      <c r="M357" s="14"/>
      <c r="N357" s="14"/>
      <c r="O357" s="14"/>
      <c r="P357" s="18" t="n">
        <f aca="false">IF(N357="",0,IF(OR(M357="",O357=""),N357,(M357+4*N357+O357)/6))</f>
        <v>0</v>
      </c>
      <c r="Q357" s="14"/>
      <c r="R357" s="14"/>
      <c r="S357" s="14"/>
      <c r="T357" s="14"/>
      <c r="U357" s="16"/>
      <c r="V357" s="13"/>
      <c r="W357" s="16" t="s">
        <v>667</v>
      </c>
      <c r="X357" s="16"/>
      <c r="Y357" s="16"/>
      <c r="Z357" s="16"/>
      <c r="AA357" s="22" t="n">
        <f aca="false">IF(F357&lt;&gt;"Y",0,((SUMIF(Products!$E$5:$E$300,A357,Products!$F$5:$F$300)+SUMIF(RM_Lots!$A$5:$A$400,A357,RM_Lots!$D$5:$D$400))+IF(W357="Y",SUMIF(Products!$E$5:$E$300,A357,Products!$G$5:$G$300),0))*(1+N(V357)))</f>
        <v>0</v>
      </c>
      <c r="AB357" s="22" t="n">
        <f aca="false">IF(F357&lt;&gt;"Y",0,((SUMIF(Products!$E$5:$E$300,A357,Products!$K$5:$K$300)+SUMIF(RM_Lots!$A$5:$A$400,A357,RM_Lots!$F$5:$F$400))+IF(W357="Y",SUMIF(Products!$E$5:$E$300,A357,Products!$L$5:$L$300),0))*(1+N(V357)))</f>
        <v>0</v>
      </c>
      <c r="AC357" s="17" t="n">
        <f aca="false">IF(J357="",1,MAX(1,COUNTIFS($J$5:$J$863,J357,$F$5:$F$863,"Y")))</f>
        <v>1</v>
      </c>
      <c r="AD357" s="18" t="n">
        <f aca="false">(MAX(1,N(I357))*(P357+N(S357))+MAX(1,N(I357))*N(K357)/(MAX(1,N(U357))*AC357))*Settings!$B$9</f>
        <v>0</v>
      </c>
      <c r="AE357" s="18" t="n">
        <f aca="false">(MAX(1,N(I357))*N(Q357)+MAX(1,N(I357))*N(L357)/(MAX(1,N(U357))*AC357))*Settings!$B$8</f>
        <v>0</v>
      </c>
      <c r="AF357" s="18" t="n">
        <f aca="false">MAX(1,N(I357))*N(T357)</f>
        <v>0</v>
      </c>
      <c r="AG357" s="15" t="n">
        <f aca="false">AA357*N(AD357)</f>
        <v>0</v>
      </c>
      <c r="AH357" s="15" t="n">
        <f aca="false">AA357*N(AE357)</f>
        <v>0</v>
      </c>
      <c r="AI357" s="15" t="n">
        <f aca="false">AA357*N(AF357)</f>
        <v>0</v>
      </c>
      <c r="AJ357" s="15" t="n">
        <f aca="false">AA357*N(R357)</f>
        <v>0</v>
      </c>
      <c r="AK357" s="15" t="n">
        <f aca="false">AB357*N(AD357)</f>
        <v>0</v>
      </c>
      <c r="AL357" s="15" t="n">
        <f aca="false">AB357*N(AE357)</f>
        <v>0</v>
      </c>
      <c r="AM357" s="15" t="n">
        <f aca="false">AB357*N(AF357)</f>
        <v>0</v>
      </c>
      <c r="AN357" s="15" t="n">
        <f aca="false">AB357*N(R357)</f>
        <v>0</v>
      </c>
      <c r="AO357" s="21" t="str">
        <f aca="false">IF(F357&lt;&gt;"Y","n/a",IF(AND(N357&lt;&gt;"",OR(Q357&lt;&gt;"",G357="Other / bench",G357="None"),U357&lt;&gt;""),"OK","Missing"))</f>
        <v>n/a</v>
      </c>
    </row>
    <row r="358" customFormat="false" ht="15" hidden="false" customHeight="false" outlineLevel="0" collapsed="false">
      <c r="A358" s="10" t="s">
        <v>412</v>
      </c>
      <c r="B358" s="10" t="s">
        <v>659</v>
      </c>
      <c r="C358" s="10" t="s">
        <v>734</v>
      </c>
      <c r="D358" s="10" t="s">
        <v>668</v>
      </c>
      <c r="E358" s="21" t="str">
        <f aca="false">IF(A358="","",A358&amp;"|"&amp;D358)</f>
        <v>F59|Identification (if separate from assay)</v>
      </c>
      <c r="F358" s="16" t="s">
        <v>667</v>
      </c>
      <c r="G358" s="16" t="s">
        <v>147</v>
      </c>
      <c r="H358" s="16" t="s">
        <v>685</v>
      </c>
      <c r="I358" s="16" t="n">
        <v>1</v>
      </c>
      <c r="J358" s="16"/>
      <c r="K358" s="14"/>
      <c r="L358" s="14"/>
      <c r="M358" s="14"/>
      <c r="N358" s="14"/>
      <c r="O358" s="14"/>
      <c r="P358" s="18" t="n">
        <f aca="false">IF(N358="",0,IF(OR(M358="",O358=""),N358,(M358+4*N358+O358)/6))</f>
        <v>0</v>
      </c>
      <c r="Q358" s="14"/>
      <c r="R358" s="14"/>
      <c r="S358" s="14"/>
      <c r="T358" s="14"/>
      <c r="U358" s="16"/>
      <c r="V358" s="13"/>
      <c r="W358" s="16" t="s">
        <v>667</v>
      </c>
      <c r="X358" s="16"/>
      <c r="Y358" s="16"/>
      <c r="Z358" s="16"/>
      <c r="AA358" s="22" t="n">
        <f aca="false">IF(F358&lt;&gt;"Y",0,((SUMIF(Products!$E$5:$E$300,A358,Products!$F$5:$F$300)+SUMIF(RM_Lots!$A$5:$A$400,A358,RM_Lots!$D$5:$D$400))+IF(W358="Y",SUMIF(Products!$E$5:$E$300,A358,Products!$G$5:$G$300),0))*(1+N(V358)))</f>
        <v>0</v>
      </c>
      <c r="AB358" s="22" t="n">
        <f aca="false">IF(F358&lt;&gt;"Y",0,((SUMIF(Products!$E$5:$E$300,A358,Products!$K$5:$K$300)+SUMIF(RM_Lots!$A$5:$A$400,A358,RM_Lots!$F$5:$F$400))+IF(W358="Y",SUMIF(Products!$E$5:$E$300,A358,Products!$L$5:$L$300),0))*(1+N(V358)))</f>
        <v>0</v>
      </c>
      <c r="AC358" s="17" t="n">
        <f aca="false">IF(J358="",1,MAX(1,COUNTIFS($J$5:$J$863,J358,$F$5:$F$863,"Y")))</f>
        <v>1</v>
      </c>
      <c r="AD358" s="18" t="n">
        <f aca="false">(MAX(1,N(I358))*(P358+N(S358))+MAX(1,N(I358))*N(K358)/(MAX(1,N(U358))*AC358))*Settings!$B$9</f>
        <v>0</v>
      </c>
      <c r="AE358" s="18" t="n">
        <f aca="false">(MAX(1,N(I358))*N(Q358)+MAX(1,N(I358))*N(L358)/(MAX(1,N(U358))*AC358))*Settings!$B$8</f>
        <v>0</v>
      </c>
      <c r="AF358" s="18" t="n">
        <f aca="false">MAX(1,N(I358))*N(T358)</f>
        <v>0</v>
      </c>
      <c r="AG358" s="15" t="n">
        <f aca="false">AA358*N(AD358)</f>
        <v>0</v>
      </c>
      <c r="AH358" s="15" t="n">
        <f aca="false">AA358*N(AE358)</f>
        <v>0</v>
      </c>
      <c r="AI358" s="15" t="n">
        <f aca="false">AA358*N(AF358)</f>
        <v>0</v>
      </c>
      <c r="AJ358" s="15" t="n">
        <f aca="false">AA358*N(R358)</f>
        <v>0</v>
      </c>
      <c r="AK358" s="15" t="n">
        <f aca="false">AB358*N(AD358)</f>
        <v>0</v>
      </c>
      <c r="AL358" s="15" t="n">
        <f aca="false">AB358*N(AE358)</f>
        <v>0</v>
      </c>
      <c r="AM358" s="15" t="n">
        <f aca="false">AB358*N(AF358)</f>
        <v>0</v>
      </c>
      <c r="AN358" s="15" t="n">
        <f aca="false">AB358*N(R358)</f>
        <v>0</v>
      </c>
      <c r="AO358" s="21" t="str">
        <f aca="false">IF(F358&lt;&gt;"Y","n/a",IF(AND(N358&lt;&gt;"",OR(Q358&lt;&gt;"",G358="Other / bench",G358="None"),U358&lt;&gt;""),"OK","Missing"))</f>
        <v>n/a</v>
      </c>
    </row>
    <row r="359" customFormat="false" ht="15" hidden="false" customHeight="false" outlineLevel="0" collapsed="false">
      <c r="A359" s="10" t="s">
        <v>412</v>
      </c>
      <c r="B359" s="10" t="s">
        <v>659</v>
      </c>
      <c r="C359" s="10" t="s">
        <v>734</v>
      </c>
      <c r="D359" s="10" t="s">
        <v>669</v>
      </c>
      <c r="E359" s="21" t="str">
        <f aca="false">IF(A359="","",A359&amp;"|"&amp;D359)</f>
        <v>F59|Other tests (non-HPLC: physical, LOD/KF, disintegration, pH, micro...)</v>
      </c>
      <c r="F359" s="16" t="s">
        <v>662</v>
      </c>
      <c r="G359" s="16" t="s">
        <v>670</v>
      </c>
      <c r="H359" s="16" t="s">
        <v>685</v>
      </c>
      <c r="I359" s="16" t="n">
        <v>1</v>
      </c>
      <c r="J359" s="16"/>
      <c r="K359" s="14"/>
      <c r="L359" s="14"/>
      <c r="M359" s="14"/>
      <c r="N359" s="14"/>
      <c r="O359" s="14"/>
      <c r="P359" s="18" t="n">
        <f aca="false">IF(N359="",0,IF(OR(M359="",O359=""),N359,(M359+4*N359+O359)/6))</f>
        <v>0</v>
      </c>
      <c r="Q359" s="14"/>
      <c r="R359" s="14"/>
      <c r="S359" s="14"/>
      <c r="T359" s="14"/>
      <c r="U359" s="16"/>
      <c r="V359" s="13"/>
      <c r="W359" s="16" t="s">
        <v>662</v>
      </c>
      <c r="X359" s="16"/>
      <c r="Y359" s="16"/>
      <c r="Z359" s="16"/>
      <c r="AA359" s="22" t="n">
        <f aca="false">IF(F359&lt;&gt;"Y",0,((SUMIF(Products!$E$5:$E$300,A359,Products!$F$5:$F$300)+SUMIF(RM_Lots!$A$5:$A$400,A359,RM_Lots!$D$5:$D$400))+IF(W359="Y",SUMIF(Products!$E$5:$E$300,A359,Products!$G$5:$G$300),0))*(1+N(V359)))</f>
        <v>0</v>
      </c>
      <c r="AB359" s="22" t="n">
        <f aca="false">IF(F359&lt;&gt;"Y",0,((SUMIF(Products!$E$5:$E$300,A359,Products!$K$5:$K$300)+SUMIF(RM_Lots!$A$5:$A$400,A359,RM_Lots!$F$5:$F$400))+IF(W359="Y",SUMIF(Products!$E$5:$E$300,A359,Products!$L$5:$L$300),0))*(1+N(V359)))</f>
        <v>0</v>
      </c>
      <c r="AC359" s="17" t="n">
        <f aca="false">IF(J359="",1,MAX(1,COUNTIFS($J$5:$J$863,J359,$F$5:$F$863,"Y")))</f>
        <v>1</v>
      </c>
      <c r="AD359" s="18" t="n">
        <f aca="false">(MAX(1,N(I359))*(P359+N(S359))+MAX(1,N(I359))*N(K359)/(MAX(1,N(U359))*AC359))*Settings!$B$9</f>
        <v>0</v>
      </c>
      <c r="AE359" s="18" t="n">
        <f aca="false">(MAX(1,N(I359))*N(Q359)+MAX(1,N(I359))*N(L359)/(MAX(1,N(U359))*AC359))*Settings!$B$8</f>
        <v>0</v>
      </c>
      <c r="AF359" s="18" t="n">
        <f aca="false">MAX(1,N(I359))*N(T359)</f>
        <v>0</v>
      </c>
      <c r="AG359" s="15" t="n">
        <f aca="false">AA359*N(AD359)</f>
        <v>0</v>
      </c>
      <c r="AH359" s="15" t="n">
        <f aca="false">AA359*N(AE359)</f>
        <v>0</v>
      </c>
      <c r="AI359" s="15" t="n">
        <f aca="false">AA359*N(AF359)</f>
        <v>0</v>
      </c>
      <c r="AJ359" s="15" t="n">
        <f aca="false">AA359*N(R359)</f>
        <v>0</v>
      </c>
      <c r="AK359" s="15" t="n">
        <f aca="false">AB359*N(AD359)</f>
        <v>0</v>
      </c>
      <c r="AL359" s="15" t="n">
        <f aca="false">AB359*N(AE359)</f>
        <v>0</v>
      </c>
      <c r="AM359" s="15" t="n">
        <f aca="false">AB359*N(AF359)</f>
        <v>0</v>
      </c>
      <c r="AN359" s="15" t="n">
        <f aca="false">AB359*N(R359)</f>
        <v>0</v>
      </c>
      <c r="AO359" s="21" t="str">
        <f aca="false">IF(F359&lt;&gt;"Y","n/a",IF(AND(N359&lt;&gt;"",OR(Q359&lt;&gt;"",G359="Other / bench",G359="None"),U359&lt;&gt;""),"OK","Missing"))</f>
        <v>Missing</v>
      </c>
    </row>
    <row r="360" customFormat="false" ht="15" hidden="false" customHeight="false" outlineLevel="0" collapsed="false">
      <c r="A360" s="10" t="s">
        <v>415</v>
      </c>
      <c r="B360" s="10" t="s">
        <v>659</v>
      </c>
      <c r="C360" s="10" t="s">
        <v>735</v>
      </c>
      <c r="D360" s="10" t="s">
        <v>661</v>
      </c>
      <c r="E360" s="21" t="str">
        <f aca="false">IF(A360="","",A360&amp;"|"&amp;D360)</f>
        <v>F60|Assay</v>
      </c>
      <c r="F360" s="16" t="s">
        <v>662</v>
      </c>
      <c r="G360" s="16" t="s">
        <v>147</v>
      </c>
      <c r="H360" s="16" t="s">
        <v>663</v>
      </c>
      <c r="I360" s="16" t="n">
        <v>1</v>
      </c>
      <c r="J360" s="16"/>
      <c r="K360" s="14"/>
      <c r="L360" s="14"/>
      <c r="M360" s="14"/>
      <c r="N360" s="14"/>
      <c r="O360" s="14"/>
      <c r="P360" s="18" t="n">
        <f aca="false">IF(N360="",0,IF(OR(M360="",O360=""),N360,(M360+4*N360+O360)/6))</f>
        <v>0</v>
      </c>
      <c r="Q360" s="14"/>
      <c r="R360" s="14"/>
      <c r="S360" s="14"/>
      <c r="T360" s="14"/>
      <c r="U360" s="16"/>
      <c r="V360" s="13"/>
      <c r="W360" s="16" t="s">
        <v>662</v>
      </c>
      <c r="X360" s="16"/>
      <c r="Y360" s="16"/>
      <c r="Z360" s="16" t="s">
        <v>696</v>
      </c>
      <c r="AA360" s="22" t="n">
        <f aca="false">IF(F360&lt;&gt;"Y",0,((SUMIF(Products!$E$5:$E$300,A360,Products!$F$5:$F$300)+SUMIF(RM_Lots!$A$5:$A$400,A360,RM_Lots!$D$5:$D$400))+IF(W360="Y",SUMIF(Products!$E$5:$E$300,A360,Products!$G$5:$G$300),0))*(1+N(V360)))</f>
        <v>0</v>
      </c>
      <c r="AB360" s="22" t="n">
        <f aca="false">IF(F360&lt;&gt;"Y",0,((SUMIF(Products!$E$5:$E$300,A360,Products!$K$5:$K$300)+SUMIF(RM_Lots!$A$5:$A$400,A360,RM_Lots!$F$5:$F$400))+IF(W360="Y",SUMIF(Products!$E$5:$E$300,A360,Products!$L$5:$L$300),0))*(1+N(V360)))</f>
        <v>0</v>
      </c>
      <c r="AC360" s="17" t="n">
        <f aca="false">IF(J360="",1,MAX(1,COUNTIFS($J$5:$J$863,J360,$F$5:$F$863,"Y")))</f>
        <v>1</v>
      </c>
      <c r="AD360" s="18" t="n">
        <f aca="false">(MAX(1,N(I360))*(P360+N(S360))+MAX(1,N(I360))*N(K360)/(MAX(1,N(U360))*AC360))*Settings!$B$9</f>
        <v>0</v>
      </c>
      <c r="AE360" s="18" t="n">
        <f aca="false">(MAX(1,N(I360))*N(Q360)+MAX(1,N(I360))*N(L360)/(MAX(1,N(U360))*AC360))*Settings!$B$8</f>
        <v>0</v>
      </c>
      <c r="AF360" s="18" t="n">
        <f aca="false">MAX(1,N(I360))*N(T360)</f>
        <v>0</v>
      </c>
      <c r="AG360" s="15" t="n">
        <f aca="false">AA360*N(AD360)</f>
        <v>0</v>
      </c>
      <c r="AH360" s="15" t="n">
        <f aca="false">AA360*N(AE360)</f>
        <v>0</v>
      </c>
      <c r="AI360" s="15" t="n">
        <f aca="false">AA360*N(AF360)</f>
        <v>0</v>
      </c>
      <c r="AJ360" s="15" t="n">
        <f aca="false">AA360*N(R360)</f>
        <v>0</v>
      </c>
      <c r="AK360" s="15" t="n">
        <f aca="false">AB360*N(AD360)</f>
        <v>0</v>
      </c>
      <c r="AL360" s="15" t="n">
        <f aca="false">AB360*N(AE360)</f>
        <v>0</v>
      </c>
      <c r="AM360" s="15" t="n">
        <f aca="false">AB360*N(AF360)</f>
        <v>0</v>
      </c>
      <c r="AN360" s="15" t="n">
        <f aca="false">AB360*N(R360)</f>
        <v>0</v>
      </c>
      <c r="AO360" s="21" t="str">
        <f aca="false">IF(F360&lt;&gt;"Y","n/a",IF(AND(N360&lt;&gt;"",OR(Q360&lt;&gt;"",G360="Other / bench",G360="None"),U360&lt;&gt;""),"OK","Missing"))</f>
        <v>Missing</v>
      </c>
    </row>
    <row r="361" customFormat="false" ht="15" hidden="false" customHeight="false" outlineLevel="0" collapsed="false">
      <c r="A361" s="10" t="s">
        <v>415</v>
      </c>
      <c r="B361" s="10" t="s">
        <v>659</v>
      </c>
      <c r="C361" s="10" t="s">
        <v>735</v>
      </c>
      <c r="D361" s="10" t="s">
        <v>664</v>
      </c>
      <c r="E361" s="21" t="str">
        <f aca="false">IF(A361="","",A361&amp;"|"&amp;D361)</f>
        <v>F60|Related substances / impurities</v>
      </c>
      <c r="F361" s="16" t="s">
        <v>662</v>
      </c>
      <c r="G361" s="16" t="s">
        <v>147</v>
      </c>
      <c r="H361" s="16" t="s">
        <v>663</v>
      </c>
      <c r="I361" s="16" t="n">
        <v>1</v>
      </c>
      <c r="J361" s="16"/>
      <c r="K361" s="14"/>
      <c r="L361" s="14"/>
      <c r="M361" s="14"/>
      <c r="N361" s="14"/>
      <c r="O361" s="14"/>
      <c r="P361" s="18" t="n">
        <f aca="false">IF(N361="",0,IF(OR(M361="",O361=""),N361,(M361+4*N361+O361)/6))</f>
        <v>0</v>
      </c>
      <c r="Q361" s="14"/>
      <c r="R361" s="14"/>
      <c r="S361" s="14"/>
      <c r="T361" s="14"/>
      <c r="U361" s="16"/>
      <c r="V361" s="13"/>
      <c r="W361" s="16" t="s">
        <v>662</v>
      </c>
      <c r="X361" s="16"/>
      <c r="Y361" s="16"/>
      <c r="Z361" s="16" t="s">
        <v>696</v>
      </c>
      <c r="AA361" s="22" t="n">
        <f aca="false">IF(F361&lt;&gt;"Y",0,((SUMIF(Products!$E$5:$E$300,A361,Products!$F$5:$F$300)+SUMIF(RM_Lots!$A$5:$A$400,A361,RM_Lots!$D$5:$D$400))+IF(W361="Y",SUMIF(Products!$E$5:$E$300,A361,Products!$G$5:$G$300),0))*(1+N(V361)))</f>
        <v>0</v>
      </c>
      <c r="AB361" s="22" t="n">
        <f aca="false">IF(F361&lt;&gt;"Y",0,((SUMIF(Products!$E$5:$E$300,A361,Products!$K$5:$K$300)+SUMIF(RM_Lots!$A$5:$A$400,A361,RM_Lots!$F$5:$F$400))+IF(W361="Y",SUMIF(Products!$E$5:$E$300,A361,Products!$L$5:$L$300),0))*(1+N(V361)))</f>
        <v>0</v>
      </c>
      <c r="AC361" s="17" t="n">
        <f aca="false">IF(J361="",1,MAX(1,COUNTIFS($J$5:$J$863,J361,$F$5:$F$863,"Y")))</f>
        <v>1</v>
      </c>
      <c r="AD361" s="18" t="n">
        <f aca="false">(MAX(1,N(I361))*(P361+N(S361))+MAX(1,N(I361))*N(K361)/(MAX(1,N(U361))*AC361))*Settings!$B$9</f>
        <v>0</v>
      </c>
      <c r="AE361" s="18" t="n">
        <f aca="false">(MAX(1,N(I361))*N(Q361)+MAX(1,N(I361))*N(L361)/(MAX(1,N(U361))*AC361))*Settings!$B$8</f>
        <v>0</v>
      </c>
      <c r="AF361" s="18" t="n">
        <f aca="false">MAX(1,N(I361))*N(T361)</f>
        <v>0</v>
      </c>
      <c r="AG361" s="15" t="n">
        <f aca="false">AA361*N(AD361)</f>
        <v>0</v>
      </c>
      <c r="AH361" s="15" t="n">
        <f aca="false">AA361*N(AE361)</f>
        <v>0</v>
      </c>
      <c r="AI361" s="15" t="n">
        <f aca="false">AA361*N(AF361)</f>
        <v>0</v>
      </c>
      <c r="AJ361" s="15" t="n">
        <f aca="false">AA361*N(R361)</f>
        <v>0</v>
      </c>
      <c r="AK361" s="15" t="n">
        <f aca="false">AB361*N(AD361)</f>
        <v>0</v>
      </c>
      <c r="AL361" s="15" t="n">
        <f aca="false">AB361*N(AE361)</f>
        <v>0</v>
      </c>
      <c r="AM361" s="15" t="n">
        <f aca="false">AB361*N(AF361)</f>
        <v>0</v>
      </c>
      <c r="AN361" s="15" t="n">
        <f aca="false">AB361*N(R361)</f>
        <v>0</v>
      </c>
      <c r="AO361" s="21" t="str">
        <f aca="false">IF(F361&lt;&gt;"Y","n/a",IF(AND(N361&lt;&gt;"",OR(Q361&lt;&gt;"",G361="Other / bench",G361="None"),U361&lt;&gt;""),"OK","Missing"))</f>
        <v>Missing</v>
      </c>
    </row>
    <row r="362" customFormat="false" ht="15" hidden="false" customHeight="false" outlineLevel="0" collapsed="false">
      <c r="A362" s="10" t="s">
        <v>415</v>
      </c>
      <c r="B362" s="10" t="s">
        <v>659</v>
      </c>
      <c r="C362" s="10" t="s">
        <v>735</v>
      </c>
      <c r="D362" s="10" t="s">
        <v>665</v>
      </c>
      <c r="E362" s="21" t="str">
        <f aca="false">IF(A362="","",A362&amp;"|"&amp;D362)</f>
        <v>F60|Dissolution</v>
      </c>
      <c r="F362" s="16" t="s">
        <v>662</v>
      </c>
      <c r="G362" s="16" t="s">
        <v>147</v>
      </c>
      <c r="H362" s="16" t="s">
        <v>663</v>
      </c>
      <c r="I362" s="16" t="n">
        <v>1</v>
      </c>
      <c r="J362" s="16"/>
      <c r="K362" s="14"/>
      <c r="L362" s="14"/>
      <c r="M362" s="14"/>
      <c r="N362" s="14"/>
      <c r="O362" s="14"/>
      <c r="P362" s="18" t="n">
        <f aca="false">IF(N362="",0,IF(OR(M362="",O362=""),N362,(M362+4*N362+O362)/6))</f>
        <v>0</v>
      </c>
      <c r="Q362" s="14"/>
      <c r="R362" s="14"/>
      <c r="S362" s="14"/>
      <c r="T362" s="14"/>
      <c r="U362" s="16"/>
      <c r="V362" s="13"/>
      <c r="W362" s="16" t="s">
        <v>662</v>
      </c>
      <c r="X362" s="16"/>
      <c r="Y362" s="16"/>
      <c r="Z362" s="16" t="s">
        <v>696</v>
      </c>
      <c r="AA362" s="22" t="n">
        <f aca="false">IF(F362&lt;&gt;"Y",0,((SUMIF(Products!$E$5:$E$300,A362,Products!$F$5:$F$300)+SUMIF(RM_Lots!$A$5:$A$400,A362,RM_Lots!$D$5:$D$400))+IF(W362="Y",SUMIF(Products!$E$5:$E$300,A362,Products!$G$5:$G$300),0))*(1+N(V362)))</f>
        <v>0</v>
      </c>
      <c r="AB362" s="22" t="n">
        <f aca="false">IF(F362&lt;&gt;"Y",0,((SUMIF(Products!$E$5:$E$300,A362,Products!$K$5:$K$300)+SUMIF(RM_Lots!$A$5:$A$400,A362,RM_Lots!$F$5:$F$400))+IF(W362="Y",SUMIF(Products!$E$5:$E$300,A362,Products!$L$5:$L$300),0))*(1+N(V362)))</f>
        <v>0</v>
      </c>
      <c r="AC362" s="17" t="n">
        <f aca="false">IF(J362="",1,MAX(1,COUNTIFS($J$5:$J$863,J362,$F$5:$F$863,"Y")))</f>
        <v>1</v>
      </c>
      <c r="AD362" s="18" t="n">
        <f aca="false">(MAX(1,N(I362))*(P362+N(S362))+MAX(1,N(I362))*N(K362)/(MAX(1,N(U362))*AC362))*Settings!$B$9</f>
        <v>0</v>
      </c>
      <c r="AE362" s="18" t="n">
        <f aca="false">(MAX(1,N(I362))*N(Q362)+MAX(1,N(I362))*N(L362)/(MAX(1,N(U362))*AC362))*Settings!$B$8</f>
        <v>0</v>
      </c>
      <c r="AF362" s="18" t="n">
        <f aca="false">MAX(1,N(I362))*N(T362)</f>
        <v>0</v>
      </c>
      <c r="AG362" s="15" t="n">
        <f aca="false">AA362*N(AD362)</f>
        <v>0</v>
      </c>
      <c r="AH362" s="15" t="n">
        <f aca="false">AA362*N(AE362)</f>
        <v>0</v>
      </c>
      <c r="AI362" s="15" t="n">
        <f aca="false">AA362*N(AF362)</f>
        <v>0</v>
      </c>
      <c r="AJ362" s="15" t="n">
        <f aca="false">AA362*N(R362)</f>
        <v>0</v>
      </c>
      <c r="AK362" s="15" t="n">
        <f aca="false">AB362*N(AD362)</f>
        <v>0</v>
      </c>
      <c r="AL362" s="15" t="n">
        <f aca="false">AB362*N(AE362)</f>
        <v>0</v>
      </c>
      <c r="AM362" s="15" t="n">
        <f aca="false">AB362*N(AF362)</f>
        <v>0</v>
      </c>
      <c r="AN362" s="15" t="n">
        <f aca="false">AB362*N(R362)</f>
        <v>0</v>
      </c>
      <c r="AO362" s="21" t="str">
        <f aca="false">IF(F362&lt;&gt;"Y","n/a",IF(AND(N362&lt;&gt;"",OR(Q362&lt;&gt;"",G362="Other / bench",G362="None"),U362&lt;&gt;""),"OK","Missing"))</f>
        <v>Missing</v>
      </c>
    </row>
    <row r="363" customFormat="false" ht="15" hidden="false" customHeight="false" outlineLevel="0" collapsed="false">
      <c r="A363" s="10" t="s">
        <v>415</v>
      </c>
      <c r="B363" s="10" t="s">
        <v>659</v>
      </c>
      <c r="C363" s="10" t="s">
        <v>735</v>
      </c>
      <c r="D363" s="10" t="s">
        <v>666</v>
      </c>
      <c r="E363" s="21" t="str">
        <f aca="false">IF(A363="","",A363&amp;"|"&amp;D363)</f>
        <v>F60|Content uniformity</v>
      </c>
      <c r="F363" s="16" t="s">
        <v>662</v>
      </c>
      <c r="G363" s="16" t="s">
        <v>147</v>
      </c>
      <c r="H363" s="16" t="s">
        <v>663</v>
      </c>
      <c r="I363" s="16" t="n">
        <v>1</v>
      </c>
      <c r="J363" s="16"/>
      <c r="K363" s="14"/>
      <c r="L363" s="14"/>
      <c r="M363" s="14"/>
      <c r="N363" s="14"/>
      <c r="O363" s="14"/>
      <c r="P363" s="18" t="n">
        <f aca="false">IF(N363="",0,IF(OR(M363="",O363=""),N363,(M363+4*N363+O363)/6))</f>
        <v>0</v>
      </c>
      <c r="Q363" s="14"/>
      <c r="R363" s="14"/>
      <c r="S363" s="14"/>
      <c r="T363" s="14"/>
      <c r="U363" s="16"/>
      <c r="V363" s="13"/>
      <c r="W363" s="16" t="s">
        <v>667</v>
      </c>
      <c r="X363" s="16"/>
      <c r="Y363" s="16"/>
      <c r="Z363" s="16" t="s">
        <v>696</v>
      </c>
      <c r="AA363" s="22" t="n">
        <f aca="false">IF(F363&lt;&gt;"Y",0,((SUMIF(Products!$E$5:$E$300,A363,Products!$F$5:$F$300)+SUMIF(RM_Lots!$A$5:$A$400,A363,RM_Lots!$D$5:$D$400))+IF(W363="Y",SUMIF(Products!$E$5:$E$300,A363,Products!$G$5:$G$300),0))*(1+N(V363)))</f>
        <v>0</v>
      </c>
      <c r="AB363" s="22" t="n">
        <f aca="false">IF(F363&lt;&gt;"Y",0,((SUMIF(Products!$E$5:$E$300,A363,Products!$K$5:$K$300)+SUMIF(RM_Lots!$A$5:$A$400,A363,RM_Lots!$F$5:$F$400))+IF(W363="Y",SUMIF(Products!$E$5:$E$300,A363,Products!$L$5:$L$300),0))*(1+N(V363)))</f>
        <v>0</v>
      </c>
      <c r="AC363" s="17" t="n">
        <f aca="false">IF(J363="",1,MAX(1,COUNTIFS($J$5:$J$863,J363,$F$5:$F$863,"Y")))</f>
        <v>1</v>
      </c>
      <c r="AD363" s="18" t="n">
        <f aca="false">(MAX(1,N(I363))*(P363+N(S363))+MAX(1,N(I363))*N(K363)/(MAX(1,N(U363))*AC363))*Settings!$B$9</f>
        <v>0</v>
      </c>
      <c r="AE363" s="18" t="n">
        <f aca="false">(MAX(1,N(I363))*N(Q363)+MAX(1,N(I363))*N(L363)/(MAX(1,N(U363))*AC363))*Settings!$B$8</f>
        <v>0</v>
      </c>
      <c r="AF363" s="18" t="n">
        <f aca="false">MAX(1,N(I363))*N(T363)</f>
        <v>0</v>
      </c>
      <c r="AG363" s="15" t="n">
        <f aca="false">AA363*N(AD363)</f>
        <v>0</v>
      </c>
      <c r="AH363" s="15" t="n">
        <f aca="false">AA363*N(AE363)</f>
        <v>0</v>
      </c>
      <c r="AI363" s="15" t="n">
        <f aca="false">AA363*N(AF363)</f>
        <v>0</v>
      </c>
      <c r="AJ363" s="15" t="n">
        <f aca="false">AA363*N(R363)</f>
        <v>0</v>
      </c>
      <c r="AK363" s="15" t="n">
        <f aca="false">AB363*N(AD363)</f>
        <v>0</v>
      </c>
      <c r="AL363" s="15" t="n">
        <f aca="false">AB363*N(AE363)</f>
        <v>0</v>
      </c>
      <c r="AM363" s="15" t="n">
        <f aca="false">AB363*N(AF363)</f>
        <v>0</v>
      </c>
      <c r="AN363" s="15" t="n">
        <f aca="false">AB363*N(R363)</f>
        <v>0</v>
      </c>
      <c r="AO363" s="21" t="str">
        <f aca="false">IF(F363&lt;&gt;"Y","n/a",IF(AND(N363&lt;&gt;"",OR(Q363&lt;&gt;"",G363="Other / bench",G363="None"),U363&lt;&gt;""),"OK","Missing"))</f>
        <v>Missing</v>
      </c>
    </row>
    <row r="364" customFormat="false" ht="15" hidden="false" customHeight="false" outlineLevel="0" collapsed="false">
      <c r="A364" s="10" t="s">
        <v>415</v>
      </c>
      <c r="B364" s="10" t="s">
        <v>659</v>
      </c>
      <c r="C364" s="10" t="s">
        <v>735</v>
      </c>
      <c r="D364" s="10" t="s">
        <v>668</v>
      </c>
      <c r="E364" s="21" t="str">
        <f aca="false">IF(A364="","",A364&amp;"|"&amp;D364)</f>
        <v>F60|Identification (if separate from assay)</v>
      </c>
      <c r="F364" s="16" t="s">
        <v>667</v>
      </c>
      <c r="G364" s="16" t="s">
        <v>147</v>
      </c>
      <c r="H364" s="16" t="s">
        <v>663</v>
      </c>
      <c r="I364" s="16" t="n">
        <v>1</v>
      </c>
      <c r="J364" s="16"/>
      <c r="K364" s="14"/>
      <c r="L364" s="14"/>
      <c r="M364" s="14"/>
      <c r="N364" s="14"/>
      <c r="O364" s="14"/>
      <c r="P364" s="18" t="n">
        <f aca="false">IF(N364="",0,IF(OR(M364="",O364=""),N364,(M364+4*N364+O364)/6))</f>
        <v>0</v>
      </c>
      <c r="Q364" s="14"/>
      <c r="R364" s="14"/>
      <c r="S364" s="14"/>
      <c r="T364" s="14"/>
      <c r="U364" s="16"/>
      <c r="V364" s="13"/>
      <c r="W364" s="16" t="s">
        <v>667</v>
      </c>
      <c r="X364" s="16"/>
      <c r="Y364" s="16"/>
      <c r="Z364" s="16" t="s">
        <v>696</v>
      </c>
      <c r="AA364" s="22" t="n">
        <f aca="false">IF(F364&lt;&gt;"Y",0,((SUMIF(Products!$E$5:$E$300,A364,Products!$F$5:$F$300)+SUMIF(RM_Lots!$A$5:$A$400,A364,RM_Lots!$D$5:$D$400))+IF(W364="Y",SUMIF(Products!$E$5:$E$300,A364,Products!$G$5:$G$300),0))*(1+N(V364)))</f>
        <v>0</v>
      </c>
      <c r="AB364" s="22" t="n">
        <f aca="false">IF(F364&lt;&gt;"Y",0,((SUMIF(Products!$E$5:$E$300,A364,Products!$K$5:$K$300)+SUMIF(RM_Lots!$A$5:$A$400,A364,RM_Lots!$F$5:$F$400))+IF(W364="Y",SUMIF(Products!$E$5:$E$300,A364,Products!$L$5:$L$300),0))*(1+N(V364)))</f>
        <v>0</v>
      </c>
      <c r="AC364" s="17" t="n">
        <f aca="false">IF(J364="",1,MAX(1,COUNTIFS($J$5:$J$863,J364,$F$5:$F$863,"Y")))</f>
        <v>1</v>
      </c>
      <c r="AD364" s="18" t="n">
        <f aca="false">(MAX(1,N(I364))*(P364+N(S364))+MAX(1,N(I364))*N(K364)/(MAX(1,N(U364))*AC364))*Settings!$B$9</f>
        <v>0</v>
      </c>
      <c r="AE364" s="18" t="n">
        <f aca="false">(MAX(1,N(I364))*N(Q364)+MAX(1,N(I364))*N(L364)/(MAX(1,N(U364))*AC364))*Settings!$B$8</f>
        <v>0</v>
      </c>
      <c r="AF364" s="18" t="n">
        <f aca="false">MAX(1,N(I364))*N(T364)</f>
        <v>0</v>
      </c>
      <c r="AG364" s="15" t="n">
        <f aca="false">AA364*N(AD364)</f>
        <v>0</v>
      </c>
      <c r="AH364" s="15" t="n">
        <f aca="false">AA364*N(AE364)</f>
        <v>0</v>
      </c>
      <c r="AI364" s="15" t="n">
        <f aca="false">AA364*N(AF364)</f>
        <v>0</v>
      </c>
      <c r="AJ364" s="15" t="n">
        <f aca="false">AA364*N(R364)</f>
        <v>0</v>
      </c>
      <c r="AK364" s="15" t="n">
        <f aca="false">AB364*N(AD364)</f>
        <v>0</v>
      </c>
      <c r="AL364" s="15" t="n">
        <f aca="false">AB364*N(AE364)</f>
        <v>0</v>
      </c>
      <c r="AM364" s="15" t="n">
        <f aca="false">AB364*N(AF364)</f>
        <v>0</v>
      </c>
      <c r="AN364" s="15" t="n">
        <f aca="false">AB364*N(R364)</f>
        <v>0</v>
      </c>
      <c r="AO364" s="21" t="str">
        <f aca="false">IF(F364&lt;&gt;"Y","n/a",IF(AND(N364&lt;&gt;"",OR(Q364&lt;&gt;"",G364="Other / bench",G364="None"),U364&lt;&gt;""),"OK","Missing"))</f>
        <v>n/a</v>
      </c>
    </row>
    <row r="365" customFormat="false" ht="15" hidden="false" customHeight="false" outlineLevel="0" collapsed="false">
      <c r="A365" s="10" t="s">
        <v>415</v>
      </c>
      <c r="B365" s="10" t="s">
        <v>659</v>
      </c>
      <c r="C365" s="10" t="s">
        <v>735</v>
      </c>
      <c r="D365" s="10" t="s">
        <v>669</v>
      </c>
      <c r="E365" s="21" t="str">
        <f aca="false">IF(A365="","",A365&amp;"|"&amp;D365)</f>
        <v>F60|Other tests (non-HPLC: physical, LOD/KF, disintegration, pH, micro...)</v>
      </c>
      <c r="F365" s="16" t="s">
        <v>662</v>
      </c>
      <c r="G365" s="16" t="s">
        <v>670</v>
      </c>
      <c r="H365" s="16" t="s">
        <v>663</v>
      </c>
      <c r="I365" s="16" t="n">
        <v>1</v>
      </c>
      <c r="J365" s="16"/>
      <c r="K365" s="14"/>
      <c r="L365" s="14"/>
      <c r="M365" s="14"/>
      <c r="N365" s="14"/>
      <c r="O365" s="14"/>
      <c r="P365" s="18" t="n">
        <f aca="false">IF(N365="",0,IF(OR(M365="",O365=""),N365,(M365+4*N365+O365)/6))</f>
        <v>0</v>
      </c>
      <c r="Q365" s="14"/>
      <c r="R365" s="14"/>
      <c r="S365" s="14"/>
      <c r="T365" s="14"/>
      <c r="U365" s="16"/>
      <c r="V365" s="13"/>
      <c r="W365" s="16" t="s">
        <v>662</v>
      </c>
      <c r="X365" s="16"/>
      <c r="Y365" s="16"/>
      <c r="Z365" s="16" t="s">
        <v>696</v>
      </c>
      <c r="AA365" s="22" t="n">
        <f aca="false">IF(F365&lt;&gt;"Y",0,((SUMIF(Products!$E$5:$E$300,A365,Products!$F$5:$F$300)+SUMIF(RM_Lots!$A$5:$A$400,A365,RM_Lots!$D$5:$D$400))+IF(W365="Y",SUMIF(Products!$E$5:$E$300,A365,Products!$G$5:$G$300),0))*(1+N(V365)))</f>
        <v>0</v>
      </c>
      <c r="AB365" s="22" t="n">
        <f aca="false">IF(F365&lt;&gt;"Y",0,((SUMIF(Products!$E$5:$E$300,A365,Products!$K$5:$K$300)+SUMIF(RM_Lots!$A$5:$A$400,A365,RM_Lots!$F$5:$F$400))+IF(W365="Y",SUMIF(Products!$E$5:$E$300,A365,Products!$L$5:$L$300),0))*(1+N(V365)))</f>
        <v>0</v>
      </c>
      <c r="AC365" s="17" t="n">
        <f aca="false">IF(J365="",1,MAX(1,COUNTIFS($J$5:$J$863,J365,$F$5:$F$863,"Y")))</f>
        <v>1</v>
      </c>
      <c r="AD365" s="18" t="n">
        <f aca="false">(MAX(1,N(I365))*(P365+N(S365))+MAX(1,N(I365))*N(K365)/(MAX(1,N(U365))*AC365))*Settings!$B$9</f>
        <v>0</v>
      </c>
      <c r="AE365" s="18" t="n">
        <f aca="false">(MAX(1,N(I365))*N(Q365)+MAX(1,N(I365))*N(L365)/(MAX(1,N(U365))*AC365))*Settings!$B$8</f>
        <v>0</v>
      </c>
      <c r="AF365" s="18" t="n">
        <f aca="false">MAX(1,N(I365))*N(T365)</f>
        <v>0</v>
      </c>
      <c r="AG365" s="15" t="n">
        <f aca="false">AA365*N(AD365)</f>
        <v>0</v>
      </c>
      <c r="AH365" s="15" t="n">
        <f aca="false">AA365*N(AE365)</f>
        <v>0</v>
      </c>
      <c r="AI365" s="15" t="n">
        <f aca="false">AA365*N(AF365)</f>
        <v>0</v>
      </c>
      <c r="AJ365" s="15" t="n">
        <f aca="false">AA365*N(R365)</f>
        <v>0</v>
      </c>
      <c r="AK365" s="15" t="n">
        <f aca="false">AB365*N(AD365)</f>
        <v>0</v>
      </c>
      <c r="AL365" s="15" t="n">
        <f aca="false">AB365*N(AE365)</f>
        <v>0</v>
      </c>
      <c r="AM365" s="15" t="n">
        <f aca="false">AB365*N(AF365)</f>
        <v>0</v>
      </c>
      <c r="AN365" s="15" t="n">
        <f aca="false">AB365*N(R365)</f>
        <v>0</v>
      </c>
      <c r="AO365" s="21" t="str">
        <f aca="false">IF(F365&lt;&gt;"Y","n/a",IF(AND(N365&lt;&gt;"",OR(Q365&lt;&gt;"",G365="Other / bench",G365="None"),U365&lt;&gt;""),"OK","Missing"))</f>
        <v>Missing</v>
      </c>
    </row>
    <row r="366" customFormat="false" ht="15" hidden="false" customHeight="false" outlineLevel="0" collapsed="false">
      <c r="A366" s="10" t="s">
        <v>418</v>
      </c>
      <c r="B366" s="10" t="s">
        <v>659</v>
      </c>
      <c r="C366" s="10" t="s">
        <v>736</v>
      </c>
      <c r="D366" s="10" t="s">
        <v>661</v>
      </c>
      <c r="E366" s="21" t="str">
        <f aca="false">IF(A366="","",A366&amp;"|"&amp;D366)</f>
        <v>F61|Assay</v>
      </c>
      <c r="F366" s="16" t="s">
        <v>662</v>
      </c>
      <c r="G366" s="16" t="s">
        <v>147</v>
      </c>
      <c r="H366" s="16" t="s">
        <v>663</v>
      </c>
      <c r="I366" s="16" t="n">
        <v>1</v>
      </c>
      <c r="J366" s="16"/>
      <c r="K366" s="14"/>
      <c r="L366" s="14"/>
      <c r="M366" s="14"/>
      <c r="N366" s="14"/>
      <c r="O366" s="14"/>
      <c r="P366" s="18" t="n">
        <f aca="false">IF(N366="",0,IF(OR(M366="",O366=""),N366,(M366+4*N366+O366)/6))</f>
        <v>0</v>
      </c>
      <c r="Q366" s="14"/>
      <c r="R366" s="14"/>
      <c r="S366" s="14"/>
      <c r="T366" s="14"/>
      <c r="U366" s="16"/>
      <c r="V366" s="13"/>
      <c r="W366" s="16" t="s">
        <v>662</v>
      </c>
      <c r="X366" s="16"/>
      <c r="Y366" s="16"/>
      <c r="Z366" s="16"/>
      <c r="AA366" s="22" t="n">
        <f aca="false">IF(F366&lt;&gt;"Y",0,((SUMIF(Products!$E$5:$E$300,A366,Products!$F$5:$F$300)+SUMIF(RM_Lots!$A$5:$A$400,A366,RM_Lots!$D$5:$D$400))+IF(W366="Y",SUMIF(Products!$E$5:$E$300,A366,Products!$G$5:$G$300),0))*(1+N(V366)))</f>
        <v>0</v>
      </c>
      <c r="AB366" s="22" t="n">
        <f aca="false">IF(F366&lt;&gt;"Y",0,((SUMIF(Products!$E$5:$E$300,A366,Products!$K$5:$K$300)+SUMIF(RM_Lots!$A$5:$A$400,A366,RM_Lots!$F$5:$F$400))+IF(W366="Y",SUMIF(Products!$E$5:$E$300,A366,Products!$L$5:$L$300),0))*(1+N(V366)))</f>
        <v>0</v>
      </c>
      <c r="AC366" s="17" t="n">
        <f aca="false">IF(J366="",1,MAX(1,COUNTIFS($J$5:$J$863,J366,$F$5:$F$863,"Y")))</f>
        <v>1</v>
      </c>
      <c r="AD366" s="18" t="n">
        <f aca="false">(MAX(1,N(I366))*(P366+N(S366))+MAX(1,N(I366))*N(K366)/(MAX(1,N(U366))*AC366))*Settings!$B$9</f>
        <v>0</v>
      </c>
      <c r="AE366" s="18" t="n">
        <f aca="false">(MAX(1,N(I366))*N(Q366)+MAX(1,N(I366))*N(L366)/(MAX(1,N(U366))*AC366))*Settings!$B$8</f>
        <v>0</v>
      </c>
      <c r="AF366" s="18" t="n">
        <f aca="false">MAX(1,N(I366))*N(T366)</f>
        <v>0</v>
      </c>
      <c r="AG366" s="15" t="n">
        <f aca="false">AA366*N(AD366)</f>
        <v>0</v>
      </c>
      <c r="AH366" s="15" t="n">
        <f aca="false">AA366*N(AE366)</f>
        <v>0</v>
      </c>
      <c r="AI366" s="15" t="n">
        <f aca="false">AA366*N(AF366)</f>
        <v>0</v>
      </c>
      <c r="AJ366" s="15" t="n">
        <f aca="false">AA366*N(R366)</f>
        <v>0</v>
      </c>
      <c r="AK366" s="15" t="n">
        <f aca="false">AB366*N(AD366)</f>
        <v>0</v>
      </c>
      <c r="AL366" s="15" t="n">
        <f aca="false">AB366*N(AE366)</f>
        <v>0</v>
      </c>
      <c r="AM366" s="15" t="n">
        <f aca="false">AB366*N(AF366)</f>
        <v>0</v>
      </c>
      <c r="AN366" s="15" t="n">
        <f aca="false">AB366*N(R366)</f>
        <v>0</v>
      </c>
      <c r="AO366" s="21" t="str">
        <f aca="false">IF(F366&lt;&gt;"Y","n/a",IF(AND(N366&lt;&gt;"",OR(Q366&lt;&gt;"",G366="Other / bench",G366="None"),U366&lt;&gt;""),"OK","Missing"))</f>
        <v>Missing</v>
      </c>
    </row>
    <row r="367" customFormat="false" ht="15" hidden="false" customHeight="false" outlineLevel="0" collapsed="false">
      <c r="A367" s="10" t="s">
        <v>418</v>
      </c>
      <c r="B367" s="10" t="s">
        <v>659</v>
      </c>
      <c r="C367" s="10" t="s">
        <v>736</v>
      </c>
      <c r="D367" s="10" t="s">
        <v>664</v>
      </c>
      <c r="E367" s="21" t="str">
        <f aca="false">IF(A367="","",A367&amp;"|"&amp;D367)</f>
        <v>F61|Related substances / impurities</v>
      </c>
      <c r="F367" s="16" t="s">
        <v>662</v>
      </c>
      <c r="G367" s="16" t="s">
        <v>147</v>
      </c>
      <c r="H367" s="16" t="s">
        <v>663</v>
      </c>
      <c r="I367" s="16" t="n">
        <v>1</v>
      </c>
      <c r="J367" s="16"/>
      <c r="K367" s="14"/>
      <c r="L367" s="14"/>
      <c r="M367" s="14"/>
      <c r="N367" s="14"/>
      <c r="O367" s="14"/>
      <c r="P367" s="18" t="n">
        <f aca="false">IF(N367="",0,IF(OR(M367="",O367=""),N367,(M367+4*N367+O367)/6))</f>
        <v>0</v>
      </c>
      <c r="Q367" s="14"/>
      <c r="R367" s="14"/>
      <c r="S367" s="14"/>
      <c r="T367" s="14"/>
      <c r="U367" s="16"/>
      <c r="V367" s="13"/>
      <c r="W367" s="16" t="s">
        <v>662</v>
      </c>
      <c r="X367" s="16"/>
      <c r="Y367" s="16"/>
      <c r="Z367" s="16"/>
      <c r="AA367" s="22" t="n">
        <f aca="false">IF(F367&lt;&gt;"Y",0,((SUMIF(Products!$E$5:$E$300,A367,Products!$F$5:$F$300)+SUMIF(RM_Lots!$A$5:$A$400,A367,RM_Lots!$D$5:$D$400))+IF(W367="Y",SUMIF(Products!$E$5:$E$300,A367,Products!$G$5:$G$300),0))*(1+N(V367)))</f>
        <v>0</v>
      </c>
      <c r="AB367" s="22" t="n">
        <f aca="false">IF(F367&lt;&gt;"Y",0,((SUMIF(Products!$E$5:$E$300,A367,Products!$K$5:$K$300)+SUMIF(RM_Lots!$A$5:$A$400,A367,RM_Lots!$F$5:$F$400))+IF(W367="Y",SUMIF(Products!$E$5:$E$300,A367,Products!$L$5:$L$300),0))*(1+N(V367)))</f>
        <v>0</v>
      </c>
      <c r="AC367" s="17" t="n">
        <f aca="false">IF(J367="",1,MAX(1,COUNTIFS($J$5:$J$863,J367,$F$5:$F$863,"Y")))</f>
        <v>1</v>
      </c>
      <c r="AD367" s="18" t="n">
        <f aca="false">(MAX(1,N(I367))*(P367+N(S367))+MAX(1,N(I367))*N(K367)/(MAX(1,N(U367))*AC367))*Settings!$B$9</f>
        <v>0</v>
      </c>
      <c r="AE367" s="18" t="n">
        <f aca="false">(MAX(1,N(I367))*N(Q367)+MAX(1,N(I367))*N(L367)/(MAX(1,N(U367))*AC367))*Settings!$B$8</f>
        <v>0</v>
      </c>
      <c r="AF367" s="18" t="n">
        <f aca="false">MAX(1,N(I367))*N(T367)</f>
        <v>0</v>
      </c>
      <c r="AG367" s="15" t="n">
        <f aca="false">AA367*N(AD367)</f>
        <v>0</v>
      </c>
      <c r="AH367" s="15" t="n">
        <f aca="false">AA367*N(AE367)</f>
        <v>0</v>
      </c>
      <c r="AI367" s="15" t="n">
        <f aca="false">AA367*N(AF367)</f>
        <v>0</v>
      </c>
      <c r="AJ367" s="15" t="n">
        <f aca="false">AA367*N(R367)</f>
        <v>0</v>
      </c>
      <c r="AK367" s="15" t="n">
        <f aca="false">AB367*N(AD367)</f>
        <v>0</v>
      </c>
      <c r="AL367" s="15" t="n">
        <f aca="false">AB367*N(AE367)</f>
        <v>0</v>
      </c>
      <c r="AM367" s="15" t="n">
        <f aca="false">AB367*N(AF367)</f>
        <v>0</v>
      </c>
      <c r="AN367" s="15" t="n">
        <f aca="false">AB367*N(R367)</f>
        <v>0</v>
      </c>
      <c r="AO367" s="21" t="str">
        <f aca="false">IF(F367&lt;&gt;"Y","n/a",IF(AND(N367&lt;&gt;"",OR(Q367&lt;&gt;"",G367="Other / bench",G367="None"),U367&lt;&gt;""),"OK","Missing"))</f>
        <v>Missing</v>
      </c>
    </row>
    <row r="368" customFormat="false" ht="15" hidden="false" customHeight="false" outlineLevel="0" collapsed="false">
      <c r="A368" s="10" t="s">
        <v>418</v>
      </c>
      <c r="B368" s="10" t="s">
        <v>659</v>
      </c>
      <c r="C368" s="10" t="s">
        <v>736</v>
      </c>
      <c r="D368" s="10" t="s">
        <v>665</v>
      </c>
      <c r="E368" s="21" t="str">
        <f aca="false">IF(A368="","",A368&amp;"|"&amp;D368)</f>
        <v>F61|Dissolution</v>
      </c>
      <c r="F368" s="16" t="s">
        <v>662</v>
      </c>
      <c r="G368" s="16" t="s">
        <v>147</v>
      </c>
      <c r="H368" s="16" t="s">
        <v>663</v>
      </c>
      <c r="I368" s="16" t="n">
        <v>1</v>
      </c>
      <c r="J368" s="16"/>
      <c r="K368" s="14"/>
      <c r="L368" s="14"/>
      <c r="M368" s="14"/>
      <c r="N368" s="14"/>
      <c r="O368" s="14"/>
      <c r="P368" s="18" t="n">
        <f aca="false">IF(N368="",0,IF(OR(M368="",O368=""),N368,(M368+4*N368+O368)/6))</f>
        <v>0</v>
      </c>
      <c r="Q368" s="14"/>
      <c r="R368" s="14"/>
      <c r="S368" s="14"/>
      <c r="T368" s="14"/>
      <c r="U368" s="16"/>
      <c r="V368" s="13"/>
      <c r="W368" s="16" t="s">
        <v>662</v>
      </c>
      <c r="X368" s="16"/>
      <c r="Y368" s="16"/>
      <c r="Z368" s="16"/>
      <c r="AA368" s="22" t="n">
        <f aca="false">IF(F368&lt;&gt;"Y",0,((SUMIF(Products!$E$5:$E$300,A368,Products!$F$5:$F$300)+SUMIF(RM_Lots!$A$5:$A$400,A368,RM_Lots!$D$5:$D$400))+IF(W368="Y",SUMIF(Products!$E$5:$E$300,A368,Products!$G$5:$G$300),0))*(1+N(V368)))</f>
        <v>0</v>
      </c>
      <c r="AB368" s="22" t="n">
        <f aca="false">IF(F368&lt;&gt;"Y",0,((SUMIF(Products!$E$5:$E$300,A368,Products!$K$5:$K$300)+SUMIF(RM_Lots!$A$5:$A$400,A368,RM_Lots!$F$5:$F$400))+IF(W368="Y",SUMIF(Products!$E$5:$E$300,A368,Products!$L$5:$L$300),0))*(1+N(V368)))</f>
        <v>0</v>
      </c>
      <c r="AC368" s="17" t="n">
        <f aca="false">IF(J368="",1,MAX(1,COUNTIFS($J$5:$J$863,J368,$F$5:$F$863,"Y")))</f>
        <v>1</v>
      </c>
      <c r="AD368" s="18" t="n">
        <f aca="false">(MAX(1,N(I368))*(P368+N(S368))+MAX(1,N(I368))*N(K368)/(MAX(1,N(U368))*AC368))*Settings!$B$9</f>
        <v>0</v>
      </c>
      <c r="AE368" s="18" t="n">
        <f aca="false">(MAX(1,N(I368))*N(Q368)+MAX(1,N(I368))*N(L368)/(MAX(1,N(U368))*AC368))*Settings!$B$8</f>
        <v>0</v>
      </c>
      <c r="AF368" s="18" t="n">
        <f aca="false">MAX(1,N(I368))*N(T368)</f>
        <v>0</v>
      </c>
      <c r="AG368" s="15" t="n">
        <f aca="false">AA368*N(AD368)</f>
        <v>0</v>
      </c>
      <c r="AH368" s="15" t="n">
        <f aca="false">AA368*N(AE368)</f>
        <v>0</v>
      </c>
      <c r="AI368" s="15" t="n">
        <f aca="false">AA368*N(AF368)</f>
        <v>0</v>
      </c>
      <c r="AJ368" s="15" t="n">
        <f aca="false">AA368*N(R368)</f>
        <v>0</v>
      </c>
      <c r="AK368" s="15" t="n">
        <f aca="false">AB368*N(AD368)</f>
        <v>0</v>
      </c>
      <c r="AL368" s="15" t="n">
        <f aca="false">AB368*N(AE368)</f>
        <v>0</v>
      </c>
      <c r="AM368" s="15" t="n">
        <f aca="false">AB368*N(AF368)</f>
        <v>0</v>
      </c>
      <c r="AN368" s="15" t="n">
        <f aca="false">AB368*N(R368)</f>
        <v>0</v>
      </c>
      <c r="AO368" s="21" t="str">
        <f aca="false">IF(F368&lt;&gt;"Y","n/a",IF(AND(N368&lt;&gt;"",OR(Q368&lt;&gt;"",G368="Other / bench",G368="None"),U368&lt;&gt;""),"OK","Missing"))</f>
        <v>Missing</v>
      </c>
    </row>
    <row r="369" customFormat="false" ht="15" hidden="false" customHeight="false" outlineLevel="0" collapsed="false">
      <c r="A369" s="10" t="s">
        <v>418</v>
      </c>
      <c r="B369" s="10" t="s">
        <v>659</v>
      </c>
      <c r="C369" s="10" t="s">
        <v>736</v>
      </c>
      <c r="D369" s="10" t="s">
        <v>666</v>
      </c>
      <c r="E369" s="21" t="str">
        <f aca="false">IF(A369="","",A369&amp;"|"&amp;D369)</f>
        <v>F61|Content uniformity</v>
      </c>
      <c r="F369" s="16" t="s">
        <v>662</v>
      </c>
      <c r="G369" s="16" t="s">
        <v>147</v>
      </c>
      <c r="H369" s="16" t="s">
        <v>663</v>
      </c>
      <c r="I369" s="16" t="n">
        <v>1</v>
      </c>
      <c r="J369" s="16"/>
      <c r="K369" s="14"/>
      <c r="L369" s="14"/>
      <c r="M369" s="14"/>
      <c r="N369" s="14"/>
      <c r="O369" s="14"/>
      <c r="P369" s="18" t="n">
        <f aca="false">IF(N369="",0,IF(OR(M369="",O369=""),N369,(M369+4*N369+O369)/6))</f>
        <v>0</v>
      </c>
      <c r="Q369" s="14"/>
      <c r="R369" s="14"/>
      <c r="S369" s="14"/>
      <c r="T369" s="14"/>
      <c r="U369" s="16"/>
      <c r="V369" s="13"/>
      <c r="W369" s="16" t="s">
        <v>667</v>
      </c>
      <c r="X369" s="16"/>
      <c r="Y369" s="16"/>
      <c r="Z369" s="16"/>
      <c r="AA369" s="22" t="n">
        <f aca="false">IF(F369&lt;&gt;"Y",0,((SUMIF(Products!$E$5:$E$300,A369,Products!$F$5:$F$300)+SUMIF(RM_Lots!$A$5:$A$400,A369,RM_Lots!$D$5:$D$400))+IF(W369="Y",SUMIF(Products!$E$5:$E$300,A369,Products!$G$5:$G$300),0))*(1+N(V369)))</f>
        <v>0</v>
      </c>
      <c r="AB369" s="22" t="n">
        <f aca="false">IF(F369&lt;&gt;"Y",0,((SUMIF(Products!$E$5:$E$300,A369,Products!$K$5:$K$300)+SUMIF(RM_Lots!$A$5:$A$400,A369,RM_Lots!$F$5:$F$400))+IF(W369="Y",SUMIF(Products!$E$5:$E$300,A369,Products!$L$5:$L$300),0))*(1+N(V369)))</f>
        <v>0</v>
      </c>
      <c r="AC369" s="17" t="n">
        <f aca="false">IF(J369="",1,MAX(1,COUNTIFS($J$5:$J$863,J369,$F$5:$F$863,"Y")))</f>
        <v>1</v>
      </c>
      <c r="AD369" s="18" t="n">
        <f aca="false">(MAX(1,N(I369))*(P369+N(S369))+MAX(1,N(I369))*N(K369)/(MAX(1,N(U369))*AC369))*Settings!$B$9</f>
        <v>0</v>
      </c>
      <c r="AE369" s="18" t="n">
        <f aca="false">(MAX(1,N(I369))*N(Q369)+MAX(1,N(I369))*N(L369)/(MAX(1,N(U369))*AC369))*Settings!$B$8</f>
        <v>0</v>
      </c>
      <c r="AF369" s="18" t="n">
        <f aca="false">MAX(1,N(I369))*N(T369)</f>
        <v>0</v>
      </c>
      <c r="AG369" s="15" t="n">
        <f aca="false">AA369*N(AD369)</f>
        <v>0</v>
      </c>
      <c r="AH369" s="15" t="n">
        <f aca="false">AA369*N(AE369)</f>
        <v>0</v>
      </c>
      <c r="AI369" s="15" t="n">
        <f aca="false">AA369*N(AF369)</f>
        <v>0</v>
      </c>
      <c r="AJ369" s="15" t="n">
        <f aca="false">AA369*N(R369)</f>
        <v>0</v>
      </c>
      <c r="AK369" s="15" t="n">
        <f aca="false">AB369*N(AD369)</f>
        <v>0</v>
      </c>
      <c r="AL369" s="15" t="n">
        <f aca="false">AB369*N(AE369)</f>
        <v>0</v>
      </c>
      <c r="AM369" s="15" t="n">
        <f aca="false">AB369*N(AF369)</f>
        <v>0</v>
      </c>
      <c r="AN369" s="15" t="n">
        <f aca="false">AB369*N(R369)</f>
        <v>0</v>
      </c>
      <c r="AO369" s="21" t="str">
        <f aca="false">IF(F369&lt;&gt;"Y","n/a",IF(AND(N369&lt;&gt;"",OR(Q369&lt;&gt;"",G369="Other / bench",G369="None"),U369&lt;&gt;""),"OK","Missing"))</f>
        <v>Missing</v>
      </c>
    </row>
    <row r="370" customFormat="false" ht="15" hidden="false" customHeight="false" outlineLevel="0" collapsed="false">
      <c r="A370" s="10" t="s">
        <v>418</v>
      </c>
      <c r="B370" s="10" t="s">
        <v>659</v>
      </c>
      <c r="C370" s="10" t="s">
        <v>736</v>
      </c>
      <c r="D370" s="10" t="s">
        <v>668</v>
      </c>
      <c r="E370" s="21" t="str">
        <f aca="false">IF(A370="","",A370&amp;"|"&amp;D370)</f>
        <v>F61|Identification (if separate from assay)</v>
      </c>
      <c r="F370" s="16" t="s">
        <v>667</v>
      </c>
      <c r="G370" s="16" t="s">
        <v>147</v>
      </c>
      <c r="H370" s="16" t="s">
        <v>663</v>
      </c>
      <c r="I370" s="16" t="n">
        <v>1</v>
      </c>
      <c r="J370" s="16"/>
      <c r="K370" s="14"/>
      <c r="L370" s="14"/>
      <c r="M370" s="14"/>
      <c r="N370" s="14"/>
      <c r="O370" s="14"/>
      <c r="P370" s="18" t="n">
        <f aca="false">IF(N370="",0,IF(OR(M370="",O370=""),N370,(M370+4*N370+O370)/6))</f>
        <v>0</v>
      </c>
      <c r="Q370" s="14"/>
      <c r="R370" s="14"/>
      <c r="S370" s="14"/>
      <c r="T370" s="14"/>
      <c r="U370" s="16"/>
      <c r="V370" s="13"/>
      <c r="W370" s="16" t="s">
        <v>667</v>
      </c>
      <c r="X370" s="16"/>
      <c r="Y370" s="16"/>
      <c r="Z370" s="16"/>
      <c r="AA370" s="22" t="n">
        <f aca="false">IF(F370&lt;&gt;"Y",0,((SUMIF(Products!$E$5:$E$300,A370,Products!$F$5:$F$300)+SUMIF(RM_Lots!$A$5:$A$400,A370,RM_Lots!$D$5:$D$400))+IF(W370="Y",SUMIF(Products!$E$5:$E$300,A370,Products!$G$5:$G$300),0))*(1+N(V370)))</f>
        <v>0</v>
      </c>
      <c r="AB370" s="22" t="n">
        <f aca="false">IF(F370&lt;&gt;"Y",0,((SUMIF(Products!$E$5:$E$300,A370,Products!$K$5:$K$300)+SUMIF(RM_Lots!$A$5:$A$400,A370,RM_Lots!$F$5:$F$400))+IF(W370="Y",SUMIF(Products!$E$5:$E$300,A370,Products!$L$5:$L$300),0))*(1+N(V370)))</f>
        <v>0</v>
      </c>
      <c r="AC370" s="17" t="n">
        <f aca="false">IF(J370="",1,MAX(1,COUNTIFS($J$5:$J$863,J370,$F$5:$F$863,"Y")))</f>
        <v>1</v>
      </c>
      <c r="AD370" s="18" t="n">
        <f aca="false">(MAX(1,N(I370))*(P370+N(S370))+MAX(1,N(I370))*N(K370)/(MAX(1,N(U370))*AC370))*Settings!$B$9</f>
        <v>0</v>
      </c>
      <c r="AE370" s="18" t="n">
        <f aca="false">(MAX(1,N(I370))*N(Q370)+MAX(1,N(I370))*N(L370)/(MAX(1,N(U370))*AC370))*Settings!$B$8</f>
        <v>0</v>
      </c>
      <c r="AF370" s="18" t="n">
        <f aca="false">MAX(1,N(I370))*N(T370)</f>
        <v>0</v>
      </c>
      <c r="AG370" s="15" t="n">
        <f aca="false">AA370*N(AD370)</f>
        <v>0</v>
      </c>
      <c r="AH370" s="15" t="n">
        <f aca="false">AA370*N(AE370)</f>
        <v>0</v>
      </c>
      <c r="AI370" s="15" t="n">
        <f aca="false">AA370*N(AF370)</f>
        <v>0</v>
      </c>
      <c r="AJ370" s="15" t="n">
        <f aca="false">AA370*N(R370)</f>
        <v>0</v>
      </c>
      <c r="AK370" s="15" t="n">
        <f aca="false">AB370*N(AD370)</f>
        <v>0</v>
      </c>
      <c r="AL370" s="15" t="n">
        <f aca="false">AB370*N(AE370)</f>
        <v>0</v>
      </c>
      <c r="AM370" s="15" t="n">
        <f aca="false">AB370*N(AF370)</f>
        <v>0</v>
      </c>
      <c r="AN370" s="15" t="n">
        <f aca="false">AB370*N(R370)</f>
        <v>0</v>
      </c>
      <c r="AO370" s="21" t="str">
        <f aca="false">IF(F370&lt;&gt;"Y","n/a",IF(AND(N370&lt;&gt;"",OR(Q370&lt;&gt;"",G370="Other / bench",G370="None"),U370&lt;&gt;""),"OK","Missing"))</f>
        <v>n/a</v>
      </c>
    </row>
    <row r="371" customFormat="false" ht="15" hidden="false" customHeight="false" outlineLevel="0" collapsed="false">
      <c r="A371" s="10" t="s">
        <v>418</v>
      </c>
      <c r="B371" s="10" t="s">
        <v>659</v>
      </c>
      <c r="C371" s="10" t="s">
        <v>736</v>
      </c>
      <c r="D371" s="10" t="s">
        <v>669</v>
      </c>
      <c r="E371" s="21" t="str">
        <f aca="false">IF(A371="","",A371&amp;"|"&amp;D371)</f>
        <v>F61|Other tests (non-HPLC: physical, LOD/KF, disintegration, pH, micro...)</v>
      </c>
      <c r="F371" s="16" t="s">
        <v>662</v>
      </c>
      <c r="G371" s="16" t="s">
        <v>670</v>
      </c>
      <c r="H371" s="16" t="s">
        <v>663</v>
      </c>
      <c r="I371" s="16" t="n">
        <v>1</v>
      </c>
      <c r="J371" s="16"/>
      <c r="K371" s="14"/>
      <c r="L371" s="14"/>
      <c r="M371" s="14"/>
      <c r="N371" s="14"/>
      <c r="O371" s="14"/>
      <c r="P371" s="18" t="n">
        <f aca="false">IF(N371="",0,IF(OR(M371="",O371=""),N371,(M371+4*N371+O371)/6))</f>
        <v>0</v>
      </c>
      <c r="Q371" s="14"/>
      <c r="R371" s="14"/>
      <c r="S371" s="14"/>
      <c r="T371" s="14"/>
      <c r="U371" s="16"/>
      <c r="V371" s="13"/>
      <c r="W371" s="16" t="s">
        <v>662</v>
      </c>
      <c r="X371" s="16"/>
      <c r="Y371" s="16"/>
      <c r="Z371" s="16"/>
      <c r="AA371" s="22" t="n">
        <f aca="false">IF(F371&lt;&gt;"Y",0,((SUMIF(Products!$E$5:$E$300,A371,Products!$F$5:$F$300)+SUMIF(RM_Lots!$A$5:$A$400,A371,RM_Lots!$D$5:$D$400))+IF(W371="Y",SUMIF(Products!$E$5:$E$300,A371,Products!$G$5:$G$300),0))*(1+N(V371)))</f>
        <v>0</v>
      </c>
      <c r="AB371" s="22" t="n">
        <f aca="false">IF(F371&lt;&gt;"Y",0,((SUMIF(Products!$E$5:$E$300,A371,Products!$K$5:$K$300)+SUMIF(RM_Lots!$A$5:$A$400,A371,RM_Lots!$F$5:$F$400))+IF(W371="Y",SUMIF(Products!$E$5:$E$300,A371,Products!$L$5:$L$300),0))*(1+N(V371)))</f>
        <v>0</v>
      </c>
      <c r="AC371" s="17" t="n">
        <f aca="false">IF(J371="",1,MAX(1,COUNTIFS($J$5:$J$863,J371,$F$5:$F$863,"Y")))</f>
        <v>1</v>
      </c>
      <c r="AD371" s="18" t="n">
        <f aca="false">(MAX(1,N(I371))*(P371+N(S371))+MAX(1,N(I371))*N(K371)/(MAX(1,N(U371))*AC371))*Settings!$B$9</f>
        <v>0</v>
      </c>
      <c r="AE371" s="18" t="n">
        <f aca="false">(MAX(1,N(I371))*N(Q371)+MAX(1,N(I371))*N(L371)/(MAX(1,N(U371))*AC371))*Settings!$B$8</f>
        <v>0</v>
      </c>
      <c r="AF371" s="18" t="n">
        <f aca="false">MAX(1,N(I371))*N(T371)</f>
        <v>0</v>
      </c>
      <c r="AG371" s="15" t="n">
        <f aca="false">AA371*N(AD371)</f>
        <v>0</v>
      </c>
      <c r="AH371" s="15" t="n">
        <f aca="false">AA371*N(AE371)</f>
        <v>0</v>
      </c>
      <c r="AI371" s="15" t="n">
        <f aca="false">AA371*N(AF371)</f>
        <v>0</v>
      </c>
      <c r="AJ371" s="15" t="n">
        <f aca="false">AA371*N(R371)</f>
        <v>0</v>
      </c>
      <c r="AK371" s="15" t="n">
        <f aca="false">AB371*N(AD371)</f>
        <v>0</v>
      </c>
      <c r="AL371" s="15" t="n">
        <f aca="false">AB371*N(AE371)</f>
        <v>0</v>
      </c>
      <c r="AM371" s="15" t="n">
        <f aca="false">AB371*N(AF371)</f>
        <v>0</v>
      </c>
      <c r="AN371" s="15" t="n">
        <f aca="false">AB371*N(R371)</f>
        <v>0</v>
      </c>
      <c r="AO371" s="21" t="str">
        <f aca="false">IF(F371&lt;&gt;"Y","n/a",IF(AND(N371&lt;&gt;"",OR(Q371&lt;&gt;"",G371="Other / bench",G371="None"),U371&lt;&gt;""),"OK","Missing"))</f>
        <v>Missing</v>
      </c>
    </row>
    <row r="372" customFormat="false" ht="15" hidden="false" customHeight="false" outlineLevel="0" collapsed="false">
      <c r="A372" s="10" t="s">
        <v>420</v>
      </c>
      <c r="B372" s="10" t="s">
        <v>659</v>
      </c>
      <c r="C372" s="10" t="s">
        <v>737</v>
      </c>
      <c r="D372" s="10" t="s">
        <v>661</v>
      </c>
      <c r="E372" s="21" t="str">
        <f aca="false">IF(A372="","",A372&amp;"|"&amp;D372)</f>
        <v>F62|Assay</v>
      </c>
      <c r="F372" s="16" t="s">
        <v>662</v>
      </c>
      <c r="G372" s="16" t="s">
        <v>147</v>
      </c>
      <c r="H372" s="16" t="s">
        <v>663</v>
      </c>
      <c r="I372" s="16" t="n">
        <v>1</v>
      </c>
      <c r="J372" s="16"/>
      <c r="K372" s="14"/>
      <c r="L372" s="14"/>
      <c r="M372" s="14"/>
      <c r="N372" s="14"/>
      <c r="O372" s="14"/>
      <c r="P372" s="18" t="n">
        <f aca="false">IF(N372="",0,IF(OR(M372="",O372=""),N372,(M372+4*N372+O372)/6))</f>
        <v>0</v>
      </c>
      <c r="Q372" s="14"/>
      <c r="R372" s="14"/>
      <c r="S372" s="14"/>
      <c r="T372" s="14"/>
      <c r="U372" s="16"/>
      <c r="V372" s="13"/>
      <c r="W372" s="16" t="s">
        <v>662</v>
      </c>
      <c r="X372" s="16"/>
      <c r="Y372" s="16"/>
      <c r="Z372" s="16" t="s">
        <v>696</v>
      </c>
      <c r="AA372" s="22" t="n">
        <f aca="false">IF(F372&lt;&gt;"Y",0,((SUMIF(Products!$E$5:$E$300,A372,Products!$F$5:$F$300)+SUMIF(RM_Lots!$A$5:$A$400,A372,RM_Lots!$D$5:$D$400))+IF(W372="Y",SUMIF(Products!$E$5:$E$300,A372,Products!$G$5:$G$300),0))*(1+N(V372)))</f>
        <v>0</v>
      </c>
      <c r="AB372" s="22" t="n">
        <f aca="false">IF(F372&lt;&gt;"Y",0,((SUMIF(Products!$E$5:$E$300,A372,Products!$K$5:$K$300)+SUMIF(RM_Lots!$A$5:$A$400,A372,RM_Lots!$F$5:$F$400))+IF(W372="Y",SUMIF(Products!$E$5:$E$300,A372,Products!$L$5:$L$300),0))*(1+N(V372)))</f>
        <v>0</v>
      </c>
      <c r="AC372" s="17" t="n">
        <f aca="false">IF(J372="",1,MAX(1,COUNTIFS($J$5:$J$863,J372,$F$5:$F$863,"Y")))</f>
        <v>1</v>
      </c>
      <c r="AD372" s="18" t="n">
        <f aca="false">(MAX(1,N(I372))*(P372+N(S372))+MAX(1,N(I372))*N(K372)/(MAX(1,N(U372))*AC372))*Settings!$B$9</f>
        <v>0</v>
      </c>
      <c r="AE372" s="18" t="n">
        <f aca="false">(MAX(1,N(I372))*N(Q372)+MAX(1,N(I372))*N(L372)/(MAX(1,N(U372))*AC372))*Settings!$B$8</f>
        <v>0</v>
      </c>
      <c r="AF372" s="18" t="n">
        <f aca="false">MAX(1,N(I372))*N(T372)</f>
        <v>0</v>
      </c>
      <c r="AG372" s="15" t="n">
        <f aca="false">AA372*N(AD372)</f>
        <v>0</v>
      </c>
      <c r="AH372" s="15" t="n">
        <f aca="false">AA372*N(AE372)</f>
        <v>0</v>
      </c>
      <c r="AI372" s="15" t="n">
        <f aca="false">AA372*N(AF372)</f>
        <v>0</v>
      </c>
      <c r="AJ372" s="15" t="n">
        <f aca="false">AA372*N(R372)</f>
        <v>0</v>
      </c>
      <c r="AK372" s="15" t="n">
        <f aca="false">AB372*N(AD372)</f>
        <v>0</v>
      </c>
      <c r="AL372" s="15" t="n">
        <f aca="false">AB372*N(AE372)</f>
        <v>0</v>
      </c>
      <c r="AM372" s="15" t="n">
        <f aca="false">AB372*N(AF372)</f>
        <v>0</v>
      </c>
      <c r="AN372" s="15" t="n">
        <f aca="false">AB372*N(R372)</f>
        <v>0</v>
      </c>
      <c r="AO372" s="21" t="str">
        <f aca="false">IF(F372&lt;&gt;"Y","n/a",IF(AND(N372&lt;&gt;"",OR(Q372&lt;&gt;"",G372="Other / bench",G372="None"),U372&lt;&gt;""),"OK","Missing"))</f>
        <v>Missing</v>
      </c>
    </row>
    <row r="373" customFormat="false" ht="15" hidden="false" customHeight="false" outlineLevel="0" collapsed="false">
      <c r="A373" s="10" t="s">
        <v>420</v>
      </c>
      <c r="B373" s="10" t="s">
        <v>659</v>
      </c>
      <c r="C373" s="10" t="s">
        <v>737</v>
      </c>
      <c r="D373" s="10" t="s">
        <v>664</v>
      </c>
      <c r="E373" s="21" t="str">
        <f aca="false">IF(A373="","",A373&amp;"|"&amp;D373)</f>
        <v>F62|Related substances / impurities</v>
      </c>
      <c r="F373" s="16" t="s">
        <v>662</v>
      </c>
      <c r="G373" s="16" t="s">
        <v>147</v>
      </c>
      <c r="H373" s="16" t="s">
        <v>663</v>
      </c>
      <c r="I373" s="16" t="n">
        <v>1</v>
      </c>
      <c r="J373" s="16"/>
      <c r="K373" s="14"/>
      <c r="L373" s="14"/>
      <c r="M373" s="14"/>
      <c r="N373" s="14"/>
      <c r="O373" s="14"/>
      <c r="P373" s="18" t="n">
        <f aca="false">IF(N373="",0,IF(OR(M373="",O373=""),N373,(M373+4*N373+O373)/6))</f>
        <v>0</v>
      </c>
      <c r="Q373" s="14"/>
      <c r="R373" s="14"/>
      <c r="S373" s="14"/>
      <c r="T373" s="14"/>
      <c r="U373" s="16"/>
      <c r="V373" s="13"/>
      <c r="W373" s="16" t="s">
        <v>662</v>
      </c>
      <c r="X373" s="16"/>
      <c r="Y373" s="16"/>
      <c r="Z373" s="16" t="s">
        <v>696</v>
      </c>
      <c r="AA373" s="22" t="n">
        <f aca="false">IF(F373&lt;&gt;"Y",0,((SUMIF(Products!$E$5:$E$300,A373,Products!$F$5:$F$300)+SUMIF(RM_Lots!$A$5:$A$400,A373,RM_Lots!$D$5:$D$400))+IF(W373="Y",SUMIF(Products!$E$5:$E$300,A373,Products!$G$5:$G$300),0))*(1+N(V373)))</f>
        <v>0</v>
      </c>
      <c r="AB373" s="22" t="n">
        <f aca="false">IF(F373&lt;&gt;"Y",0,((SUMIF(Products!$E$5:$E$300,A373,Products!$K$5:$K$300)+SUMIF(RM_Lots!$A$5:$A$400,A373,RM_Lots!$F$5:$F$400))+IF(W373="Y",SUMIF(Products!$E$5:$E$300,A373,Products!$L$5:$L$300),0))*(1+N(V373)))</f>
        <v>0</v>
      </c>
      <c r="AC373" s="17" t="n">
        <f aca="false">IF(J373="",1,MAX(1,COUNTIFS($J$5:$J$863,J373,$F$5:$F$863,"Y")))</f>
        <v>1</v>
      </c>
      <c r="AD373" s="18" t="n">
        <f aca="false">(MAX(1,N(I373))*(P373+N(S373))+MAX(1,N(I373))*N(K373)/(MAX(1,N(U373))*AC373))*Settings!$B$9</f>
        <v>0</v>
      </c>
      <c r="AE373" s="18" t="n">
        <f aca="false">(MAX(1,N(I373))*N(Q373)+MAX(1,N(I373))*N(L373)/(MAX(1,N(U373))*AC373))*Settings!$B$8</f>
        <v>0</v>
      </c>
      <c r="AF373" s="18" t="n">
        <f aca="false">MAX(1,N(I373))*N(T373)</f>
        <v>0</v>
      </c>
      <c r="AG373" s="15" t="n">
        <f aca="false">AA373*N(AD373)</f>
        <v>0</v>
      </c>
      <c r="AH373" s="15" t="n">
        <f aca="false">AA373*N(AE373)</f>
        <v>0</v>
      </c>
      <c r="AI373" s="15" t="n">
        <f aca="false">AA373*N(AF373)</f>
        <v>0</v>
      </c>
      <c r="AJ373" s="15" t="n">
        <f aca="false">AA373*N(R373)</f>
        <v>0</v>
      </c>
      <c r="AK373" s="15" t="n">
        <f aca="false">AB373*N(AD373)</f>
        <v>0</v>
      </c>
      <c r="AL373" s="15" t="n">
        <f aca="false">AB373*N(AE373)</f>
        <v>0</v>
      </c>
      <c r="AM373" s="15" t="n">
        <f aca="false">AB373*N(AF373)</f>
        <v>0</v>
      </c>
      <c r="AN373" s="15" t="n">
        <f aca="false">AB373*N(R373)</f>
        <v>0</v>
      </c>
      <c r="AO373" s="21" t="str">
        <f aca="false">IF(F373&lt;&gt;"Y","n/a",IF(AND(N373&lt;&gt;"",OR(Q373&lt;&gt;"",G373="Other / bench",G373="None"),U373&lt;&gt;""),"OK","Missing"))</f>
        <v>Missing</v>
      </c>
    </row>
    <row r="374" customFormat="false" ht="15" hidden="false" customHeight="false" outlineLevel="0" collapsed="false">
      <c r="A374" s="10" t="s">
        <v>420</v>
      </c>
      <c r="B374" s="10" t="s">
        <v>659</v>
      </c>
      <c r="C374" s="10" t="s">
        <v>737</v>
      </c>
      <c r="D374" s="10" t="s">
        <v>665</v>
      </c>
      <c r="E374" s="21" t="str">
        <f aca="false">IF(A374="","",A374&amp;"|"&amp;D374)</f>
        <v>F62|Dissolution</v>
      </c>
      <c r="F374" s="16" t="s">
        <v>662</v>
      </c>
      <c r="G374" s="16" t="s">
        <v>147</v>
      </c>
      <c r="H374" s="16" t="s">
        <v>663</v>
      </c>
      <c r="I374" s="16" t="n">
        <v>1</v>
      </c>
      <c r="J374" s="16"/>
      <c r="K374" s="14"/>
      <c r="L374" s="14"/>
      <c r="M374" s="14"/>
      <c r="N374" s="14"/>
      <c r="O374" s="14"/>
      <c r="P374" s="18" t="n">
        <f aca="false">IF(N374="",0,IF(OR(M374="",O374=""),N374,(M374+4*N374+O374)/6))</f>
        <v>0</v>
      </c>
      <c r="Q374" s="14"/>
      <c r="R374" s="14"/>
      <c r="S374" s="14"/>
      <c r="T374" s="14"/>
      <c r="U374" s="16"/>
      <c r="V374" s="13"/>
      <c r="W374" s="16" t="s">
        <v>662</v>
      </c>
      <c r="X374" s="16"/>
      <c r="Y374" s="16"/>
      <c r="Z374" s="16" t="s">
        <v>696</v>
      </c>
      <c r="AA374" s="22" t="n">
        <f aca="false">IF(F374&lt;&gt;"Y",0,((SUMIF(Products!$E$5:$E$300,A374,Products!$F$5:$F$300)+SUMIF(RM_Lots!$A$5:$A$400,A374,RM_Lots!$D$5:$D$400))+IF(W374="Y",SUMIF(Products!$E$5:$E$300,A374,Products!$G$5:$G$300),0))*(1+N(V374)))</f>
        <v>0</v>
      </c>
      <c r="AB374" s="22" t="n">
        <f aca="false">IF(F374&lt;&gt;"Y",0,((SUMIF(Products!$E$5:$E$300,A374,Products!$K$5:$K$300)+SUMIF(RM_Lots!$A$5:$A$400,A374,RM_Lots!$F$5:$F$400))+IF(W374="Y",SUMIF(Products!$E$5:$E$300,A374,Products!$L$5:$L$300),0))*(1+N(V374)))</f>
        <v>0</v>
      </c>
      <c r="AC374" s="17" t="n">
        <f aca="false">IF(J374="",1,MAX(1,COUNTIFS($J$5:$J$863,J374,$F$5:$F$863,"Y")))</f>
        <v>1</v>
      </c>
      <c r="AD374" s="18" t="n">
        <f aca="false">(MAX(1,N(I374))*(P374+N(S374))+MAX(1,N(I374))*N(K374)/(MAX(1,N(U374))*AC374))*Settings!$B$9</f>
        <v>0</v>
      </c>
      <c r="AE374" s="18" t="n">
        <f aca="false">(MAX(1,N(I374))*N(Q374)+MAX(1,N(I374))*N(L374)/(MAX(1,N(U374))*AC374))*Settings!$B$8</f>
        <v>0</v>
      </c>
      <c r="AF374" s="18" t="n">
        <f aca="false">MAX(1,N(I374))*N(T374)</f>
        <v>0</v>
      </c>
      <c r="AG374" s="15" t="n">
        <f aca="false">AA374*N(AD374)</f>
        <v>0</v>
      </c>
      <c r="AH374" s="15" t="n">
        <f aca="false">AA374*N(AE374)</f>
        <v>0</v>
      </c>
      <c r="AI374" s="15" t="n">
        <f aca="false">AA374*N(AF374)</f>
        <v>0</v>
      </c>
      <c r="AJ374" s="15" t="n">
        <f aca="false">AA374*N(R374)</f>
        <v>0</v>
      </c>
      <c r="AK374" s="15" t="n">
        <f aca="false">AB374*N(AD374)</f>
        <v>0</v>
      </c>
      <c r="AL374" s="15" t="n">
        <f aca="false">AB374*N(AE374)</f>
        <v>0</v>
      </c>
      <c r="AM374" s="15" t="n">
        <f aca="false">AB374*N(AF374)</f>
        <v>0</v>
      </c>
      <c r="AN374" s="15" t="n">
        <f aca="false">AB374*N(R374)</f>
        <v>0</v>
      </c>
      <c r="AO374" s="21" t="str">
        <f aca="false">IF(F374&lt;&gt;"Y","n/a",IF(AND(N374&lt;&gt;"",OR(Q374&lt;&gt;"",G374="Other / bench",G374="None"),U374&lt;&gt;""),"OK","Missing"))</f>
        <v>Missing</v>
      </c>
    </row>
    <row r="375" customFormat="false" ht="15" hidden="false" customHeight="false" outlineLevel="0" collapsed="false">
      <c r="A375" s="10" t="s">
        <v>420</v>
      </c>
      <c r="B375" s="10" t="s">
        <v>659</v>
      </c>
      <c r="C375" s="10" t="s">
        <v>737</v>
      </c>
      <c r="D375" s="10" t="s">
        <v>666</v>
      </c>
      <c r="E375" s="21" t="str">
        <f aca="false">IF(A375="","",A375&amp;"|"&amp;D375)</f>
        <v>F62|Content uniformity</v>
      </c>
      <c r="F375" s="16" t="s">
        <v>662</v>
      </c>
      <c r="G375" s="16" t="s">
        <v>147</v>
      </c>
      <c r="H375" s="16" t="s">
        <v>663</v>
      </c>
      <c r="I375" s="16" t="n">
        <v>1</v>
      </c>
      <c r="J375" s="16"/>
      <c r="K375" s="14"/>
      <c r="L375" s="14"/>
      <c r="M375" s="14"/>
      <c r="N375" s="14"/>
      <c r="O375" s="14"/>
      <c r="P375" s="18" t="n">
        <f aca="false">IF(N375="",0,IF(OR(M375="",O375=""),N375,(M375+4*N375+O375)/6))</f>
        <v>0</v>
      </c>
      <c r="Q375" s="14"/>
      <c r="R375" s="14"/>
      <c r="S375" s="14"/>
      <c r="T375" s="14"/>
      <c r="U375" s="16"/>
      <c r="V375" s="13"/>
      <c r="W375" s="16" t="s">
        <v>667</v>
      </c>
      <c r="X375" s="16"/>
      <c r="Y375" s="16"/>
      <c r="Z375" s="16" t="s">
        <v>696</v>
      </c>
      <c r="AA375" s="22" t="n">
        <f aca="false">IF(F375&lt;&gt;"Y",0,((SUMIF(Products!$E$5:$E$300,A375,Products!$F$5:$F$300)+SUMIF(RM_Lots!$A$5:$A$400,A375,RM_Lots!$D$5:$D$400))+IF(W375="Y",SUMIF(Products!$E$5:$E$300,A375,Products!$G$5:$G$300),0))*(1+N(V375)))</f>
        <v>0</v>
      </c>
      <c r="AB375" s="22" t="n">
        <f aca="false">IF(F375&lt;&gt;"Y",0,((SUMIF(Products!$E$5:$E$300,A375,Products!$K$5:$K$300)+SUMIF(RM_Lots!$A$5:$A$400,A375,RM_Lots!$F$5:$F$400))+IF(W375="Y",SUMIF(Products!$E$5:$E$300,A375,Products!$L$5:$L$300),0))*(1+N(V375)))</f>
        <v>0</v>
      </c>
      <c r="AC375" s="17" t="n">
        <f aca="false">IF(J375="",1,MAX(1,COUNTIFS($J$5:$J$863,J375,$F$5:$F$863,"Y")))</f>
        <v>1</v>
      </c>
      <c r="AD375" s="18" t="n">
        <f aca="false">(MAX(1,N(I375))*(P375+N(S375))+MAX(1,N(I375))*N(K375)/(MAX(1,N(U375))*AC375))*Settings!$B$9</f>
        <v>0</v>
      </c>
      <c r="AE375" s="18" t="n">
        <f aca="false">(MAX(1,N(I375))*N(Q375)+MAX(1,N(I375))*N(L375)/(MAX(1,N(U375))*AC375))*Settings!$B$8</f>
        <v>0</v>
      </c>
      <c r="AF375" s="18" t="n">
        <f aca="false">MAX(1,N(I375))*N(T375)</f>
        <v>0</v>
      </c>
      <c r="AG375" s="15" t="n">
        <f aca="false">AA375*N(AD375)</f>
        <v>0</v>
      </c>
      <c r="AH375" s="15" t="n">
        <f aca="false">AA375*N(AE375)</f>
        <v>0</v>
      </c>
      <c r="AI375" s="15" t="n">
        <f aca="false">AA375*N(AF375)</f>
        <v>0</v>
      </c>
      <c r="AJ375" s="15" t="n">
        <f aca="false">AA375*N(R375)</f>
        <v>0</v>
      </c>
      <c r="AK375" s="15" t="n">
        <f aca="false">AB375*N(AD375)</f>
        <v>0</v>
      </c>
      <c r="AL375" s="15" t="n">
        <f aca="false">AB375*N(AE375)</f>
        <v>0</v>
      </c>
      <c r="AM375" s="15" t="n">
        <f aca="false">AB375*N(AF375)</f>
        <v>0</v>
      </c>
      <c r="AN375" s="15" t="n">
        <f aca="false">AB375*N(R375)</f>
        <v>0</v>
      </c>
      <c r="AO375" s="21" t="str">
        <f aca="false">IF(F375&lt;&gt;"Y","n/a",IF(AND(N375&lt;&gt;"",OR(Q375&lt;&gt;"",G375="Other / bench",G375="None"),U375&lt;&gt;""),"OK","Missing"))</f>
        <v>Missing</v>
      </c>
    </row>
    <row r="376" customFormat="false" ht="15" hidden="false" customHeight="false" outlineLevel="0" collapsed="false">
      <c r="A376" s="10" t="s">
        <v>420</v>
      </c>
      <c r="B376" s="10" t="s">
        <v>659</v>
      </c>
      <c r="C376" s="10" t="s">
        <v>737</v>
      </c>
      <c r="D376" s="10" t="s">
        <v>668</v>
      </c>
      <c r="E376" s="21" t="str">
        <f aca="false">IF(A376="","",A376&amp;"|"&amp;D376)</f>
        <v>F62|Identification (if separate from assay)</v>
      </c>
      <c r="F376" s="16" t="s">
        <v>667</v>
      </c>
      <c r="G376" s="16" t="s">
        <v>147</v>
      </c>
      <c r="H376" s="16" t="s">
        <v>663</v>
      </c>
      <c r="I376" s="16" t="n">
        <v>1</v>
      </c>
      <c r="J376" s="16"/>
      <c r="K376" s="14"/>
      <c r="L376" s="14"/>
      <c r="M376" s="14"/>
      <c r="N376" s="14"/>
      <c r="O376" s="14"/>
      <c r="P376" s="18" t="n">
        <f aca="false">IF(N376="",0,IF(OR(M376="",O376=""),N376,(M376+4*N376+O376)/6))</f>
        <v>0</v>
      </c>
      <c r="Q376" s="14"/>
      <c r="R376" s="14"/>
      <c r="S376" s="14"/>
      <c r="T376" s="14"/>
      <c r="U376" s="16"/>
      <c r="V376" s="13"/>
      <c r="W376" s="16" t="s">
        <v>667</v>
      </c>
      <c r="X376" s="16"/>
      <c r="Y376" s="16"/>
      <c r="Z376" s="16" t="s">
        <v>696</v>
      </c>
      <c r="AA376" s="22" t="n">
        <f aca="false">IF(F376&lt;&gt;"Y",0,((SUMIF(Products!$E$5:$E$300,A376,Products!$F$5:$F$300)+SUMIF(RM_Lots!$A$5:$A$400,A376,RM_Lots!$D$5:$D$400))+IF(W376="Y",SUMIF(Products!$E$5:$E$300,A376,Products!$G$5:$G$300),0))*(1+N(V376)))</f>
        <v>0</v>
      </c>
      <c r="AB376" s="22" t="n">
        <f aca="false">IF(F376&lt;&gt;"Y",0,((SUMIF(Products!$E$5:$E$300,A376,Products!$K$5:$K$300)+SUMIF(RM_Lots!$A$5:$A$400,A376,RM_Lots!$F$5:$F$400))+IF(W376="Y",SUMIF(Products!$E$5:$E$300,A376,Products!$L$5:$L$300),0))*(1+N(V376)))</f>
        <v>0</v>
      </c>
      <c r="AC376" s="17" t="n">
        <f aca="false">IF(J376="",1,MAX(1,COUNTIFS($J$5:$J$863,J376,$F$5:$F$863,"Y")))</f>
        <v>1</v>
      </c>
      <c r="AD376" s="18" t="n">
        <f aca="false">(MAX(1,N(I376))*(P376+N(S376))+MAX(1,N(I376))*N(K376)/(MAX(1,N(U376))*AC376))*Settings!$B$9</f>
        <v>0</v>
      </c>
      <c r="AE376" s="18" t="n">
        <f aca="false">(MAX(1,N(I376))*N(Q376)+MAX(1,N(I376))*N(L376)/(MAX(1,N(U376))*AC376))*Settings!$B$8</f>
        <v>0</v>
      </c>
      <c r="AF376" s="18" t="n">
        <f aca="false">MAX(1,N(I376))*N(T376)</f>
        <v>0</v>
      </c>
      <c r="AG376" s="15" t="n">
        <f aca="false">AA376*N(AD376)</f>
        <v>0</v>
      </c>
      <c r="AH376" s="15" t="n">
        <f aca="false">AA376*N(AE376)</f>
        <v>0</v>
      </c>
      <c r="AI376" s="15" t="n">
        <f aca="false">AA376*N(AF376)</f>
        <v>0</v>
      </c>
      <c r="AJ376" s="15" t="n">
        <f aca="false">AA376*N(R376)</f>
        <v>0</v>
      </c>
      <c r="AK376" s="15" t="n">
        <f aca="false">AB376*N(AD376)</f>
        <v>0</v>
      </c>
      <c r="AL376" s="15" t="n">
        <f aca="false">AB376*N(AE376)</f>
        <v>0</v>
      </c>
      <c r="AM376" s="15" t="n">
        <f aca="false">AB376*N(AF376)</f>
        <v>0</v>
      </c>
      <c r="AN376" s="15" t="n">
        <f aca="false">AB376*N(R376)</f>
        <v>0</v>
      </c>
      <c r="AO376" s="21" t="str">
        <f aca="false">IF(F376&lt;&gt;"Y","n/a",IF(AND(N376&lt;&gt;"",OR(Q376&lt;&gt;"",G376="Other / bench",G376="None"),U376&lt;&gt;""),"OK","Missing"))</f>
        <v>n/a</v>
      </c>
    </row>
    <row r="377" customFormat="false" ht="15" hidden="false" customHeight="false" outlineLevel="0" collapsed="false">
      <c r="A377" s="10" t="s">
        <v>420</v>
      </c>
      <c r="B377" s="10" t="s">
        <v>659</v>
      </c>
      <c r="C377" s="10" t="s">
        <v>737</v>
      </c>
      <c r="D377" s="10" t="s">
        <v>669</v>
      </c>
      <c r="E377" s="21" t="str">
        <f aca="false">IF(A377="","",A377&amp;"|"&amp;D377)</f>
        <v>F62|Other tests (non-HPLC: physical, LOD/KF, disintegration, pH, micro...)</v>
      </c>
      <c r="F377" s="16" t="s">
        <v>662</v>
      </c>
      <c r="G377" s="16" t="s">
        <v>670</v>
      </c>
      <c r="H377" s="16" t="s">
        <v>663</v>
      </c>
      <c r="I377" s="16" t="n">
        <v>1</v>
      </c>
      <c r="J377" s="16"/>
      <c r="K377" s="14"/>
      <c r="L377" s="14"/>
      <c r="M377" s="14"/>
      <c r="N377" s="14"/>
      <c r="O377" s="14"/>
      <c r="P377" s="18" t="n">
        <f aca="false">IF(N377="",0,IF(OR(M377="",O377=""),N377,(M377+4*N377+O377)/6))</f>
        <v>0</v>
      </c>
      <c r="Q377" s="14"/>
      <c r="R377" s="14"/>
      <c r="S377" s="14"/>
      <c r="T377" s="14"/>
      <c r="U377" s="16"/>
      <c r="V377" s="13"/>
      <c r="W377" s="16" t="s">
        <v>662</v>
      </c>
      <c r="X377" s="16"/>
      <c r="Y377" s="16"/>
      <c r="Z377" s="16" t="s">
        <v>696</v>
      </c>
      <c r="AA377" s="22" t="n">
        <f aca="false">IF(F377&lt;&gt;"Y",0,((SUMIF(Products!$E$5:$E$300,A377,Products!$F$5:$F$300)+SUMIF(RM_Lots!$A$5:$A$400,A377,RM_Lots!$D$5:$D$400))+IF(W377="Y",SUMIF(Products!$E$5:$E$300,A377,Products!$G$5:$G$300),0))*(1+N(V377)))</f>
        <v>0</v>
      </c>
      <c r="AB377" s="22" t="n">
        <f aca="false">IF(F377&lt;&gt;"Y",0,((SUMIF(Products!$E$5:$E$300,A377,Products!$K$5:$K$300)+SUMIF(RM_Lots!$A$5:$A$400,A377,RM_Lots!$F$5:$F$400))+IF(W377="Y",SUMIF(Products!$E$5:$E$300,A377,Products!$L$5:$L$300),0))*(1+N(V377)))</f>
        <v>0</v>
      </c>
      <c r="AC377" s="17" t="n">
        <f aca="false">IF(J377="",1,MAX(1,COUNTIFS($J$5:$J$863,J377,$F$5:$F$863,"Y")))</f>
        <v>1</v>
      </c>
      <c r="AD377" s="18" t="n">
        <f aca="false">(MAX(1,N(I377))*(P377+N(S377))+MAX(1,N(I377))*N(K377)/(MAX(1,N(U377))*AC377))*Settings!$B$9</f>
        <v>0</v>
      </c>
      <c r="AE377" s="18" t="n">
        <f aca="false">(MAX(1,N(I377))*N(Q377)+MAX(1,N(I377))*N(L377)/(MAX(1,N(U377))*AC377))*Settings!$B$8</f>
        <v>0</v>
      </c>
      <c r="AF377" s="18" t="n">
        <f aca="false">MAX(1,N(I377))*N(T377)</f>
        <v>0</v>
      </c>
      <c r="AG377" s="15" t="n">
        <f aca="false">AA377*N(AD377)</f>
        <v>0</v>
      </c>
      <c r="AH377" s="15" t="n">
        <f aca="false">AA377*N(AE377)</f>
        <v>0</v>
      </c>
      <c r="AI377" s="15" t="n">
        <f aca="false">AA377*N(AF377)</f>
        <v>0</v>
      </c>
      <c r="AJ377" s="15" t="n">
        <f aca="false">AA377*N(R377)</f>
        <v>0</v>
      </c>
      <c r="AK377" s="15" t="n">
        <f aca="false">AB377*N(AD377)</f>
        <v>0</v>
      </c>
      <c r="AL377" s="15" t="n">
        <f aca="false">AB377*N(AE377)</f>
        <v>0</v>
      </c>
      <c r="AM377" s="15" t="n">
        <f aca="false">AB377*N(AF377)</f>
        <v>0</v>
      </c>
      <c r="AN377" s="15" t="n">
        <f aca="false">AB377*N(R377)</f>
        <v>0</v>
      </c>
      <c r="AO377" s="21" t="str">
        <f aca="false">IF(F377&lt;&gt;"Y","n/a",IF(AND(N377&lt;&gt;"",OR(Q377&lt;&gt;"",G377="Other / bench",G377="None"),U377&lt;&gt;""),"OK","Missing"))</f>
        <v>Missing</v>
      </c>
    </row>
    <row r="378" customFormat="false" ht="15" hidden="false" customHeight="false" outlineLevel="0" collapsed="false">
      <c r="A378" s="10" t="s">
        <v>422</v>
      </c>
      <c r="B378" s="10" t="s">
        <v>659</v>
      </c>
      <c r="C378" s="10" t="s">
        <v>738</v>
      </c>
      <c r="D378" s="10" t="s">
        <v>661</v>
      </c>
      <c r="E378" s="21" t="str">
        <f aca="false">IF(A378="","",A378&amp;"|"&amp;D378)</f>
        <v>F63|Assay</v>
      </c>
      <c r="F378" s="16" t="s">
        <v>662</v>
      </c>
      <c r="G378" s="16" t="s">
        <v>147</v>
      </c>
      <c r="H378" s="16" t="s">
        <v>663</v>
      </c>
      <c r="I378" s="16" t="n">
        <v>1</v>
      </c>
      <c r="J378" s="16"/>
      <c r="K378" s="14"/>
      <c r="L378" s="14"/>
      <c r="M378" s="14"/>
      <c r="N378" s="14"/>
      <c r="O378" s="14"/>
      <c r="P378" s="18" t="n">
        <f aca="false">IF(N378="",0,IF(OR(M378="",O378=""),N378,(M378+4*N378+O378)/6))</f>
        <v>0</v>
      </c>
      <c r="Q378" s="14"/>
      <c r="R378" s="14"/>
      <c r="S378" s="14"/>
      <c r="T378" s="14"/>
      <c r="U378" s="16"/>
      <c r="V378" s="13"/>
      <c r="W378" s="16" t="s">
        <v>662</v>
      </c>
      <c r="X378" s="16"/>
      <c r="Y378" s="16"/>
      <c r="Z378" s="16" t="s">
        <v>696</v>
      </c>
      <c r="AA378" s="22" t="n">
        <f aca="false">IF(F378&lt;&gt;"Y",0,((SUMIF(Products!$E$5:$E$300,A378,Products!$F$5:$F$300)+SUMIF(RM_Lots!$A$5:$A$400,A378,RM_Lots!$D$5:$D$400))+IF(W378="Y",SUMIF(Products!$E$5:$E$300,A378,Products!$G$5:$G$300),0))*(1+N(V378)))</f>
        <v>0</v>
      </c>
      <c r="AB378" s="22" t="n">
        <f aca="false">IF(F378&lt;&gt;"Y",0,((SUMIF(Products!$E$5:$E$300,A378,Products!$K$5:$K$300)+SUMIF(RM_Lots!$A$5:$A$400,A378,RM_Lots!$F$5:$F$400))+IF(W378="Y",SUMIF(Products!$E$5:$E$300,A378,Products!$L$5:$L$300),0))*(1+N(V378)))</f>
        <v>0</v>
      </c>
      <c r="AC378" s="17" t="n">
        <f aca="false">IF(J378="",1,MAX(1,COUNTIFS($J$5:$J$863,J378,$F$5:$F$863,"Y")))</f>
        <v>1</v>
      </c>
      <c r="AD378" s="18" t="n">
        <f aca="false">(MAX(1,N(I378))*(P378+N(S378))+MAX(1,N(I378))*N(K378)/(MAX(1,N(U378))*AC378))*Settings!$B$9</f>
        <v>0</v>
      </c>
      <c r="AE378" s="18" t="n">
        <f aca="false">(MAX(1,N(I378))*N(Q378)+MAX(1,N(I378))*N(L378)/(MAX(1,N(U378))*AC378))*Settings!$B$8</f>
        <v>0</v>
      </c>
      <c r="AF378" s="18" t="n">
        <f aca="false">MAX(1,N(I378))*N(T378)</f>
        <v>0</v>
      </c>
      <c r="AG378" s="15" t="n">
        <f aca="false">AA378*N(AD378)</f>
        <v>0</v>
      </c>
      <c r="AH378" s="15" t="n">
        <f aca="false">AA378*N(AE378)</f>
        <v>0</v>
      </c>
      <c r="AI378" s="15" t="n">
        <f aca="false">AA378*N(AF378)</f>
        <v>0</v>
      </c>
      <c r="AJ378" s="15" t="n">
        <f aca="false">AA378*N(R378)</f>
        <v>0</v>
      </c>
      <c r="AK378" s="15" t="n">
        <f aca="false">AB378*N(AD378)</f>
        <v>0</v>
      </c>
      <c r="AL378" s="15" t="n">
        <f aca="false">AB378*N(AE378)</f>
        <v>0</v>
      </c>
      <c r="AM378" s="15" t="n">
        <f aca="false">AB378*N(AF378)</f>
        <v>0</v>
      </c>
      <c r="AN378" s="15" t="n">
        <f aca="false">AB378*N(R378)</f>
        <v>0</v>
      </c>
      <c r="AO378" s="21" t="str">
        <f aca="false">IF(F378&lt;&gt;"Y","n/a",IF(AND(N378&lt;&gt;"",OR(Q378&lt;&gt;"",G378="Other / bench",G378="None"),U378&lt;&gt;""),"OK","Missing"))</f>
        <v>Missing</v>
      </c>
    </row>
    <row r="379" customFormat="false" ht="15" hidden="false" customHeight="false" outlineLevel="0" collapsed="false">
      <c r="A379" s="10" t="s">
        <v>422</v>
      </c>
      <c r="B379" s="10" t="s">
        <v>659</v>
      </c>
      <c r="C379" s="10" t="s">
        <v>738</v>
      </c>
      <c r="D379" s="10" t="s">
        <v>664</v>
      </c>
      <c r="E379" s="21" t="str">
        <f aca="false">IF(A379="","",A379&amp;"|"&amp;D379)</f>
        <v>F63|Related substances / impurities</v>
      </c>
      <c r="F379" s="16" t="s">
        <v>662</v>
      </c>
      <c r="G379" s="16" t="s">
        <v>147</v>
      </c>
      <c r="H379" s="16" t="s">
        <v>663</v>
      </c>
      <c r="I379" s="16" t="n">
        <v>1</v>
      </c>
      <c r="J379" s="16"/>
      <c r="K379" s="14"/>
      <c r="L379" s="14"/>
      <c r="M379" s="14"/>
      <c r="N379" s="14"/>
      <c r="O379" s="14"/>
      <c r="P379" s="18" t="n">
        <f aca="false">IF(N379="",0,IF(OR(M379="",O379=""),N379,(M379+4*N379+O379)/6))</f>
        <v>0</v>
      </c>
      <c r="Q379" s="14"/>
      <c r="R379" s="14"/>
      <c r="S379" s="14"/>
      <c r="T379" s="14"/>
      <c r="U379" s="16"/>
      <c r="V379" s="13"/>
      <c r="W379" s="16" t="s">
        <v>662</v>
      </c>
      <c r="X379" s="16"/>
      <c r="Y379" s="16"/>
      <c r="Z379" s="16" t="s">
        <v>696</v>
      </c>
      <c r="AA379" s="22" t="n">
        <f aca="false">IF(F379&lt;&gt;"Y",0,((SUMIF(Products!$E$5:$E$300,A379,Products!$F$5:$F$300)+SUMIF(RM_Lots!$A$5:$A$400,A379,RM_Lots!$D$5:$D$400))+IF(W379="Y",SUMIF(Products!$E$5:$E$300,A379,Products!$G$5:$G$300),0))*(1+N(V379)))</f>
        <v>0</v>
      </c>
      <c r="AB379" s="22" t="n">
        <f aca="false">IF(F379&lt;&gt;"Y",0,((SUMIF(Products!$E$5:$E$300,A379,Products!$K$5:$K$300)+SUMIF(RM_Lots!$A$5:$A$400,A379,RM_Lots!$F$5:$F$400))+IF(W379="Y",SUMIF(Products!$E$5:$E$300,A379,Products!$L$5:$L$300),0))*(1+N(V379)))</f>
        <v>0</v>
      </c>
      <c r="AC379" s="17" t="n">
        <f aca="false">IF(J379="",1,MAX(1,COUNTIFS($J$5:$J$863,J379,$F$5:$F$863,"Y")))</f>
        <v>1</v>
      </c>
      <c r="AD379" s="18" t="n">
        <f aca="false">(MAX(1,N(I379))*(P379+N(S379))+MAX(1,N(I379))*N(K379)/(MAX(1,N(U379))*AC379))*Settings!$B$9</f>
        <v>0</v>
      </c>
      <c r="AE379" s="18" t="n">
        <f aca="false">(MAX(1,N(I379))*N(Q379)+MAX(1,N(I379))*N(L379)/(MAX(1,N(U379))*AC379))*Settings!$B$8</f>
        <v>0</v>
      </c>
      <c r="AF379" s="18" t="n">
        <f aca="false">MAX(1,N(I379))*N(T379)</f>
        <v>0</v>
      </c>
      <c r="AG379" s="15" t="n">
        <f aca="false">AA379*N(AD379)</f>
        <v>0</v>
      </c>
      <c r="AH379" s="15" t="n">
        <f aca="false">AA379*N(AE379)</f>
        <v>0</v>
      </c>
      <c r="AI379" s="15" t="n">
        <f aca="false">AA379*N(AF379)</f>
        <v>0</v>
      </c>
      <c r="AJ379" s="15" t="n">
        <f aca="false">AA379*N(R379)</f>
        <v>0</v>
      </c>
      <c r="AK379" s="15" t="n">
        <f aca="false">AB379*N(AD379)</f>
        <v>0</v>
      </c>
      <c r="AL379" s="15" t="n">
        <f aca="false">AB379*N(AE379)</f>
        <v>0</v>
      </c>
      <c r="AM379" s="15" t="n">
        <f aca="false">AB379*N(AF379)</f>
        <v>0</v>
      </c>
      <c r="AN379" s="15" t="n">
        <f aca="false">AB379*N(R379)</f>
        <v>0</v>
      </c>
      <c r="AO379" s="21" t="str">
        <f aca="false">IF(F379&lt;&gt;"Y","n/a",IF(AND(N379&lt;&gt;"",OR(Q379&lt;&gt;"",G379="Other / bench",G379="None"),U379&lt;&gt;""),"OK","Missing"))</f>
        <v>Missing</v>
      </c>
    </row>
    <row r="380" customFormat="false" ht="15" hidden="false" customHeight="false" outlineLevel="0" collapsed="false">
      <c r="A380" s="10" t="s">
        <v>422</v>
      </c>
      <c r="B380" s="10" t="s">
        <v>659</v>
      </c>
      <c r="C380" s="10" t="s">
        <v>738</v>
      </c>
      <c r="D380" s="10" t="s">
        <v>665</v>
      </c>
      <c r="E380" s="21" t="str">
        <f aca="false">IF(A380="","",A380&amp;"|"&amp;D380)</f>
        <v>F63|Dissolution</v>
      </c>
      <c r="F380" s="16" t="s">
        <v>662</v>
      </c>
      <c r="G380" s="16" t="s">
        <v>147</v>
      </c>
      <c r="H380" s="16" t="s">
        <v>663</v>
      </c>
      <c r="I380" s="16" t="n">
        <v>1</v>
      </c>
      <c r="J380" s="16"/>
      <c r="K380" s="14"/>
      <c r="L380" s="14"/>
      <c r="M380" s="14"/>
      <c r="N380" s="14"/>
      <c r="O380" s="14"/>
      <c r="P380" s="18" t="n">
        <f aca="false">IF(N380="",0,IF(OR(M380="",O380=""),N380,(M380+4*N380+O380)/6))</f>
        <v>0</v>
      </c>
      <c r="Q380" s="14"/>
      <c r="R380" s="14"/>
      <c r="S380" s="14"/>
      <c r="T380" s="14"/>
      <c r="U380" s="16"/>
      <c r="V380" s="13"/>
      <c r="W380" s="16" t="s">
        <v>662</v>
      </c>
      <c r="X380" s="16"/>
      <c r="Y380" s="16"/>
      <c r="Z380" s="16" t="s">
        <v>696</v>
      </c>
      <c r="AA380" s="22" t="n">
        <f aca="false">IF(F380&lt;&gt;"Y",0,((SUMIF(Products!$E$5:$E$300,A380,Products!$F$5:$F$300)+SUMIF(RM_Lots!$A$5:$A$400,A380,RM_Lots!$D$5:$D$400))+IF(W380="Y",SUMIF(Products!$E$5:$E$300,A380,Products!$G$5:$G$300),0))*(1+N(V380)))</f>
        <v>0</v>
      </c>
      <c r="AB380" s="22" t="n">
        <f aca="false">IF(F380&lt;&gt;"Y",0,((SUMIF(Products!$E$5:$E$300,A380,Products!$K$5:$K$300)+SUMIF(RM_Lots!$A$5:$A$400,A380,RM_Lots!$F$5:$F$400))+IF(W380="Y",SUMIF(Products!$E$5:$E$300,A380,Products!$L$5:$L$300),0))*(1+N(V380)))</f>
        <v>0</v>
      </c>
      <c r="AC380" s="17" t="n">
        <f aca="false">IF(J380="",1,MAX(1,COUNTIFS($J$5:$J$863,J380,$F$5:$F$863,"Y")))</f>
        <v>1</v>
      </c>
      <c r="AD380" s="18" t="n">
        <f aca="false">(MAX(1,N(I380))*(P380+N(S380))+MAX(1,N(I380))*N(K380)/(MAX(1,N(U380))*AC380))*Settings!$B$9</f>
        <v>0</v>
      </c>
      <c r="AE380" s="18" t="n">
        <f aca="false">(MAX(1,N(I380))*N(Q380)+MAX(1,N(I380))*N(L380)/(MAX(1,N(U380))*AC380))*Settings!$B$8</f>
        <v>0</v>
      </c>
      <c r="AF380" s="18" t="n">
        <f aca="false">MAX(1,N(I380))*N(T380)</f>
        <v>0</v>
      </c>
      <c r="AG380" s="15" t="n">
        <f aca="false">AA380*N(AD380)</f>
        <v>0</v>
      </c>
      <c r="AH380" s="15" t="n">
        <f aca="false">AA380*N(AE380)</f>
        <v>0</v>
      </c>
      <c r="AI380" s="15" t="n">
        <f aca="false">AA380*N(AF380)</f>
        <v>0</v>
      </c>
      <c r="AJ380" s="15" t="n">
        <f aca="false">AA380*N(R380)</f>
        <v>0</v>
      </c>
      <c r="AK380" s="15" t="n">
        <f aca="false">AB380*N(AD380)</f>
        <v>0</v>
      </c>
      <c r="AL380" s="15" t="n">
        <f aca="false">AB380*N(AE380)</f>
        <v>0</v>
      </c>
      <c r="AM380" s="15" t="n">
        <f aca="false">AB380*N(AF380)</f>
        <v>0</v>
      </c>
      <c r="AN380" s="15" t="n">
        <f aca="false">AB380*N(R380)</f>
        <v>0</v>
      </c>
      <c r="AO380" s="21" t="str">
        <f aca="false">IF(F380&lt;&gt;"Y","n/a",IF(AND(N380&lt;&gt;"",OR(Q380&lt;&gt;"",G380="Other / bench",G380="None"),U380&lt;&gt;""),"OK","Missing"))</f>
        <v>Missing</v>
      </c>
    </row>
    <row r="381" customFormat="false" ht="15" hidden="false" customHeight="false" outlineLevel="0" collapsed="false">
      <c r="A381" s="10" t="s">
        <v>422</v>
      </c>
      <c r="B381" s="10" t="s">
        <v>659</v>
      </c>
      <c r="C381" s="10" t="s">
        <v>738</v>
      </c>
      <c r="D381" s="10" t="s">
        <v>666</v>
      </c>
      <c r="E381" s="21" t="str">
        <f aca="false">IF(A381="","",A381&amp;"|"&amp;D381)</f>
        <v>F63|Content uniformity</v>
      </c>
      <c r="F381" s="16" t="s">
        <v>662</v>
      </c>
      <c r="G381" s="16" t="s">
        <v>147</v>
      </c>
      <c r="H381" s="16" t="s">
        <v>663</v>
      </c>
      <c r="I381" s="16" t="n">
        <v>1</v>
      </c>
      <c r="J381" s="16"/>
      <c r="K381" s="14"/>
      <c r="L381" s="14"/>
      <c r="M381" s="14"/>
      <c r="N381" s="14"/>
      <c r="O381" s="14"/>
      <c r="P381" s="18" t="n">
        <f aca="false">IF(N381="",0,IF(OR(M381="",O381=""),N381,(M381+4*N381+O381)/6))</f>
        <v>0</v>
      </c>
      <c r="Q381" s="14"/>
      <c r="R381" s="14"/>
      <c r="S381" s="14"/>
      <c r="T381" s="14"/>
      <c r="U381" s="16"/>
      <c r="V381" s="13"/>
      <c r="W381" s="16" t="s">
        <v>667</v>
      </c>
      <c r="X381" s="16"/>
      <c r="Y381" s="16"/>
      <c r="Z381" s="16" t="s">
        <v>696</v>
      </c>
      <c r="AA381" s="22" t="n">
        <f aca="false">IF(F381&lt;&gt;"Y",0,((SUMIF(Products!$E$5:$E$300,A381,Products!$F$5:$F$300)+SUMIF(RM_Lots!$A$5:$A$400,A381,RM_Lots!$D$5:$D$400))+IF(W381="Y",SUMIF(Products!$E$5:$E$300,A381,Products!$G$5:$G$300),0))*(1+N(V381)))</f>
        <v>0</v>
      </c>
      <c r="AB381" s="22" t="n">
        <f aca="false">IF(F381&lt;&gt;"Y",0,((SUMIF(Products!$E$5:$E$300,A381,Products!$K$5:$K$300)+SUMIF(RM_Lots!$A$5:$A$400,A381,RM_Lots!$F$5:$F$400))+IF(W381="Y",SUMIF(Products!$E$5:$E$300,A381,Products!$L$5:$L$300),0))*(1+N(V381)))</f>
        <v>0</v>
      </c>
      <c r="AC381" s="17" t="n">
        <f aca="false">IF(J381="",1,MAX(1,COUNTIFS($J$5:$J$863,J381,$F$5:$F$863,"Y")))</f>
        <v>1</v>
      </c>
      <c r="AD381" s="18" t="n">
        <f aca="false">(MAX(1,N(I381))*(P381+N(S381))+MAX(1,N(I381))*N(K381)/(MAX(1,N(U381))*AC381))*Settings!$B$9</f>
        <v>0</v>
      </c>
      <c r="AE381" s="18" t="n">
        <f aca="false">(MAX(1,N(I381))*N(Q381)+MAX(1,N(I381))*N(L381)/(MAX(1,N(U381))*AC381))*Settings!$B$8</f>
        <v>0</v>
      </c>
      <c r="AF381" s="18" t="n">
        <f aca="false">MAX(1,N(I381))*N(T381)</f>
        <v>0</v>
      </c>
      <c r="AG381" s="15" t="n">
        <f aca="false">AA381*N(AD381)</f>
        <v>0</v>
      </c>
      <c r="AH381" s="15" t="n">
        <f aca="false">AA381*N(AE381)</f>
        <v>0</v>
      </c>
      <c r="AI381" s="15" t="n">
        <f aca="false">AA381*N(AF381)</f>
        <v>0</v>
      </c>
      <c r="AJ381" s="15" t="n">
        <f aca="false">AA381*N(R381)</f>
        <v>0</v>
      </c>
      <c r="AK381" s="15" t="n">
        <f aca="false">AB381*N(AD381)</f>
        <v>0</v>
      </c>
      <c r="AL381" s="15" t="n">
        <f aca="false">AB381*N(AE381)</f>
        <v>0</v>
      </c>
      <c r="AM381" s="15" t="n">
        <f aca="false">AB381*N(AF381)</f>
        <v>0</v>
      </c>
      <c r="AN381" s="15" t="n">
        <f aca="false">AB381*N(R381)</f>
        <v>0</v>
      </c>
      <c r="AO381" s="21" t="str">
        <f aca="false">IF(F381&lt;&gt;"Y","n/a",IF(AND(N381&lt;&gt;"",OR(Q381&lt;&gt;"",G381="Other / bench",G381="None"),U381&lt;&gt;""),"OK","Missing"))</f>
        <v>Missing</v>
      </c>
    </row>
    <row r="382" customFormat="false" ht="15" hidden="false" customHeight="false" outlineLevel="0" collapsed="false">
      <c r="A382" s="10" t="s">
        <v>422</v>
      </c>
      <c r="B382" s="10" t="s">
        <v>659</v>
      </c>
      <c r="C382" s="10" t="s">
        <v>738</v>
      </c>
      <c r="D382" s="10" t="s">
        <v>668</v>
      </c>
      <c r="E382" s="21" t="str">
        <f aca="false">IF(A382="","",A382&amp;"|"&amp;D382)</f>
        <v>F63|Identification (if separate from assay)</v>
      </c>
      <c r="F382" s="16" t="s">
        <v>667</v>
      </c>
      <c r="G382" s="16" t="s">
        <v>147</v>
      </c>
      <c r="H382" s="16" t="s">
        <v>663</v>
      </c>
      <c r="I382" s="16" t="n">
        <v>1</v>
      </c>
      <c r="J382" s="16"/>
      <c r="K382" s="14"/>
      <c r="L382" s="14"/>
      <c r="M382" s="14"/>
      <c r="N382" s="14"/>
      <c r="O382" s="14"/>
      <c r="P382" s="18" t="n">
        <f aca="false">IF(N382="",0,IF(OR(M382="",O382=""),N382,(M382+4*N382+O382)/6))</f>
        <v>0</v>
      </c>
      <c r="Q382" s="14"/>
      <c r="R382" s="14"/>
      <c r="S382" s="14"/>
      <c r="T382" s="14"/>
      <c r="U382" s="16"/>
      <c r="V382" s="13"/>
      <c r="W382" s="16" t="s">
        <v>667</v>
      </c>
      <c r="X382" s="16"/>
      <c r="Y382" s="16"/>
      <c r="Z382" s="16" t="s">
        <v>696</v>
      </c>
      <c r="AA382" s="22" t="n">
        <f aca="false">IF(F382&lt;&gt;"Y",0,((SUMIF(Products!$E$5:$E$300,A382,Products!$F$5:$F$300)+SUMIF(RM_Lots!$A$5:$A$400,A382,RM_Lots!$D$5:$D$400))+IF(W382="Y",SUMIF(Products!$E$5:$E$300,A382,Products!$G$5:$G$300),0))*(1+N(V382)))</f>
        <v>0</v>
      </c>
      <c r="AB382" s="22" t="n">
        <f aca="false">IF(F382&lt;&gt;"Y",0,((SUMIF(Products!$E$5:$E$300,A382,Products!$K$5:$K$300)+SUMIF(RM_Lots!$A$5:$A$400,A382,RM_Lots!$F$5:$F$400))+IF(W382="Y",SUMIF(Products!$E$5:$E$300,A382,Products!$L$5:$L$300),0))*(1+N(V382)))</f>
        <v>0</v>
      </c>
      <c r="AC382" s="17" t="n">
        <f aca="false">IF(J382="",1,MAX(1,COUNTIFS($J$5:$J$863,J382,$F$5:$F$863,"Y")))</f>
        <v>1</v>
      </c>
      <c r="AD382" s="18" t="n">
        <f aca="false">(MAX(1,N(I382))*(P382+N(S382))+MAX(1,N(I382))*N(K382)/(MAX(1,N(U382))*AC382))*Settings!$B$9</f>
        <v>0</v>
      </c>
      <c r="AE382" s="18" t="n">
        <f aca="false">(MAX(1,N(I382))*N(Q382)+MAX(1,N(I382))*N(L382)/(MAX(1,N(U382))*AC382))*Settings!$B$8</f>
        <v>0</v>
      </c>
      <c r="AF382" s="18" t="n">
        <f aca="false">MAX(1,N(I382))*N(T382)</f>
        <v>0</v>
      </c>
      <c r="AG382" s="15" t="n">
        <f aca="false">AA382*N(AD382)</f>
        <v>0</v>
      </c>
      <c r="AH382" s="15" t="n">
        <f aca="false">AA382*N(AE382)</f>
        <v>0</v>
      </c>
      <c r="AI382" s="15" t="n">
        <f aca="false">AA382*N(AF382)</f>
        <v>0</v>
      </c>
      <c r="AJ382" s="15" t="n">
        <f aca="false">AA382*N(R382)</f>
        <v>0</v>
      </c>
      <c r="AK382" s="15" t="n">
        <f aca="false">AB382*N(AD382)</f>
        <v>0</v>
      </c>
      <c r="AL382" s="15" t="n">
        <f aca="false">AB382*N(AE382)</f>
        <v>0</v>
      </c>
      <c r="AM382" s="15" t="n">
        <f aca="false">AB382*N(AF382)</f>
        <v>0</v>
      </c>
      <c r="AN382" s="15" t="n">
        <f aca="false">AB382*N(R382)</f>
        <v>0</v>
      </c>
      <c r="AO382" s="21" t="str">
        <f aca="false">IF(F382&lt;&gt;"Y","n/a",IF(AND(N382&lt;&gt;"",OR(Q382&lt;&gt;"",G382="Other / bench",G382="None"),U382&lt;&gt;""),"OK","Missing"))</f>
        <v>n/a</v>
      </c>
    </row>
    <row r="383" customFormat="false" ht="15" hidden="false" customHeight="false" outlineLevel="0" collapsed="false">
      <c r="A383" s="10" t="s">
        <v>422</v>
      </c>
      <c r="B383" s="10" t="s">
        <v>659</v>
      </c>
      <c r="C383" s="10" t="s">
        <v>738</v>
      </c>
      <c r="D383" s="10" t="s">
        <v>669</v>
      </c>
      <c r="E383" s="21" t="str">
        <f aca="false">IF(A383="","",A383&amp;"|"&amp;D383)</f>
        <v>F63|Other tests (non-HPLC: physical, LOD/KF, disintegration, pH, micro...)</v>
      </c>
      <c r="F383" s="16" t="s">
        <v>662</v>
      </c>
      <c r="G383" s="16" t="s">
        <v>670</v>
      </c>
      <c r="H383" s="16" t="s">
        <v>663</v>
      </c>
      <c r="I383" s="16" t="n">
        <v>1</v>
      </c>
      <c r="J383" s="16"/>
      <c r="K383" s="14"/>
      <c r="L383" s="14"/>
      <c r="M383" s="14"/>
      <c r="N383" s="14"/>
      <c r="O383" s="14"/>
      <c r="P383" s="18" t="n">
        <f aca="false">IF(N383="",0,IF(OR(M383="",O383=""),N383,(M383+4*N383+O383)/6))</f>
        <v>0</v>
      </c>
      <c r="Q383" s="14"/>
      <c r="R383" s="14"/>
      <c r="S383" s="14"/>
      <c r="T383" s="14"/>
      <c r="U383" s="16"/>
      <c r="V383" s="13"/>
      <c r="W383" s="16" t="s">
        <v>662</v>
      </c>
      <c r="X383" s="16"/>
      <c r="Y383" s="16"/>
      <c r="Z383" s="16" t="s">
        <v>696</v>
      </c>
      <c r="AA383" s="22" t="n">
        <f aca="false">IF(F383&lt;&gt;"Y",0,((SUMIF(Products!$E$5:$E$300,A383,Products!$F$5:$F$300)+SUMIF(RM_Lots!$A$5:$A$400,A383,RM_Lots!$D$5:$D$400))+IF(W383="Y",SUMIF(Products!$E$5:$E$300,A383,Products!$G$5:$G$300),0))*(1+N(V383)))</f>
        <v>0</v>
      </c>
      <c r="AB383" s="22" t="n">
        <f aca="false">IF(F383&lt;&gt;"Y",0,((SUMIF(Products!$E$5:$E$300,A383,Products!$K$5:$K$300)+SUMIF(RM_Lots!$A$5:$A$400,A383,RM_Lots!$F$5:$F$400))+IF(W383="Y",SUMIF(Products!$E$5:$E$300,A383,Products!$L$5:$L$300),0))*(1+N(V383)))</f>
        <v>0</v>
      </c>
      <c r="AC383" s="17" t="n">
        <f aca="false">IF(J383="",1,MAX(1,COUNTIFS($J$5:$J$863,J383,$F$5:$F$863,"Y")))</f>
        <v>1</v>
      </c>
      <c r="AD383" s="18" t="n">
        <f aca="false">(MAX(1,N(I383))*(P383+N(S383))+MAX(1,N(I383))*N(K383)/(MAX(1,N(U383))*AC383))*Settings!$B$9</f>
        <v>0</v>
      </c>
      <c r="AE383" s="18" t="n">
        <f aca="false">(MAX(1,N(I383))*N(Q383)+MAX(1,N(I383))*N(L383)/(MAX(1,N(U383))*AC383))*Settings!$B$8</f>
        <v>0</v>
      </c>
      <c r="AF383" s="18" t="n">
        <f aca="false">MAX(1,N(I383))*N(T383)</f>
        <v>0</v>
      </c>
      <c r="AG383" s="15" t="n">
        <f aca="false">AA383*N(AD383)</f>
        <v>0</v>
      </c>
      <c r="AH383" s="15" t="n">
        <f aca="false">AA383*N(AE383)</f>
        <v>0</v>
      </c>
      <c r="AI383" s="15" t="n">
        <f aca="false">AA383*N(AF383)</f>
        <v>0</v>
      </c>
      <c r="AJ383" s="15" t="n">
        <f aca="false">AA383*N(R383)</f>
        <v>0</v>
      </c>
      <c r="AK383" s="15" t="n">
        <f aca="false">AB383*N(AD383)</f>
        <v>0</v>
      </c>
      <c r="AL383" s="15" t="n">
        <f aca="false">AB383*N(AE383)</f>
        <v>0</v>
      </c>
      <c r="AM383" s="15" t="n">
        <f aca="false">AB383*N(AF383)</f>
        <v>0</v>
      </c>
      <c r="AN383" s="15" t="n">
        <f aca="false">AB383*N(R383)</f>
        <v>0</v>
      </c>
      <c r="AO383" s="21" t="str">
        <f aca="false">IF(F383&lt;&gt;"Y","n/a",IF(AND(N383&lt;&gt;"",OR(Q383&lt;&gt;"",G383="Other / bench",G383="None"),U383&lt;&gt;""),"OK","Missing"))</f>
        <v>Missing</v>
      </c>
    </row>
    <row r="384" customFormat="false" ht="15" hidden="false" customHeight="false" outlineLevel="0" collapsed="false">
      <c r="A384" s="10" t="s">
        <v>425</v>
      </c>
      <c r="B384" s="10" t="s">
        <v>659</v>
      </c>
      <c r="C384" s="10" t="s">
        <v>739</v>
      </c>
      <c r="D384" s="10" t="s">
        <v>661</v>
      </c>
      <c r="E384" s="21" t="str">
        <f aca="false">IF(A384="","",A384&amp;"|"&amp;D384)</f>
        <v>F64|Assay</v>
      </c>
      <c r="F384" s="16" t="s">
        <v>662</v>
      </c>
      <c r="G384" s="16" t="s">
        <v>147</v>
      </c>
      <c r="H384" s="16" t="s">
        <v>685</v>
      </c>
      <c r="I384" s="16" t="n">
        <v>1</v>
      </c>
      <c r="J384" s="16"/>
      <c r="K384" s="14"/>
      <c r="L384" s="14"/>
      <c r="M384" s="14"/>
      <c r="N384" s="14"/>
      <c r="O384" s="14"/>
      <c r="P384" s="18" t="n">
        <f aca="false">IF(N384="",0,IF(OR(M384="",O384=""),N384,(M384+4*N384+O384)/6))</f>
        <v>0</v>
      </c>
      <c r="Q384" s="14"/>
      <c r="R384" s="14"/>
      <c r="S384" s="14"/>
      <c r="T384" s="14"/>
      <c r="U384" s="16"/>
      <c r="V384" s="13"/>
      <c r="W384" s="16" t="s">
        <v>662</v>
      </c>
      <c r="X384" s="16"/>
      <c r="Y384" s="16"/>
      <c r="Z384" s="16" t="s">
        <v>693</v>
      </c>
      <c r="AA384" s="22" t="n">
        <f aca="false">IF(F384&lt;&gt;"Y",0,((SUMIF(Products!$E$5:$E$300,A384,Products!$F$5:$F$300)+SUMIF(RM_Lots!$A$5:$A$400,A384,RM_Lots!$D$5:$D$400))+IF(W384="Y",SUMIF(Products!$E$5:$E$300,A384,Products!$G$5:$G$300),0))*(1+N(V384)))</f>
        <v>0</v>
      </c>
      <c r="AB384" s="22" t="n">
        <f aca="false">IF(F384&lt;&gt;"Y",0,((SUMIF(Products!$E$5:$E$300,A384,Products!$K$5:$K$300)+SUMIF(RM_Lots!$A$5:$A$400,A384,RM_Lots!$F$5:$F$400))+IF(W384="Y",SUMIF(Products!$E$5:$E$300,A384,Products!$L$5:$L$300),0))*(1+N(V384)))</f>
        <v>0</v>
      </c>
      <c r="AC384" s="17" t="n">
        <f aca="false">IF(J384="",1,MAX(1,COUNTIFS($J$5:$J$863,J384,$F$5:$F$863,"Y")))</f>
        <v>1</v>
      </c>
      <c r="AD384" s="18" t="n">
        <f aca="false">(MAX(1,N(I384))*(P384+N(S384))+MAX(1,N(I384))*N(K384)/(MAX(1,N(U384))*AC384))*Settings!$B$9</f>
        <v>0</v>
      </c>
      <c r="AE384" s="18" t="n">
        <f aca="false">(MAX(1,N(I384))*N(Q384)+MAX(1,N(I384))*N(L384)/(MAX(1,N(U384))*AC384))*Settings!$B$8</f>
        <v>0</v>
      </c>
      <c r="AF384" s="18" t="n">
        <f aca="false">MAX(1,N(I384))*N(T384)</f>
        <v>0</v>
      </c>
      <c r="AG384" s="15" t="n">
        <f aca="false">AA384*N(AD384)</f>
        <v>0</v>
      </c>
      <c r="AH384" s="15" t="n">
        <f aca="false">AA384*N(AE384)</f>
        <v>0</v>
      </c>
      <c r="AI384" s="15" t="n">
        <f aca="false">AA384*N(AF384)</f>
        <v>0</v>
      </c>
      <c r="AJ384" s="15" t="n">
        <f aca="false">AA384*N(R384)</f>
        <v>0</v>
      </c>
      <c r="AK384" s="15" t="n">
        <f aca="false">AB384*N(AD384)</f>
        <v>0</v>
      </c>
      <c r="AL384" s="15" t="n">
        <f aca="false">AB384*N(AE384)</f>
        <v>0</v>
      </c>
      <c r="AM384" s="15" t="n">
        <f aca="false">AB384*N(AF384)</f>
        <v>0</v>
      </c>
      <c r="AN384" s="15" t="n">
        <f aca="false">AB384*N(R384)</f>
        <v>0</v>
      </c>
      <c r="AO384" s="21" t="str">
        <f aca="false">IF(F384&lt;&gt;"Y","n/a",IF(AND(N384&lt;&gt;"",OR(Q384&lt;&gt;"",G384="Other / bench",G384="None"),U384&lt;&gt;""),"OK","Missing"))</f>
        <v>Missing</v>
      </c>
    </row>
    <row r="385" customFormat="false" ht="15" hidden="false" customHeight="false" outlineLevel="0" collapsed="false">
      <c r="A385" s="10" t="s">
        <v>425</v>
      </c>
      <c r="B385" s="10" t="s">
        <v>659</v>
      </c>
      <c r="C385" s="10" t="s">
        <v>739</v>
      </c>
      <c r="D385" s="10" t="s">
        <v>664</v>
      </c>
      <c r="E385" s="21" t="str">
        <f aca="false">IF(A385="","",A385&amp;"|"&amp;D385)</f>
        <v>F64|Related substances / impurities</v>
      </c>
      <c r="F385" s="16" t="s">
        <v>667</v>
      </c>
      <c r="G385" s="16" t="s">
        <v>147</v>
      </c>
      <c r="H385" s="16" t="s">
        <v>685</v>
      </c>
      <c r="I385" s="16" t="n">
        <v>1</v>
      </c>
      <c r="J385" s="16"/>
      <c r="K385" s="14"/>
      <c r="L385" s="14"/>
      <c r="M385" s="14"/>
      <c r="N385" s="14"/>
      <c r="O385" s="14"/>
      <c r="P385" s="18" t="n">
        <f aca="false">IF(N385="",0,IF(OR(M385="",O385=""),N385,(M385+4*N385+O385)/6))</f>
        <v>0</v>
      </c>
      <c r="Q385" s="14"/>
      <c r="R385" s="14"/>
      <c r="S385" s="14"/>
      <c r="T385" s="14"/>
      <c r="U385" s="16"/>
      <c r="V385" s="13"/>
      <c r="W385" s="16" t="s">
        <v>662</v>
      </c>
      <c r="X385" s="16"/>
      <c r="Y385" s="16"/>
      <c r="Z385" s="16"/>
      <c r="AA385" s="22" t="n">
        <f aca="false">IF(F385&lt;&gt;"Y",0,((SUMIF(Products!$E$5:$E$300,A385,Products!$F$5:$F$300)+SUMIF(RM_Lots!$A$5:$A$400,A385,RM_Lots!$D$5:$D$400))+IF(W385="Y",SUMIF(Products!$E$5:$E$300,A385,Products!$G$5:$G$300),0))*(1+N(V385)))</f>
        <v>0</v>
      </c>
      <c r="AB385" s="22" t="n">
        <f aca="false">IF(F385&lt;&gt;"Y",0,((SUMIF(Products!$E$5:$E$300,A385,Products!$K$5:$K$300)+SUMIF(RM_Lots!$A$5:$A$400,A385,RM_Lots!$F$5:$F$400))+IF(W385="Y",SUMIF(Products!$E$5:$E$300,A385,Products!$L$5:$L$300),0))*(1+N(V385)))</f>
        <v>0</v>
      </c>
      <c r="AC385" s="17" t="n">
        <f aca="false">IF(J385="",1,MAX(1,COUNTIFS($J$5:$J$863,J385,$F$5:$F$863,"Y")))</f>
        <v>1</v>
      </c>
      <c r="AD385" s="18" t="n">
        <f aca="false">(MAX(1,N(I385))*(P385+N(S385))+MAX(1,N(I385))*N(K385)/(MAX(1,N(U385))*AC385))*Settings!$B$9</f>
        <v>0</v>
      </c>
      <c r="AE385" s="18" t="n">
        <f aca="false">(MAX(1,N(I385))*N(Q385)+MAX(1,N(I385))*N(L385)/(MAX(1,N(U385))*AC385))*Settings!$B$8</f>
        <v>0</v>
      </c>
      <c r="AF385" s="18" t="n">
        <f aca="false">MAX(1,N(I385))*N(T385)</f>
        <v>0</v>
      </c>
      <c r="AG385" s="15" t="n">
        <f aca="false">AA385*N(AD385)</f>
        <v>0</v>
      </c>
      <c r="AH385" s="15" t="n">
        <f aca="false">AA385*N(AE385)</f>
        <v>0</v>
      </c>
      <c r="AI385" s="15" t="n">
        <f aca="false">AA385*N(AF385)</f>
        <v>0</v>
      </c>
      <c r="AJ385" s="15" t="n">
        <f aca="false">AA385*N(R385)</f>
        <v>0</v>
      </c>
      <c r="AK385" s="15" t="n">
        <f aca="false">AB385*N(AD385)</f>
        <v>0</v>
      </c>
      <c r="AL385" s="15" t="n">
        <f aca="false">AB385*N(AE385)</f>
        <v>0</v>
      </c>
      <c r="AM385" s="15" t="n">
        <f aca="false">AB385*N(AF385)</f>
        <v>0</v>
      </c>
      <c r="AN385" s="15" t="n">
        <f aca="false">AB385*N(R385)</f>
        <v>0</v>
      </c>
      <c r="AO385" s="21" t="str">
        <f aca="false">IF(F385&lt;&gt;"Y","n/a",IF(AND(N385&lt;&gt;"",OR(Q385&lt;&gt;"",G385="Other / bench",G385="None"),U385&lt;&gt;""),"OK","Missing"))</f>
        <v>n/a</v>
      </c>
    </row>
    <row r="386" customFormat="false" ht="15" hidden="false" customHeight="false" outlineLevel="0" collapsed="false">
      <c r="A386" s="10" t="s">
        <v>425</v>
      </c>
      <c r="B386" s="10" t="s">
        <v>659</v>
      </c>
      <c r="C386" s="10" t="s">
        <v>739</v>
      </c>
      <c r="D386" s="10" t="s">
        <v>665</v>
      </c>
      <c r="E386" s="21" t="str">
        <f aca="false">IF(A386="","",A386&amp;"|"&amp;D386)</f>
        <v>F64|Dissolution</v>
      </c>
      <c r="F386" s="16" t="s">
        <v>662</v>
      </c>
      <c r="G386" s="16" t="s">
        <v>147</v>
      </c>
      <c r="H386" s="16" t="s">
        <v>685</v>
      </c>
      <c r="I386" s="16" t="n">
        <v>1</v>
      </c>
      <c r="J386" s="16"/>
      <c r="K386" s="14"/>
      <c r="L386" s="14"/>
      <c r="M386" s="14"/>
      <c r="N386" s="14"/>
      <c r="O386" s="14"/>
      <c r="P386" s="18" t="n">
        <f aca="false">IF(N386="",0,IF(OR(M386="",O386=""),N386,(M386+4*N386+O386)/6))</f>
        <v>0</v>
      </c>
      <c r="Q386" s="14"/>
      <c r="R386" s="14"/>
      <c r="S386" s="14"/>
      <c r="T386" s="14"/>
      <c r="U386" s="16"/>
      <c r="V386" s="13"/>
      <c r="W386" s="16" t="s">
        <v>662</v>
      </c>
      <c r="X386" s="16"/>
      <c r="Y386" s="16"/>
      <c r="Z386" s="16"/>
      <c r="AA386" s="22" t="n">
        <f aca="false">IF(F386&lt;&gt;"Y",0,((SUMIF(Products!$E$5:$E$300,A386,Products!$F$5:$F$300)+SUMIF(RM_Lots!$A$5:$A$400,A386,RM_Lots!$D$5:$D$400))+IF(W386="Y",SUMIF(Products!$E$5:$E$300,A386,Products!$G$5:$G$300),0))*(1+N(V386)))</f>
        <v>0</v>
      </c>
      <c r="AB386" s="22" t="n">
        <f aca="false">IF(F386&lt;&gt;"Y",0,((SUMIF(Products!$E$5:$E$300,A386,Products!$K$5:$K$300)+SUMIF(RM_Lots!$A$5:$A$400,A386,RM_Lots!$F$5:$F$400))+IF(W386="Y",SUMIF(Products!$E$5:$E$300,A386,Products!$L$5:$L$300),0))*(1+N(V386)))</f>
        <v>0</v>
      </c>
      <c r="AC386" s="17" t="n">
        <f aca="false">IF(J386="",1,MAX(1,COUNTIFS($J$5:$J$863,J386,$F$5:$F$863,"Y")))</f>
        <v>1</v>
      </c>
      <c r="AD386" s="18" t="n">
        <f aca="false">(MAX(1,N(I386))*(P386+N(S386))+MAX(1,N(I386))*N(K386)/(MAX(1,N(U386))*AC386))*Settings!$B$9</f>
        <v>0</v>
      </c>
      <c r="AE386" s="18" t="n">
        <f aca="false">(MAX(1,N(I386))*N(Q386)+MAX(1,N(I386))*N(L386)/(MAX(1,N(U386))*AC386))*Settings!$B$8</f>
        <v>0</v>
      </c>
      <c r="AF386" s="18" t="n">
        <f aca="false">MAX(1,N(I386))*N(T386)</f>
        <v>0</v>
      </c>
      <c r="AG386" s="15" t="n">
        <f aca="false">AA386*N(AD386)</f>
        <v>0</v>
      </c>
      <c r="AH386" s="15" t="n">
        <f aca="false">AA386*N(AE386)</f>
        <v>0</v>
      </c>
      <c r="AI386" s="15" t="n">
        <f aca="false">AA386*N(AF386)</f>
        <v>0</v>
      </c>
      <c r="AJ386" s="15" t="n">
        <f aca="false">AA386*N(R386)</f>
        <v>0</v>
      </c>
      <c r="AK386" s="15" t="n">
        <f aca="false">AB386*N(AD386)</f>
        <v>0</v>
      </c>
      <c r="AL386" s="15" t="n">
        <f aca="false">AB386*N(AE386)</f>
        <v>0</v>
      </c>
      <c r="AM386" s="15" t="n">
        <f aca="false">AB386*N(AF386)</f>
        <v>0</v>
      </c>
      <c r="AN386" s="15" t="n">
        <f aca="false">AB386*N(R386)</f>
        <v>0</v>
      </c>
      <c r="AO386" s="21" t="str">
        <f aca="false">IF(F386&lt;&gt;"Y","n/a",IF(AND(N386&lt;&gt;"",OR(Q386&lt;&gt;"",G386="Other / bench",G386="None"),U386&lt;&gt;""),"OK","Missing"))</f>
        <v>Missing</v>
      </c>
    </row>
    <row r="387" customFormat="false" ht="15" hidden="false" customHeight="false" outlineLevel="0" collapsed="false">
      <c r="A387" s="10" t="s">
        <v>425</v>
      </c>
      <c r="B387" s="10" t="s">
        <v>659</v>
      </c>
      <c r="C387" s="10" t="s">
        <v>739</v>
      </c>
      <c r="D387" s="10" t="s">
        <v>666</v>
      </c>
      <c r="E387" s="21" t="str">
        <f aca="false">IF(A387="","",A387&amp;"|"&amp;D387)</f>
        <v>F64|Content uniformity</v>
      </c>
      <c r="F387" s="16" t="s">
        <v>667</v>
      </c>
      <c r="G387" s="16" t="s">
        <v>147</v>
      </c>
      <c r="H387" s="16" t="s">
        <v>685</v>
      </c>
      <c r="I387" s="16" t="n">
        <v>1</v>
      </c>
      <c r="J387" s="16"/>
      <c r="K387" s="14"/>
      <c r="L387" s="14"/>
      <c r="M387" s="14"/>
      <c r="N387" s="14"/>
      <c r="O387" s="14"/>
      <c r="P387" s="18" t="n">
        <f aca="false">IF(N387="",0,IF(OR(M387="",O387=""),N387,(M387+4*N387+O387)/6))</f>
        <v>0</v>
      </c>
      <c r="Q387" s="14"/>
      <c r="R387" s="14"/>
      <c r="S387" s="14"/>
      <c r="T387" s="14"/>
      <c r="U387" s="16"/>
      <c r="V387" s="13"/>
      <c r="W387" s="16" t="s">
        <v>667</v>
      </c>
      <c r="X387" s="16"/>
      <c r="Y387" s="16"/>
      <c r="Z387" s="16"/>
      <c r="AA387" s="22" t="n">
        <f aca="false">IF(F387&lt;&gt;"Y",0,((SUMIF(Products!$E$5:$E$300,A387,Products!$F$5:$F$300)+SUMIF(RM_Lots!$A$5:$A$400,A387,RM_Lots!$D$5:$D$400))+IF(W387="Y",SUMIF(Products!$E$5:$E$300,A387,Products!$G$5:$G$300),0))*(1+N(V387)))</f>
        <v>0</v>
      </c>
      <c r="AB387" s="22" t="n">
        <f aca="false">IF(F387&lt;&gt;"Y",0,((SUMIF(Products!$E$5:$E$300,A387,Products!$K$5:$K$300)+SUMIF(RM_Lots!$A$5:$A$400,A387,RM_Lots!$F$5:$F$400))+IF(W387="Y",SUMIF(Products!$E$5:$E$300,A387,Products!$L$5:$L$300),0))*(1+N(V387)))</f>
        <v>0</v>
      </c>
      <c r="AC387" s="17" t="n">
        <f aca="false">IF(J387="",1,MAX(1,COUNTIFS($J$5:$J$863,J387,$F$5:$F$863,"Y")))</f>
        <v>1</v>
      </c>
      <c r="AD387" s="18" t="n">
        <f aca="false">(MAX(1,N(I387))*(P387+N(S387))+MAX(1,N(I387))*N(K387)/(MAX(1,N(U387))*AC387))*Settings!$B$9</f>
        <v>0</v>
      </c>
      <c r="AE387" s="18" t="n">
        <f aca="false">(MAX(1,N(I387))*N(Q387)+MAX(1,N(I387))*N(L387)/(MAX(1,N(U387))*AC387))*Settings!$B$8</f>
        <v>0</v>
      </c>
      <c r="AF387" s="18" t="n">
        <f aca="false">MAX(1,N(I387))*N(T387)</f>
        <v>0</v>
      </c>
      <c r="AG387" s="15" t="n">
        <f aca="false">AA387*N(AD387)</f>
        <v>0</v>
      </c>
      <c r="AH387" s="15" t="n">
        <f aca="false">AA387*N(AE387)</f>
        <v>0</v>
      </c>
      <c r="AI387" s="15" t="n">
        <f aca="false">AA387*N(AF387)</f>
        <v>0</v>
      </c>
      <c r="AJ387" s="15" t="n">
        <f aca="false">AA387*N(R387)</f>
        <v>0</v>
      </c>
      <c r="AK387" s="15" t="n">
        <f aca="false">AB387*N(AD387)</f>
        <v>0</v>
      </c>
      <c r="AL387" s="15" t="n">
        <f aca="false">AB387*N(AE387)</f>
        <v>0</v>
      </c>
      <c r="AM387" s="15" t="n">
        <f aca="false">AB387*N(AF387)</f>
        <v>0</v>
      </c>
      <c r="AN387" s="15" t="n">
        <f aca="false">AB387*N(R387)</f>
        <v>0</v>
      </c>
      <c r="AO387" s="21" t="str">
        <f aca="false">IF(F387&lt;&gt;"Y","n/a",IF(AND(N387&lt;&gt;"",OR(Q387&lt;&gt;"",G387="Other / bench",G387="None"),U387&lt;&gt;""),"OK","Missing"))</f>
        <v>n/a</v>
      </c>
    </row>
    <row r="388" customFormat="false" ht="15" hidden="false" customHeight="false" outlineLevel="0" collapsed="false">
      <c r="A388" s="10" t="s">
        <v>425</v>
      </c>
      <c r="B388" s="10" t="s">
        <v>659</v>
      </c>
      <c r="C388" s="10" t="s">
        <v>739</v>
      </c>
      <c r="D388" s="10" t="s">
        <v>668</v>
      </c>
      <c r="E388" s="21" t="str">
        <f aca="false">IF(A388="","",A388&amp;"|"&amp;D388)</f>
        <v>F64|Identification (if separate from assay)</v>
      </c>
      <c r="F388" s="16" t="s">
        <v>667</v>
      </c>
      <c r="G388" s="16" t="s">
        <v>147</v>
      </c>
      <c r="H388" s="16" t="s">
        <v>685</v>
      </c>
      <c r="I388" s="16" t="n">
        <v>1</v>
      </c>
      <c r="J388" s="16"/>
      <c r="K388" s="14"/>
      <c r="L388" s="14"/>
      <c r="M388" s="14"/>
      <c r="N388" s="14"/>
      <c r="O388" s="14"/>
      <c r="P388" s="18" t="n">
        <f aca="false">IF(N388="",0,IF(OR(M388="",O388=""),N388,(M388+4*N388+O388)/6))</f>
        <v>0</v>
      </c>
      <c r="Q388" s="14"/>
      <c r="R388" s="14"/>
      <c r="S388" s="14"/>
      <c r="T388" s="14"/>
      <c r="U388" s="16"/>
      <c r="V388" s="13"/>
      <c r="W388" s="16" t="s">
        <v>667</v>
      </c>
      <c r="X388" s="16"/>
      <c r="Y388" s="16"/>
      <c r="Z388" s="16"/>
      <c r="AA388" s="22" t="n">
        <f aca="false">IF(F388&lt;&gt;"Y",0,((SUMIF(Products!$E$5:$E$300,A388,Products!$F$5:$F$300)+SUMIF(RM_Lots!$A$5:$A$400,A388,RM_Lots!$D$5:$D$400))+IF(W388="Y",SUMIF(Products!$E$5:$E$300,A388,Products!$G$5:$G$300),0))*(1+N(V388)))</f>
        <v>0</v>
      </c>
      <c r="AB388" s="22" t="n">
        <f aca="false">IF(F388&lt;&gt;"Y",0,((SUMIF(Products!$E$5:$E$300,A388,Products!$K$5:$K$300)+SUMIF(RM_Lots!$A$5:$A$400,A388,RM_Lots!$F$5:$F$400))+IF(W388="Y",SUMIF(Products!$E$5:$E$300,A388,Products!$L$5:$L$300),0))*(1+N(V388)))</f>
        <v>0</v>
      </c>
      <c r="AC388" s="17" t="n">
        <f aca="false">IF(J388="",1,MAX(1,COUNTIFS($J$5:$J$863,J388,$F$5:$F$863,"Y")))</f>
        <v>1</v>
      </c>
      <c r="AD388" s="18" t="n">
        <f aca="false">(MAX(1,N(I388))*(P388+N(S388))+MAX(1,N(I388))*N(K388)/(MAX(1,N(U388))*AC388))*Settings!$B$9</f>
        <v>0</v>
      </c>
      <c r="AE388" s="18" t="n">
        <f aca="false">(MAX(1,N(I388))*N(Q388)+MAX(1,N(I388))*N(L388)/(MAX(1,N(U388))*AC388))*Settings!$B$8</f>
        <v>0</v>
      </c>
      <c r="AF388" s="18" t="n">
        <f aca="false">MAX(1,N(I388))*N(T388)</f>
        <v>0</v>
      </c>
      <c r="AG388" s="15" t="n">
        <f aca="false">AA388*N(AD388)</f>
        <v>0</v>
      </c>
      <c r="AH388" s="15" t="n">
        <f aca="false">AA388*N(AE388)</f>
        <v>0</v>
      </c>
      <c r="AI388" s="15" t="n">
        <f aca="false">AA388*N(AF388)</f>
        <v>0</v>
      </c>
      <c r="AJ388" s="15" t="n">
        <f aca="false">AA388*N(R388)</f>
        <v>0</v>
      </c>
      <c r="AK388" s="15" t="n">
        <f aca="false">AB388*N(AD388)</f>
        <v>0</v>
      </c>
      <c r="AL388" s="15" t="n">
        <f aca="false">AB388*N(AE388)</f>
        <v>0</v>
      </c>
      <c r="AM388" s="15" t="n">
        <f aca="false">AB388*N(AF388)</f>
        <v>0</v>
      </c>
      <c r="AN388" s="15" t="n">
        <f aca="false">AB388*N(R388)</f>
        <v>0</v>
      </c>
      <c r="AO388" s="21" t="str">
        <f aca="false">IF(F388&lt;&gt;"Y","n/a",IF(AND(N388&lt;&gt;"",OR(Q388&lt;&gt;"",G388="Other / bench",G388="None"),U388&lt;&gt;""),"OK","Missing"))</f>
        <v>n/a</v>
      </c>
    </row>
    <row r="389" customFormat="false" ht="15" hidden="false" customHeight="false" outlineLevel="0" collapsed="false">
      <c r="A389" s="10" t="s">
        <v>425</v>
      </c>
      <c r="B389" s="10" t="s">
        <v>659</v>
      </c>
      <c r="C389" s="10" t="s">
        <v>739</v>
      </c>
      <c r="D389" s="10" t="s">
        <v>669</v>
      </c>
      <c r="E389" s="21" t="str">
        <f aca="false">IF(A389="","",A389&amp;"|"&amp;D389)</f>
        <v>F64|Other tests (non-HPLC: physical, LOD/KF, disintegration, pH, micro...)</v>
      </c>
      <c r="F389" s="16" t="s">
        <v>662</v>
      </c>
      <c r="G389" s="16" t="s">
        <v>670</v>
      </c>
      <c r="H389" s="16" t="s">
        <v>685</v>
      </c>
      <c r="I389" s="16" t="n">
        <v>1</v>
      </c>
      <c r="J389" s="16"/>
      <c r="K389" s="14"/>
      <c r="L389" s="14"/>
      <c r="M389" s="14"/>
      <c r="N389" s="14"/>
      <c r="O389" s="14"/>
      <c r="P389" s="18" t="n">
        <f aca="false">IF(N389="",0,IF(OR(M389="",O389=""),N389,(M389+4*N389+O389)/6))</f>
        <v>0</v>
      </c>
      <c r="Q389" s="14"/>
      <c r="R389" s="14"/>
      <c r="S389" s="14"/>
      <c r="T389" s="14"/>
      <c r="U389" s="16"/>
      <c r="V389" s="13"/>
      <c r="W389" s="16" t="s">
        <v>662</v>
      </c>
      <c r="X389" s="16"/>
      <c r="Y389" s="16"/>
      <c r="Z389" s="16"/>
      <c r="AA389" s="22" t="n">
        <f aca="false">IF(F389&lt;&gt;"Y",0,((SUMIF(Products!$E$5:$E$300,A389,Products!$F$5:$F$300)+SUMIF(RM_Lots!$A$5:$A$400,A389,RM_Lots!$D$5:$D$400))+IF(W389="Y",SUMIF(Products!$E$5:$E$300,A389,Products!$G$5:$G$300),0))*(1+N(V389)))</f>
        <v>0</v>
      </c>
      <c r="AB389" s="22" t="n">
        <f aca="false">IF(F389&lt;&gt;"Y",0,((SUMIF(Products!$E$5:$E$300,A389,Products!$K$5:$K$300)+SUMIF(RM_Lots!$A$5:$A$400,A389,RM_Lots!$F$5:$F$400))+IF(W389="Y",SUMIF(Products!$E$5:$E$300,A389,Products!$L$5:$L$300),0))*(1+N(V389)))</f>
        <v>0</v>
      </c>
      <c r="AC389" s="17" t="n">
        <f aca="false">IF(J389="",1,MAX(1,COUNTIFS($J$5:$J$863,J389,$F$5:$F$863,"Y")))</f>
        <v>1</v>
      </c>
      <c r="AD389" s="18" t="n">
        <f aca="false">(MAX(1,N(I389))*(P389+N(S389))+MAX(1,N(I389))*N(K389)/(MAX(1,N(U389))*AC389))*Settings!$B$9</f>
        <v>0</v>
      </c>
      <c r="AE389" s="18" t="n">
        <f aca="false">(MAX(1,N(I389))*N(Q389)+MAX(1,N(I389))*N(L389)/(MAX(1,N(U389))*AC389))*Settings!$B$8</f>
        <v>0</v>
      </c>
      <c r="AF389" s="18" t="n">
        <f aca="false">MAX(1,N(I389))*N(T389)</f>
        <v>0</v>
      </c>
      <c r="AG389" s="15" t="n">
        <f aca="false">AA389*N(AD389)</f>
        <v>0</v>
      </c>
      <c r="AH389" s="15" t="n">
        <f aca="false">AA389*N(AE389)</f>
        <v>0</v>
      </c>
      <c r="AI389" s="15" t="n">
        <f aca="false">AA389*N(AF389)</f>
        <v>0</v>
      </c>
      <c r="AJ389" s="15" t="n">
        <f aca="false">AA389*N(R389)</f>
        <v>0</v>
      </c>
      <c r="AK389" s="15" t="n">
        <f aca="false">AB389*N(AD389)</f>
        <v>0</v>
      </c>
      <c r="AL389" s="15" t="n">
        <f aca="false">AB389*N(AE389)</f>
        <v>0</v>
      </c>
      <c r="AM389" s="15" t="n">
        <f aca="false">AB389*N(AF389)</f>
        <v>0</v>
      </c>
      <c r="AN389" s="15" t="n">
        <f aca="false">AB389*N(R389)</f>
        <v>0</v>
      </c>
      <c r="AO389" s="21" t="str">
        <f aca="false">IF(F389&lt;&gt;"Y","n/a",IF(AND(N389&lt;&gt;"",OR(Q389&lt;&gt;"",G389="Other / bench",G389="None"),U389&lt;&gt;""),"OK","Missing"))</f>
        <v>Missing</v>
      </c>
    </row>
    <row r="390" customFormat="false" ht="15" hidden="false" customHeight="false" outlineLevel="0" collapsed="false">
      <c r="A390" s="10" t="s">
        <v>436</v>
      </c>
      <c r="B390" s="10" t="s">
        <v>740</v>
      </c>
      <c r="C390" s="10" t="s">
        <v>437</v>
      </c>
      <c r="D390" s="10" t="s">
        <v>741</v>
      </c>
      <c r="E390" s="21" t="str">
        <f aca="false">IF(A390="","",A390&amp;"|"&amp;D390)</f>
        <v>Acetaminophen|Assay + related substances</v>
      </c>
      <c r="F390" s="16" t="s">
        <v>662</v>
      </c>
      <c r="G390" s="16" t="s">
        <v>147</v>
      </c>
      <c r="H390" s="16" t="s">
        <v>663</v>
      </c>
      <c r="I390" s="16" t="n">
        <v>1</v>
      </c>
      <c r="J390" s="16"/>
      <c r="K390" s="14"/>
      <c r="L390" s="14"/>
      <c r="M390" s="14"/>
      <c r="N390" s="14"/>
      <c r="O390" s="14"/>
      <c r="P390" s="18" t="n">
        <f aca="false">IF(N390="",0,IF(OR(M390="",O390=""),N390,(M390+4*N390+O390)/6))</f>
        <v>0</v>
      </c>
      <c r="Q390" s="14"/>
      <c r="R390" s="14"/>
      <c r="S390" s="14"/>
      <c r="T390" s="14"/>
      <c r="U390" s="16"/>
      <c r="V390" s="13"/>
      <c r="W390" s="16" t="s">
        <v>667</v>
      </c>
      <c r="X390" s="16"/>
      <c r="Y390" s="16"/>
      <c r="Z390" s="16"/>
      <c r="AA390" s="22" t="n">
        <f aca="false">IF(F390&lt;&gt;"Y",0,((SUMIF(Products!$E$5:$E$300,A390,Products!$F$5:$F$300)+SUMIF(RM_Lots!$A$5:$A$400,A390,RM_Lots!$D$5:$D$400))+IF(W390="Y",SUMIF(Products!$E$5:$E$300,A390,Products!$G$5:$G$300),0))*(1+N(V390)))</f>
        <v>0</v>
      </c>
      <c r="AB390" s="22" t="n">
        <f aca="false">IF(F390&lt;&gt;"Y",0,((SUMIF(Products!$E$5:$E$300,A390,Products!$K$5:$K$300)+SUMIF(RM_Lots!$A$5:$A$400,A390,RM_Lots!$F$5:$F$400))+IF(W390="Y",SUMIF(Products!$E$5:$E$300,A390,Products!$L$5:$L$300),0))*(1+N(V390)))</f>
        <v>0</v>
      </c>
      <c r="AC390" s="17" t="n">
        <f aca="false">IF(J390="",1,MAX(1,COUNTIFS($J$5:$J$863,J390,$F$5:$F$863,"Y")))</f>
        <v>1</v>
      </c>
      <c r="AD390" s="18" t="n">
        <f aca="false">(MAX(1,N(I390))*(P390+N(S390))+MAX(1,N(I390))*N(K390)/(MAX(1,N(U390))*AC390))*Settings!$B$9</f>
        <v>0</v>
      </c>
      <c r="AE390" s="18" t="n">
        <f aca="false">(MAX(1,N(I390))*N(Q390)+MAX(1,N(I390))*N(L390)/(MAX(1,N(U390))*AC390))*Settings!$B$8</f>
        <v>0</v>
      </c>
      <c r="AF390" s="18" t="n">
        <f aca="false">MAX(1,N(I390))*N(T390)</f>
        <v>0</v>
      </c>
      <c r="AG390" s="15" t="n">
        <f aca="false">AA390*N(AD390)</f>
        <v>0</v>
      </c>
      <c r="AH390" s="15" t="n">
        <f aca="false">AA390*N(AE390)</f>
        <v>0</v>
      </c>
      <c r="AI390" s="15" t="n">
        <f aca="false">AA390*N(AF390)</f>
        <v>0</v>
      </c>
      <c r="AJ390" s="15" t="n">
        <f aca="false">AA390*N(R390)</f>
        <v>0</v>
      </c>
      <c r="AK390" s="15" t="n">
        <f aca="false">AB390*N(AD390)</f>
        <v>0</v>
      </c>
      <c r="AL390" s="15" t="n">
        <f aca="false">AB390*N(AE390)</f>
        <v>0</v>
      </c>
      <c r="AM390" s="15" t="n">
        <f aca="false">AB390*N(AF390)</f>
        <v>0</v>
      </c>
      <c r="AN390" s="15" t="n">
        <f aca="false">AB390*N(R390)</f>
        <v>0</v>
      </c>
      <c r="AO390" s="21" t="str">
        <f aca="false">IF(F390&lt;&gt;"Y","n/a",IF(AND(N390&lt;&gt;"",OR(Q390&lt;&gt;"",G390="Other / bench",G390="None"),U390&lt;&gt;""),"OK","Missing"))</f>
        <v>Missing</v>
      </c>
    </row>
    <row r="391" customFormat="false" ht="15" hidden="false" customHeight="false" outlineLevel="0" collapsed="false">
      <c r="A391" s="10" t="s">
        <v>436</v>
      </c>
      <c r="B391" s="10" t="s">
        <v>740</v>
      </c>
      <c r="C391" s="10" t="s">
        <v>437</v>
      </c>
      <c r="D391" s="10" t="s">
        <v>742</v>
      </c>
      <c r="E391" s="21" t="str">
        <f aca="false">IF(A391="","",A391&amp;"|"&amp;D391)</f>
        <v>Acetaminophen|Other compendial tests (ID, LOD/KF, heavy metals...)</v>
      </c>
      <c r="F391" s="16" t="s">
        <v>662</v>
      </c>
      <c r="G391" s="16" t="s">
        <v>670</v>
      </c>
      <c r="H391" s="16" t="s">
        <v>672</v>
      </c>
      <c r="I391" s="16" t="n">
        <v>1</v>
      </c>
      <c r="J391" s="16"/>
      <c r="K391" s="14"/>
      <c r="L391" s="14"/>
      <c r="M391" s="14"/>
      <c r="N391" s="14"/>
      <c r="O391" s="14"/>
      <c r="P391" s="18" t="n">
        <f aca="false">IF(N391="",0,IF(OR(M391="",O391=""),N391,(M391+4*N391+O391)/6))</f>
        <v>0</v>
      </c>
      <c r="Q391" s="14"/>
      <c r="R391" s="14"/>
      <c r="S391" s="14"/>
      <c r="T391" s="14"/>
      <c r="U391" s="16"/>
      <c r="V391" s="13"/>
      <c r="W391" s="16" t="s">
        <v>667</v>
      </c>
      <c r="X391" s="16"/>
      <c r="Y391" s="16"/>
      <c r="Z391" s="16"/>
      <c r="AA391" s="22" t="n">
        <f aca="false">IF(F391&lt;&gt;"Y",0,((SUMIF(Products!$E$5:$E$300,A391,Products!$F$5:$F$300)+SUMIF(RM_Lots!$A$5:$A$400,A391,RM_Lots!$D$5:$D$400))+IF(W391="Y",SUMIF(Products!$E$5:$E$300,A391,Products!$G$5:$G$300),0))*(1+N(V391)))</f>
        <v>0</v>
      </c>
      <c r="AB391" s="22" t="n">
        <f aca="false">IF(F391&lt;&gt;"Y",0,((SUMIF(Products!$E$5:$E$300,A391,Products!$K$5:$K$300)+SUMIF(RM_Lots!$A$5:$A$400,A391,RM_Lots!$F$5:$F$400))+IF(W391="Y",SUMIF(Products!$E$5:$E$300,A391,Products!$L$5:$L$300),0))*(1+N(V391)))</f>
        <v>0</v>
      </c>
      <c r="AC391" s="17" t="n">
        <f aca="false">IF(J391="",1,MAX(1,COUNTIFS($J$5:$J$863,J391,$F$5:$F$863,"Y")))</f>
        <v>1</v>
      </c>
      <c r="AD391" s="18" t="n">
        <f aca="false">(MAX(1,N(I391))*(P391+N(S391))+MAX(1,N(I391))*N(K391)/(MAX(1,N(U391))*AC391))*Settings!$B$9</f>
        <v>0</v>
      </c>
      <c r="AE391" s="18" t="n">
        <f aca="false">(MAX(1,N(I391))*N(Q391)+MAX(1,N(I391))*N(L391)/(MAX(1,N(U391))*AC391))*Settings!$B$8</f>
        <v>0</v>
      </c>
      <c r="AF391" s="18" t="n">
        <f aca="false">MAX(1,N(I391))*N(T391)</f>
        <v>0</v>
      </c>
      <c r="AG391" s="15" t="n">
        <f aca="false">AA391*N(AD391)</f>
        <v>0</v>
      </c>
      <c r="AH391" s="15" t="n">
        <f aca="false">AA391*N(AE391)</f>
        <v>0</v>
      </c>
      <c r="AI391" s="15" t="n">
        <f aca="false">AA391*N(AF391)</f>
        <v>0</v>
      </c>
      <c r="AJ391" s="15" t="n">
        <f aca="false">AA391*N(R391)</f>
        <v>0</v>
      </c>
      <c r="AK391" s="15" t="n">
        <f aca="false">AB391*N(AD391)</f>
        <v>0</v>
      </c>
      <c r="AL391" s="15" t="n">
        <f aca="false">AB391*N(AE391)</f>
        <v>0</v>
      </c>
      <c r="AM391" s="15" t="n">
        <f aca="false">AB391*N(AF391)</f>
        <v>0</v>
      </c>
      <c r="AN391" s="15" t="n">
        <f aca="false">AB391*N(R391)</f>
        <v>0</v>
      </c>
      <c r="AO391" s="21" t="str">
        <f aca="false">IF(F391&lt;&gt;"Y","n/a",IF(AND(N391&lt;&gt;"",OR(Q391&lt;&gt;"",G391="Other / bench",G391="None"),U391&lt;&gt;""),"OK","Missing"))</f>
        <v>Missing</v>
      </c>
    </row>
    <row r="392" customFormat="false" ht="15" hidden="false" customHeight="false" outlineLevel="0" collapsed="false">
      <c r="A392" s="10" t="s">
        <v>438</v>
      </c>
      <c r="B392" s="10" t="s">
        <v>740</v>
      </c>
      <c r="C392" s="10" t="s">
        <v>437</v>
      </c>
      <c r="D392" s="10" t="s">
        <v>741</v>
      </c>
      <c r="E392" s="21" t="str">
        <f aca="false">IF(A392="","",A392&amp;"|"&amp;D392)</f>
        <v>Amlodipine Besylate|Assay + related substances</v>
      </c>
      <c r="F392" s="16" t="s">
        <v>662</v>
      </c>
      <c r="G392" s="16" t="s">
        <v>147</v>
      </c>
      <c r="H392" s="16" t="s">
        <v>663</v>
      </c>
      <c r="I392" s="16" t="n">
        <v>1</v>
      </c>
      <c r="J392" s="16"/>
      <c r="K392" s="14"/>
      <c r="L392" s="14"/>
      <c r="M392" s="14"/>
      <c r="N392" s="14"/>
      <c r="O392" s="14"/>
      <c r="P392" s="18" t="n">
        <f aca="false">IF(N392="",0,IF(OR(M392="",O392=""),N392,(M392+4*N392+O392)/6))</f>
        <v>0</v>
      </c>
      <c r="Q392" s="14"/>
      <c r="R392" s="14"/>
      <c r="S392" s="14"/>
      <c r="T392" s="14"/>
      <c r="U392" s="16"/>
      <c r="V392" s="13"/>
      <c r="W392" s="16" t="s">
        <v>667</v>
      </c>
      <c r="X392" s="16"/>
      <c r="Y392" s="16"/>
      <c r="Z392" s="16"/>
      <c r="AA392" s="22" t="n">
        <f aca="false">IF(F392&lt;&gt;"Y",0,((SUMIF(Products!$E$5:$E$300,A392,Products!$F$5:$F$300)+SUMIF(RM_Lots!$A$5:$A$400,A392,RM_Lots!$D$5:$D$400))+IF(W392="Y",SUMIF(Products!$E$5:$E$300,A392,Products!$G$5:$G$300),0))*(1+N(V392)))</f>
        <v>0</v>
      </c>
      <c r="AB392" s="22" t="n">
        <f aca="false">IF(F392&lt;&gt;"Y",0,((SUMIF(Products!$E$5:$E$300,A392,Products!$K$5:$K$300)+SUMIF(RM_Lots!$A$5:$A$400,A392,RM_Lots!$F$5:$F$400))+IF(W392="Y",SUMIF(Products!$E$5:$E$300,A392,Products!$L$5:$L$300),0))*(1+N(V392)))</f>
        <v>0</v>
      </c>
      <c r="AC392" s="17" t="n">
        <f aca="false">IF(J392="",1,MAX(1,COUNTIFS($J$5:$J$863,J392,$F$5:$F$863,"Y")))</f>
        <v>1</v>
      </c>
      <c r="AD392" s="18" t="n">
        <f aca="false">(MAX(1,N(I392))*(P392+N(S392))+MAX(1,N(I392))*N(K392)/(MAX(1,N(U392))*AC392))*Settings!$B$9</f>
        <v>0</v>
      </c>
      <c r="AE392" s="18" t="n">
        <f aca="false">(MAX(1,N(I392))*N(Q392)+MAX(1,N(I392))*N(L392)/(MAX(1,N(U392))*AC392))*Settings!$B$8</f>
        <v>0</v>
      </c>
      <c r="AF392" s="18" t="n">
        <f aca="false">MAX(1,N(I392))*N(T392)</f>
        <v>0</v>
      </c>
      <c r="AG392" s="15" t="n">
        <f aca="false">AA392*N(AD392)</f>
        <v>0</v>
      </c>
      <c r="AH392" s="15" t="n">
        <f aca="false">AA392*N(AE392)</f>
        <v>0</v>
      </c>
      <c r="AI392" s="15" t="n">
        <f aca="false">AA392*N(AF392)</f>
        <v>0</v>
      </c>
      <c r="AJ392" s="15" t="n">
        <f aca="false">AA392*N(R392)</f>
        <v>0</v>
      </c>
      <c r="AK392" s="15" t="n">
        <f aca="false">AB392*N(AD392)</f>
        <v>0</v>
      </c>
      <c r="AL392" s="15" t="n">
        <f aca="false">AB392*N(AE392)</f>
        <v>0</v>
      </c>
      <c r="AM392" s="15" t="n">
        <f aca="false">AB392*N(AF392)</f>
        <v>0</v>
      </c>
      <c r="AN392" s="15" t="n">
        <f aca="false">AB392*N(R392)</f>
        <v>0</v>
      </c>
      <c r="AO392" s="21" t="str">
        <f aca="false">IF(F392&lt;&gt;"Y","n/a",IF(AND(N392&lt;&gt;"",OR(Q392&lt;&gt;"",G392="Other / bench",G392="None"),U392&lt;&gt;""),"OK","Missing"))</f>
        <v>Missing</v>
      </c>
    </row>
    <row r="393" customFormat="false" ht="15" hidden="false" customHeight="false" outlineLevel="0" collapsed="false">
      <c r="A393" s="10" t="s">
        <v>438</v>
      </c>
      <c r="B393" s="10" t="s">
        <v>740</v>
      </c>
      <c r="C393" s="10" t="s">
        <v>437</v>
      </c>
      <c r="D393" s="10" t="s">
        <v>742</v>
      </c>
      <c r="E393" s="21" t="str">
        <f aca="false">IF(A393="","",A393&amp;"|"&amp;D393)</f>
        <v>Amlodipine Besylate|Other compendial tests (ID, LOD/KF, heavy metals...)</v>
      </c>
      <c r="F393" s="16" t="s">
        <v>662</v>
      </c>
      <c r="G393" s="16" t="s">
        <v>670</v>
      </c>
      <c r="H393" s="16" t="s">
        <v>672</v>
      </c>
      <c r="I393" s="16" t="n">
        <v>1</v>
      </c>
      <c r="J393" s="16"/>
      <c r="K393" s="14"/>
      <c r="L393" s="14"/>
      <c r="M393" s="14"/>
      <c r="N393" s="14"/>
      <c r="O393" s="14"/>
      <c r="P393" s="18" t="n">
        <f aca="false">IF(N393="",0,IF(OR(M393="",O393=""),N393,(M393+4*N393+O393)/6))</f>
        <v>0</v>
      </c>
      <c r="Q393" s="14"/>
      <c r="R393" s="14"/>
      <c r="S393" s="14"/>
      <c r="T393" s="14"/>
      <c r="U393" s="16"/>
      <c r="V393" s="13"/>
      <c r="W393" s="16" t="s">
        <v>667</v>
      </c>
      <c r="X393" s="16"/>
      <c r="Y393" s="16"/>
      <c r="Z393" s="16"/>
      <c r="AA393" s="22" t="n">
        <f aca="false">IF(F393&lt;&gt;"Y",0,((SUMIF(Products!$E$5:$E$300,A393,Products!$F$5:$F$300)+SUMIF(RM_Lots!$A$5:$A$400,A393,RM_Lots!$D$5:$D$400))+IF(W393="Y",SUMIF(Products!$E$5:$E$300,A393,Products!$G$5:$G$300),0))*(1+N(V393)))</f>
        <v>0</v>
      </c>
      <c r="AB393" s="22" t="n">
        <f aca="false">IF(F393&lt;&gt;"Y",0,((SUMIF(Products!$E$5:$E$300,A393,Products!$K$5:$K$300)+SUMIF(RM_Lots!$A$5:$A$400,A393,RM_Lots!$F$5:$F$400))+IF(W393="Y",SUMIF(Products!$E$5:$E$300,A393,Products!$L$5:$L$300),0))*(1+N(V393)))</f>
        <v>0</v>
      </c>
      <c r="AC393" s="17" t="n">
        <f aca="false">IF(J393="",1,MAX(1,COUNTIFS($J$5:$J$863,J393,$F$5:$F$863,"Y")))</f>
        <v>1</v>
      </c>
      <c r="AD393" s="18" t="n">
        <f aca="false">(MAX(1,N(I393))*(P393+N(S393))+MAX(1,N(I393))*N(K393)/(MAX(1,N(U393))*AC393))*Settings!$B$9</f>
        <v>0</v>
      </c>
      <c r="AE393" s="18" t="n">
        <f aca="false">(MAX(1,N(I393))*N(Q393)+MAX(1,N(I393))*N(L393)/(MAX(1,N(U393))*AC393))*Settings!$B$8</f>
        <v>0</v>
      </c>
      <c r="AF393" s="18" t="n">
        <f aca="false">MAX(1,N(I393))*N(T393)</f>
        <v>0</v>
      </c>
      <c r="AG393" s="15" t="n">
        <f aca="false">AA393*N(AD393)</f>
        <v>0</v>
      </c>
      <c r="AH393" s="15" t="n">
        <f aca="false">AA393*N(AE393)</f>
        <v>0</v>
      </c>
      <c r="AI393" s="15" t="n">
        <f aca="false">AA393*N(AF393)</f>
        <v>0</v>
      </c>
      <c r="AJ393" s="15" t="n">
        <f aca="false">AA393*N(R393)</f>
        <v>0</v>
      </c>
      <c r="AK393" s="15" t="n">
        <f aca="false">AB393*N(AD393)</f>
        <v>0</v>
      </c>
      <c r="AL393" s="15" t="n">
        <f aca="false">AB393*N(AE393)</f>
        <v>0</v>
      </c>
      <c r="AM393" s="15" t="n">
        <f aca="false">AB393*N(AF393)</f>
        <v>0</v>
      </c>
      <c r="AN393" s="15" t="n">
        <f aca="false">AB393*N(R393)</f>
        <v>0</v>
      </c>
      <c r="AO393" s="21" t="str">
        <f aca="false">IF(F393&lt;&gt;"Y","n/a",IF(AND(N393&lt;&gt;"",OR(Q393&lt;&gt;"",G393="Other / bench",G393="None"),U393&lt;&gt;""),"OK","Missing"))</f>
        <v>Missing</v>
      </c>
    </row>
    <row r="394" customFormat="false" ht="15" hidden="false" customHeight="false" outlineLevel="0" collapsed="false">
      <c r="A394" s="10" t="s">
        <v>439</v>
      </c>
      <c r="B394" s="10" t="s">
        <v>740</v>
      </c>
      <c r="C394" s="10" t="s">
        <v>437</v>
      </c>
      <c r="D394" s="10" t="s">
        <v>741</v>
      </c>
      <c r="E394" s="21" t="str">
        <f aca="false">IF(A394="","",A394&amp;"|"&amp;D394)</f>
        <v>Apium Graveolens Seed Dry Extract 6:1|Assay + related substances</v>
      </c>
      <c r="F394" s="16" t="s">
        <v>662</v>
      </c>
      <c r="G394" s="16" t="s">
        <v>147</v>
      </c>
      <c r="H394" s="16" t="s">
        <v>663</v>
      </c>
      <c r="I394" s="16" t="n">
        <v>1</v>
      </c>
      <c r="J394" s="16"/>
      <c r="K394" s="14"/>
      <c r="L394" s="14"/>
      <c r="M394" s="14"/>
      <c r="N394" s="14"/>
      <c r="O394" s="14"/>
      <c r="P394" s="18" t="n">
        <f aca="false">IF(N394="",0,IF(OR(M394="",O394=""),N394,(M394+4*N394+O394)/6))</f>
        <v>0</v>
      </c>
      <c r="Q394" s="14"/>
      <c r="R394" s="14"/>
      <c r="S394" s="14"/>
      <c r="T394" s="14"/>
      <c r="U394" s="16"/>
      <c r="V394" s="13"/>
      <c r="W394" s="16" t="s">
        <v>667</v>
      </c>
      <c r="X394" s="16"/>
      <c r="Y394" s="16"/>
      <c r="Z394" s="16"/>
      <c r="AA394" s="22" t="n">
        <f aca="false">IF(F394&lt;&gt;"Y",0,((SUMIF(Products!$E$5:$E$300,A394,Products!$F$5:$F$300)+SUMIF(RM_Lots!$A$5:$A$400,A394,RM_Lots!$D$5:$D$400))+IF(W394="Y",SUMIF(Products!$E$5:$E$300,A394,Products!$G$5:$G$300),0))*(1+N(V394)))</f>
        <v>0</v>
      </c>
      <c r="AB394" s="22" t="n">
        <f aca="false">IF(F394&lt;&gt;"Y",0,((SUMIF(Products!$E$5:$E$300,A394,Products!$K$5:$K$300)+SUMIF(RM_Lots!$A$5:$A$400,A394,RM_Lots!$F$5:$F$400))+IF(W394="Y",SUMIF(Products!$E$5:$E$300,A394,Products!$L$5:$L$300),0))*(1+N(V394)))</f>
        <v>0</v>
      </c>
      <c r="AC394" s="17" t="n">
        <f aca="false">IF(J394="",1,MAX(1,COUNTIFS($J$5:$J$863,J394,$F$5:$F$863,"Y")))</f>
        <v>1</v>
      </c>
      <c r="AD394" s="18" t="n">
        <f aca="false">(MAX(1,N(I394))*(P394+N(S394))+MAX(1,N(I394))*N(K394)/(MAX(1,N(U394))*AC394))*Settings!$B$9</f>
        <v>0</v>
      </c>
      <c r="AE394" s="18" t="n">
        <f aca="false">(MAX(1,N(I394))*N(Q394)+MAX(1,N(I394))*N(L394)/(MAX(1,N(U394))*AC394))*Settings!$B$8</f>
        <v>0</v>
      </c>
      <c r="AF394" s="18" t="n">
        <f aca="false">MAX(1,N(I394))*N(T394)</f>
        <v>0</v>
      </c>
      <c r="AG394" s="15" t="n">
        <f aca="false">AA394*N(AD394)</f>
        <v>0</v>
      </c>
      <c r="AH394" s="15" t="n">
        <f aca="false">AA394*N(AE394)</f>
        <v>0</v>
      </c>
      <c r="AI394" s="15" t="n">
        <f aca="false">AA394*N(AF394)</f>
        <v>0</v>
      </c>
      <c r="AJ394" s="15" t="n">
        <f aca="false">AA394*N(R394)</f>
        <v>0</v>
      </c>
      <c r="AK394" s="15" t="n">
        <f aca="false">AB394*N(AD394)</f>
        <v>0</v>
      </c>
      <c r="AL394" s="15" t="n">
        <f aca="false">AB394*N(AE394)</f>
        <v>0</v>
      </c>
      <c r="AM394" s="15" t="n">
        <f aca="false">AB394*N(AF394)</f>
        <v>0</v>
      </c>
      <c r="AN394" s="15" t="n">
        <f aca="false">AB394*N(R394)</f>
        <v>0</v>
      </c>
      <c r="AO394" s="21" t="str">
        <f aca="false">IF(F394&lt;&gt;"Y","n/a",IF(AND(N394&lt;&gt;"",OR(Q394&lt;&gt;"",G394="Other / bench",G394="None"),U394&lt;&gt;""),"OK","Missing"))</f>
        <v>Missing</v>
      </c>
    </row>
    <row r="395" customFormat="false" ht="15" hidden="false" customHeight="false" outlineLevel="0" collapsed="false">
      <c r="A395" s="10" t="s">
        <v>439</v>
      </c>
      <c r="B395" s="10" t="s">
        <v>740</v>
      </c>
      <c r="C395" s="10" t="s">
        <v>437</v>
      </c>
      <c r="D395" s="10" t="s">
        <v>742</v>
      </c>
      <c r="E395" s="21" t="str">
        <f aca="false">IF(A395="","",A395&amp;"|"&amp;D395)</f>
        <v>Apium Graveolens Seed Dry Extract 6:1|Other compendial tests (ID, LOD/KF, heavy metals...)</v>
      </c>
      <c r="F395" s="16" t="s">
        <v>662</v>
      </c>
      <c r="G395" s="16" t="s">
        <v>670</v>
      </c>
      <c r="H395" s="16" t="s">
        <v>672</v>
      </c>
      <c r="I395" s="16" t="n">
        <v>1</v>
      </c>
      <c r="J395" s="16"/>
      <c r="K395" s="14"/>
      <c r="L395" s="14"/>
      <c r="M395" s="14"/>
      <c r="N395" s="14"/>
      <c r="O395" s="14"/>
      <c r="P395" s="18" t="n">
        <f aca="false">IF(N395="",0,IF(OR(M395="",O395=""),N395,(M395+4*N395+O395)/6))</f>
        <v>0</v>
      </c>
      <c r="Q395" s="14"/>
      <c r="R395" s="14"/>
      <c r="S395" s="14"/>
      <c r="T395" s="14"/>
      <c r="U395" s="16"/>
      <c r="V395" s="13"/>
      <c r="W395" s="16" t="s">
        <v>667</v>
      </c>
      <c r="X395" s="16"/>
      <c r="Y395" s="16"/>
      <c r="Z395" s="16"/>
      <c r="AA395" s="22" t="n">
        <f aca="false">IF(F395&lt;&gt;"Y",0,((SUMIF(Products!$E$5:$E$300,A395,Products!$F$5:$F$300)+SUMIF(RM_Lots!$A$5:$A$400,A395,RM_Lots!$D$5:$D$400))+IF(W395="Y",SUMIF(Products!$E$5:$E$300,A395,Products!$G$5:$G$300),0))*(1+N(V395)))</f>
        <v>0</v>
      </c>
      <c r="AB395" s="22" t="n">
        <f aca="false">IF(F395&lt;&gt;"Y",0,((SUMIF(Products!$E$5:$E$300,A395,Products!$K$5:$K$300)+SUMIF(RM_Lots!$A$5:$A$400,A395,RM_Lots!$F$5:$F$400))+IF(W395="Y",SUMIF(Products!$E$5:$E$300,A395,Products!$L$5:$L$300),0))*(1+N(V395)))</f>
        <v>0</v>
      </c>
      <c r="AC395" s="17" t="n">
        <f aca="false">IF(J395="",1,MAX(1,COUNTIFS($J$5:$J$863,J395,$F$5:$F$863,"Y")))</f>
        <v>1</v>
      </c>
      <c r="AD395" s="18" t="n">
        <f aca="false">(MAX(1,N(I395))*(P395+N(S395))+MAX(1,N(I395))*N(K395)/(MAX(1,N(U395))*AC395))*Settings!$B$9</f>
        <v>0</v>
      </c>
      <c r="AE395" s="18" t="n">
        <f aca="false">(MAX(1,N(I395))*N(Q395)+MAX(1,N(I395))*N(L395)/(MAX(1,N(U395))*AC395))*Settings!$B$8</f>
        <v>0</v>
      </c>
      <c r="AF395" s="18" t="n">
        <f aca="false">MAX(1,N(I395))*N(T395)</f>
        <v>0</v>
      </c>
      <c r="AG395" s="15" t="n">
        <f aca="false">AA395*N(AD395)</f>
        <v>0</v>
      </c>
      <c r="AH395" s="15" t="n">
        <f aca="false">AA395*N(AE395)</f>
        <v>0</v>
      </c>
      <c r="AI395" s="15" t="n">
        <f aca="false">AA395*N(AF395)</f>
        <v>0</v>
      </c>
      <c r="AJ395" s="15" t="n">
        <f aca="false">AA395*N(R395)</f>
        <v>0</v>
      </c>
      <c r="AK395" s="15" t="n">
        <f aca="false">AB395*N(AD395)</f>
        <v>0</v>
      </c>
      <c r="AL395" s="15" t="n">
        <f aca="false">AB395*N(AE395)</f>
        <v>0</v>
      </c>
      <c r="AM395" s="15" t="n">
        <f aca="false">AB395*N(AF395)</f>
        <v>0</v>
      </c>
      <c r="AN395" s="15" t="n">
        <f aca="false">AB395*N(R395)</f>
        <v>0</v>
      </c>
      <c r="AO395" s="21" t="str">
        <f aca="false">IF(F395&lt;&gt;"Y","n/a",IF(AND(N395&lt;&gt;"",OR(Q395&lt;&gt;"",G395="Other / bench",G395="None"),U395&lt;&gt;""),"OK","Missing"))</f>
        <v>Missing</v>
      </c>
    </row>
    <row r="396" customFormat="false" ht="15" hidden="false" customHeight="false" outlineLevel="0" collapsed="false">
      <c r="A396" s="10" t="s">
        <v>291</v>
      </c>
      <c r="B396" s="10" t="s">
        <v>740</v>
      </c>
      <c r="C396" s="10" t="s">
        <v>437</v>
      </c>
      <c r="D396" s="10" t="s">
        <v>741</v>
      </c>
      <c r="E396" s="21" t="str">
        <f aca="false">IF(A396="","",A396&amp;"|"&amp;D396)</f>
        <v>Apixaban|Assay + related substances</v>
      </c>
      <c r="F396" s="16" t="s">
        <v>662</v>
      </c>
      <c r="G396" s="16" t="s">
        <v>147</v>
      </c>
      <c r="H396" s="16" t="s">
        <v>663</v>
      </c>
      <c r="I396" s="16" t="n">
        <v>1</v>
      </c>
      <c r="J396" s="16"/>
      <c r="K396" s="14"/>
      <c r="L396" s="14"/>
      <c r="M396" s="14"/>
      <c r="N396" s="14"/>
      <c r="O396" s="14"/>
      <c r="P396" s="18" t="n">
        <f aca="false">IF(N396="",0,IF(OR(M396="",O396=""),N396,(M396+4*N396+O396)/6))</f>
        <v>0</v>
      </c>
      <c r="Q396" s="14"/>
      <c r="R396" s="14"/>
      <c r="S396" s="14"/>
      <c r="T396" s="14"/>
      <c r="U396" s="16"/>
      <c r="V396" s="13"/>
      <c r="W396" s="16" t="s">
        <v>667</v>
      </c>
      <c r="X396" s="16"/>
      <c r="Y396" s="16"/>
      <c r="Z396" s="16"/>
      <c r="AA396" s="22" t="n">
        <f aca="false">IF(F396&lt;&gt;"Y",0,((SUMIF(Products!$E$5:$E$300,A396,Products!$F$5:$F$300)+SUMIF(RM_Lots!$A$5:$A$400,A396,RM_Lots!$D$5:$D$400))+IF(W396="Y",SUMIF(Products!$E$5:$E$300,A396,Products!$G$5:$G$300),0))*(1+N(V396)))</f>
        <v>0</v>
      </c>
      <c r="AB396" s="22" t="n">
        <f aca="false">IF(F396&lt;&gt;"Y",0,((SUMIF(Products!$E$5:$E$300,A396,Products!$K$5:$K$300)+SUMIF(RM_Lots!$A$5:$A$400,A396,RM_Lots!$F$5:$F$400))+IF(W396="Y",SUMIF(Products!$E$5:$E$300,A396,Products!$L$5:$L$300),0))*(1+N(V396)))</f>
        <v>0</v>
      </c>
      <c r="AC396" s="17" t="n">
        <f aca="false">IF(J396="",1,MAX(1,COUNTIFS($J$5:$J$863,J396,$F$5:$F$863,"Y")))</f>
        <v>1</v>
      </c>
      <c r="AD396" s="18" t="n">
        <f aca="false">(MAX(1,N(I396))*(P396+N(S396))+MAX(1,N(I396))*N(K396)/(MAX(1,N(U396))*AC396))*Settings!$B$9</f>
        <v>0</v>
      </c>
      <c r="AE396" s="18" t="n">
        <f aca="false">(MAX(1,N(I396))*N(Q396)+MAX(1,N(I396))*N(L396)/(MAX(1,N(U396))*AC396))*Settings!$B$8</f>
        <v>0</v>
      </c>
      <c r="AF396" s="18" t="n">
        <f aca="false">MAX(1,N(I396))*N(T396)</f>
        <v>0</v>
      </c>
      <c r="AG396" s="15" t="n">
        <f aca="false">AA396*N(AD396)</f>
        <v>0</v>
      </c>
      <c r="AH396" s="15" t="n">
        <f aca="false">AA396*N(AE396)</f>
        <v>0</v>
      </c>
      <c r="AI396" s="15" t="n">
        <f aca="false">AA396*N(AF396)</f>
        <v>0</v>
      </c>
      <c r="AJ396" s="15" t="n">
        <f aca="false">AA396*N(R396)</f>
        <v>0</v>
      </c>
      <c r="AK396" s="15" t="n">
        <f aca="false">AB396*N(AD396)</f>
        <v>0</v>
      </c>
      <c r="AL396" s="15" t="n">
        <f aca="false">AB396*N(AE396)</f>
        <v>0</v>
      </c>
      <c r="AM396" s="15" t="n">
        <f aca="false">AB396*N(AF396)</f>
        <v>0</v>
      </c>
      <c r="AN396" s="15" t="n">
        <f aca="false">AB396*N(R396)</f>
        <v>0</v>
      </c>
      <c r="AO396" s="21" t="str">
        <f aca="false">IF(F396&lt;&gt;"Y","n/a",IF(AND(N396&lt;&gt;"",OR(Q396&lt;&gt;"",G396="Other / bench",G396="None"),U396&lt;&gt;""),"OK","Missing"))</f>
        <v>Missing</v>
      </c>
    </row>
    <row r="397" customFormat="false" ht="15" hidden="false" customHeight="false" outlineLevel="0" collapsed="false">
      <c r="A397" s="10" t="s">
        <v>291</v>
      </c>
      <c r="B397" s="10" t="s">
        <v>740</v>
      </c>
      <c r="C397" s="10" t="s">
        <v>437</v>
      </c>
      <c r="D397" s="10" t="s">
        <v>742</v>
      </c>
      <c r="E397" s="21" t="str">
        <f aca="false">IF(A397="","",A397&amp;"|"&amp;D397)</f>
        <v>Apixaban|Other compendial tests (ID, LOD/KF, heavy metals...)</v>
      </c>
      <c r="F397" s="16" t="s">
        <v>662</v>
      </c>
      <c r="G397" s="16" t="s">
        <v>670</v>
      </c>
      <c r="H397" s="16" t="s">
        <v>672</v>
      </c>
      <c r="I397" s="16" t="n">
        <v>1</v>
      </c>
      <c r="J397" s="16"/>
      <c r="K397" s="14"/>
      <c r="L397" s="14"/>
      <c r="M397" s="14"/>
      <c r="N397" s="14"/>
      <c r="O397" s="14"/>
      <c r="P397" s="18" t="n">
        <f aca="false">IF(N397="",0,IF(OR(M397="",O397=""),N397,(M397+4*N397+O397)/6))</f>
        <v>0</v>
      </c>
      <c r="Q397" s="14"/>
      <c r="R397" s="14"/>
      <c r="S397" s="14"/>
      <c r="T397" s="14"/>
      <c r="U397" s="16"/>
      <c r="V397" s="13"/>
      <c r="W397" s="16" t="s">
        <v>667</v>
      </c>
      <c r="X397" s="16"/>
      <c r="Y397" s="16"/>
      <c r="Z397" s="16"/>
      <c r="AA397" s="22" t="n">
        <f aca="false">IF(F397&lt;&gt;"Y",0,((SUMIF(Products!$E$5:$E$300,A397,Products!$F$5:$F$300)+SUMIF(RM_Lots!$A$5:$A$400,A397,RM_Lots!$D$5:$D$400))+IF(W397="Y",SUMIF(Products!$E$5:$E$300,A397,Products!$G$5:$G$300),0))*(1+N(V397)))</f>
        <v>0</v>
      </c>
      <c r="AB397" s="22" t="n">
        <f aca="false">IF(F397&lt;&gt;"Y",0,((SUMIF(Products!$E$5:$E$300,A397,Products!$K$5:$K$300)+SUMIF(RM_Lots!$A$5:$A$400,A397,RM_Lots!$F$5:$F$400))+IF(W397="Y",SUMIF(Products!$E$5:$E$300,A397,Products!$L$5:$L$300),0))*(1+N(V397)))</f>
        <v>0</v>
      </c>
      <c r="AC397" s="17" t="n">
        <f aca="false">IF(J397="",1,MAX(1,COUNTIFS($J$5:$J$863,J397,$F$5:$F$863,"Y")))</f>
        <v>1</v>
      </c>
      <c r="AD397" s="18" t="n">
        <f aca="false">(MAX(1,N(I397))*(P397+N(S397))+MAX(1,N(I397))*N(K397)/(MAX(1,N(U397))*AC397))*Settings!$B$9</f>
        <v>0</v>
      </c>
      <c r="AE397" s="18" t="n">
        <f aca="false">(MAX(1,N(I397))*N(Q397)+MAX(1,N(I397))*N(L397)/(MAX(1,N(U397))*AC397))*Settings!$B$8</f>
        <v>0</v>
      </c>
      <c r="AF397" s="18" t="n">
        <f aca="false">MAX(1,N(I397))*N(T397)</f>
        <v>0</v>
      </c>
      <c r="AG397" s="15" t="n">
        <f aca="false">AA397*N(AD397)</f>
        <v>0</v>
      </c>
      <c r="AH397" s="15" t="n">
        <f aca="false">AA397*N(AE397)</f>
        <v>0</v>
      </c>
      <c r="AI397" s="15" t="n">
        <f aca="false">AA397*N(AF397)</f>
        <v>0</v>
      </c>
      <c r="AJ397" s="15" t="n">
        <f aca="false">AA397*N(R397)</f>
        <v>0</v>
      </c>
      <c r="AK397" s="15" t="n">
        <f aca="false">AB397*N(AD397)</f>
        <v>0</v>
      </c>
      <c r="AL397" s="15" t="n">
        <f aca="false">AB397*N(AE397)</f>
        <v>0</v>
      </c>
      <c r="AM397" s="15" t="n">
        <f aca="false">AB397*N(AF397)</f>
        <v>0</v>
      </c>
      <c r="AN397" s="15" t="n">
        <f aca="false">AB397*N(R397)</f>
        <v>0</v>
      </c>
      <c r="AO397" s="21" t="str">
        <f aca="false">IF(F397&lt;&gt;"Y","n/a",IF(AND(N397&lt;&gt;"",OR(Q397&lt;&gt;"",G397="Other / bench",G397="None"),U397&lt;&gt;""),"OK","Missing"))</f>
        <v>Missing</v>
      </c>
    </row>
    <row r="398" customFormat="false" ht="15" hidden="false" customHeight="false" outlineLevel="0" collapsed="false">
      <c r="A398" s="10" t="s">
        <v>440</v>
      </c>
      <c r="B398" s="10" t="s">
        <v>740</v>
      </c>
      <c r="C398" s="10" t="s">
        <v>437</v>
      </c>
      <c r="D398" s="10" t="s">
        <v>741</v>
      </c>
      <c r="E398" s="21" t="str">
        <f aca="false">IF(A398="","",A398&amp;"|"&amp;D398)</f>
        <v>Artichoke Dry Extract 25:1|Assay + related substances</v>
      </c>
      <c r="F398" s="16" t="s">
        <v>662</v>
      </c>
      <c r="G398" s="16" t="s">
        <v>147</v>
      </c>
      <c r="H398" s="16" t="s">
        <v>663</v>
      </c>
      <c r="I398" s="16" t="n">
        <v>1</v>
      </c>
      <c r="J398" s="16"/>
      <c r="K398" s="14"/>
      <c r="L398" s="14"/>
      <c r="M398" s="14"/>
      <c r="N398" s="14"/>
      <c r="O398" s="14"/>
      <c r="P398" s="18" t="n">
        <f aca="false">IF(N398="",0,IF(OR(M398="",O398=""),N398,(M398+4*N398+O398)/6))</f>
        <v>0</v>
      </c>
      <c r="Q398" s="14"/>
      <c r="R398" s="14"/>
      <c r="S398" s="14"/>
      <c r="T398" s="14"/>
      <c r="U398" s="16"/>
      <c r="V398" s="13"/>
      <c r="W398" s="16" t="s">
        <v>667</v>
      </c>
      <c r="X398" s="16"/>
      <c r="Y398" s="16"/>
      <c r="Z398" s="16"/>
      <c r="AA398" s="22" t="n">
        <f aca="false">IF(F398&lt;&gt;"Y",0,((SUMIF(Products!$E$5:$E$300,A398,Products!$F$5:$F$300)+SUMIF(RM_Lots!$A$5:$A$400,A398,RM_Lots!$D$5:$D$400))+IF(W398="Y",SUMIF(Products!$E$5:$E$300,A398,Products!$G$5:$G$300),0))*(1+N(V398)))</f>
        <v>0</v>
      </c>
      <c r="AB398" s="22" t="n">
        <f aca="false">IF(F398&lt;&gt;"Y",0,((SUMIF(Products!$E$5:$E$300,A398,Products!$K$5:$K$300)+SUMIF(RM_Lots!$A$5:$A$400,A398,RM_Lots!$F$5:$F$400))+IF(W398="Y",SUMIF(Products!$E$5:$E$300,A398,Products!$L$5:$L$300),0))*(1+N(V398)))</f>
        <v>0</v>
      </c>
      <c r="AC398" s="17" t="n">
        <f aca="false">IF(J398="",1,MAX(1,COUNTIFS($J$5:$J$863,J398,$F$5:$F$863,"Y")))</f>
        <v>1</v>
      </c>
      <c r="AD398" s="18" t="n">
        <f aca="false">(MAX(1,N(I398))*(P398+N(S398))+MAX(1,N(I398))*N(K398)/(MAX(1,N(U398))*AC398))*Settings!$B$9</f>
        <v>0</v>
      </c>
      <c r="AE398" s="18" t="n">
        <f aca="false">(MAX(1,N(I398))*N(Q398)+MAX(1,N(I398))*N(L398)/(MAX(1,N(U398))*AC398))*Settings!$B$8</f>
        <v>0</v>
      </c>
      <c r="AF398" s="18" t="n">
        <f aca="false">MAX(1,N(I398))*N(T398)</f>
        <v>0</v>
      </c>
      <c r="AG398" s="15" t="n">
        <f aca="false">AA398*N(AD398)</f>
        <v>0</v>
      </c>
      <c r="AH398" s="15" t="n">
        <f aca="false">AA398*N(AE398)</f>
        <v>0</v>
      </c>
      <c r="AI398" s="15" t="n">
        <f aca="false">AA398*N(AF398)</f>
        <v>0</v>
      </c>
      <c r="AJ398" s="15" t="n">
        <f aca="false">AA398*N(R398)</f>
        <v>0</v>
      </c>
      <c r="AK398" s="15" t="n">
        <f aca="false">AB398*N(AD398)</f>
        <v>0</v>
      </c>
      <c r="AL398" s="15" t="n">
        <f aca="false">AB398*N(AE398)</f>
        <v>0</v>
      </c>
      <c r="AM398" s="15" t="n">
        <f aca="false">AB398*N(AF398)</f>
        <v>0</v>
      </c>
      <c r="AN398" s="15" t="n">
        <f aca="false">AB398*N(R398)</f>
        <v>0</v>
      </c>
      <c r="AO398" s="21" t="str">
        <f aca="false">IF(F398&lt;&gt;"Y","n/a",IF(AND(N398&lt;&gt;"",OR(Q398&lt;&gt;"",G398="Other / bench",G398="None"),U398&lt;&gt;""),"OK","Missing"))</f>
        <v>Missing</v>
      </c>
    </row>
    <row r="399" customFormat="false" ht="15" hidden="false" customHeight="false" outlineLevel="0" collapsed="false">
      <c r="A399" s="10" t="s">
        <v>440</v>
      </c>
      <c r="B399" s="10" t="s">
        <v>740</v>
      </c>
      <c r="C399" s="10" t="s">
        <v>437</v>
      </c>
      <c r="D399" s="10" t="s">
        <v>742</v>
      </c>
      <c r="E399" s="21" t="str">
        <f aca="false">IF(A399="","",A399&amp;"|"&amp;D399)</f>
        <v>Artichoke Dry Extract 25:1|Other compendial tests (ID, LOD/KF, heavy metals...)</v>
      </c>
      <c r="F399" s="16" t="s">
        <v>662</v>
      </c>
      <c r="G399" s="16" t="s">
        <v>670</v>
      </c>
      <c r="H399" s="16" t="s">
        <v>672</v>
      </c>
      <c r="I399" s="16" t="n">
        <v>1</v>
      </c>
      <c r="J399" s="16"/>
      <c r="K399" s="14"/>
      <c r="L399" s="14"/>
      <c r="M399" s="14"/>
      <c r="N399" s="14"/>
      <c r="O399" s="14"/>
      <c r="P399" s="18" t="n">
        <f aca="false">IF(N399="",0,IF(OR(M399="",O399=""),N399,(M399+4*N399+O399)/6))</f>
        <v>0</v>
      </c>
      <c r="Q399" s="14"/>
      <c r="R399" s="14"/>
      <c r="S399" s="14"/>
      <c r="T399" s="14"/>
      <c r="U399" s="16"/>
      <c r="V399" s="13"/>
      <c r="W399" s="16" t="s">
        <v>667</v>
      </c>
      <c r="X399" s="16"/>
      <c r="Y399" s="16"/>
      <c r="Z399" s="16"/>
      <c r="AA399" s="22" t="n">
        <f aca="false">IF(F399&lt;&gt;"Y",0,((SUMIF(Products!$E$5:$E$300,A399,Products!$F$5:$F$300)+SUMIF(RM_Lots!$A$5:$A$400,A399,RM_Lots!$D$5:$D$400))+IF(W399="Y",SUMIF(Products!$E$5:$E$300,A399,Products!$G$5:$G$300),0))*(1+N(V399)))</f>
        <v>0</v>
      </c>
      <c r="AB399" s="22" t="n">
        <f aca="false">IF(F399&lt;&gt;"Y",0,((SUMIF(Products!$E$5:$E$300,A399,Products!$K$5:$K$300)+SUMIF(RM_Lots!$A$5:$A$400,A399,RM_Lots!$F$5:$F$400))+IF(W399="Y",SUMIF(Products!$E$5:$E$300,A399,Products!$L$5:$L$300),0))*(1+N(V399)))</f>
        <v>0</v>
      </c>
      <c r="AC399" s="17" t="n">
        <f aca="false">IF(J399="",1,MAX(1,COUNTIFS($J$5:$J$863,J399,$F$5:$F$863,"Y")))</f>
        <v>1</v>
      </c>
      <c r="AD399" s="18" t="n">
        <f aca="false">(MAX(1,N(I399))*(P399+N(S399))+MAX(1,N(I399))*N(K399)/(MAX(1,N(U399))*AC399))*Settings!$B$9</f>
        <v>0</v>
      </c>
      <c r="AE399" s="18" t="n">
        <f aca="false">(MAX(1,N(I399))*N(Q399)+MAX(1,N(I399))*N(L399)/(MAX(1,N(U399))*AC399))*Settings!$B$8</f>
        <v>0</v>
      </c>
      <c r="AF399" s="18" t="n">
        <f aca="false">MAX(1,N(I399))*N(T399)</f>
        <v>0</v>
      </c>
      <c r="AG399" s="15" t="n">
        <f aca="false">AA399*N(AD399)</f>
        <v>0</v>
      </c>
      <c r="AH399" s="15" t="n">
        <f aca="false">AA399*N(AE399)</f>
        <v>0</v>
      </c>
      <c r="AI399" s="15" t="n">
        <f aca="false">AA399*N(AF399)</f>
        <v>0</v>
      </c>
      <c r="AJ399" s="15" t="n">
        <f aca="false">AA399*N(R399)</f>
        <v>0</v>
      </c>
      <c r="AK399" s="15" t="n">
        <f aca="false">AB399*N(AD399)</f>
        <v>0</v>
      </c>
      <c r="AL399" s="15" t="n">
        <f aca="false">AB399*N(AE399)</f>
        <v>0</v>
      </c>
      <c r="AM399" s="15" t="n">
        <f aca="false">AB399*N(AF399)</f>
        <v>0</v>
      </c>
      <c r="AN399" s="15" t="n">
        <f aca="false">AB399*N(R399)</f>
        <v>0</v>
      </c>
      <c r="AO399" s="21" t="str">
        <f aca="false">IF(F399&lt;&gt;"Y","n/a",IF(AND(N399&lt;&gt;"",OR(Q399&lt;&gt;"",G399="Other / bench",G399="None"),U399&lt;&gt;""),"OK","Missing"))</f>
        <v>Missing</v>
      </c>
    </row>
    <row r="400" customFormat="false" ht="15" hidden="false" customHeight="false" outlineLevel="0" collapsed="false">
      <c r="A400" s="10" t="s">
        <v>441</v>
      </c>
      <c r="B400" s="10" t="s">
        <v>740</v>
      </c>
      <c r="C400" s="10" t="s">
        <v>437</v>
      </c>
      <c r="D400" s="10" t="s">
        <v>741</v>
      </c>
      <c r="E400" s="21" t="str">
        <f aca="false">IF(A400="","",A400&amp;"|"&amp;D400)</f>
        <v>Ascorbic Acid (Vitamin C)|Assay + related substances</v>
      </c>
      <c r="F400" s="16" t="s">
        <v>662</v>
      </c>
      <c r="G400" s="16" t="s">
        <v>147</v>
      </c>
      <c r="H400" s="16" t="s">
        <v>663</v>
      </c>
      <c r="I400" s="16" t="n">
        <v>1</v>
      </c>
      <c r="J400" s="16"/>
      <c r="K400" s="14"/>
      <c r="L400" s="14"/>
      <c r="M400" s="14"/>
      <c r="N400" s="14"/>
      <c r="O400" s="14"/>
      <c r="P400" s="18" t="n">
        <f aca="false">IF(N400="",0,IF(OR(M400="",O400=""),N400,(M400+4*N400+O400)/6))</f>
        <v>0</v>
      </c>
      <c r="Q400" s="14"/>
      <c r="R400" s="14"/>
      <c r="S400" s="14"/>
      <c r="T400" s="14"/>
      <c r="U400" s="16"/>
      <c r="V400" s="13"/>
      <c r="W400" s="16" t="s">
        <v>667</v>
      </c>
      <c r="X400" s="16"/>
      <c r="Y400" s="16"/>
      <c r="Z400" s="16"/>
      <c r="AA400" s="22" t="n">
        <f aca="false">IF(F400&lt;&gt;"Y",0,((SUMIF(Products!$E$5:$E$300,A400,Products!$F$5:$F$300)+SUMIF(RM_Lots!$A$5:$A$400,A400,RM_Lots!$D$5:$D$400))+IF(W400="Y",SUMIF(Products!$E$5:$E$300,A400,Products!$G$5:$G$300),0))*(1+N(V400)))</f>
        <v>0</v>
      </c>
      <c r="AB400" s="22" t="n">
        <f aca="false">IF(F400&lt;&gt;"Y",0,((SUMIF(Products!$E$5:$E$300,A400,Products!$K$5:$K$300)+SUMIF(RM_Lots!$A$5:$A$400,A400,RM_Lots!$F$5:$F$400))+IF(W400="Y",SUMIF(Products!$E$5:$E$300,A400,Products!$L$5:$L$300),0))*(1+N(V400)))</f>
        <v>0</v>
      </c>
      <c r="AC400" s="17" t="n">
        <f aca="false">IF(J400="",1,MAX(1,COUNTIFS($J$5:$J$863,J400,$F$5:$F$863,"Y")))</f>
        <v>1</v>
      </c>
      <c r="AD400" s="18" t="n">
        <f aca="false">(MAX(1,N(I400))*(P400+N(S400))+MAX(1,N(I400))*N(K400)/(MAX(1,N(U400))*AC400))*Settings!$B$9</f>
        <v>0</v>
      </c>
      <c r="AE400" s="18" t="n">
        <f aca="false">(MAX(1,N(I400))*N(Q400)+MAX(1,N(I400))*N(L400)/(MAX(1,N(U400))*AC400))*Settings!$B$8</f>
        <v>0</v>
      </c>
      <c r="AF400" s="18" t="n">
        <f aca="false">MAX(1,N(I400))*N(T400)</f>
        <v>0</v>
      </c>
      <c r="AG400" s="15" t="n">
        <f aca="false">AA400*N(AD400)</f>
        <v>0</v>
      </c>
      <c r="AH400" s="15" t="n">
        <f aca="false">AA400*N(AE400)</f>
        <v>0</v>
      </c>
      <c r="AI400" s="15" t="n">
        <f aca="false">AA400*N(AF400)</f>
        <v>0</v>
      </c>
      <c r="AJ400" s="15" t="n">
        <f aca="false">AA400*N(R400)</f>
        <v>0</v>
      </c>
      <c r="AK400" s="15" t="n">
        <f aca="false">AB400*N(AD400)</f>
        <v>0</v>
      </c>
      <c r="AL400" s="15" t="n">
        <f aca="false">AB400*N(AE400)</f>
        <v>0</v>
      </c>
      <c r="AM400" s="15" t="n">
        <f aca="false">AB400*N(AF400)</f>
        <v>0</v>
      </c>
      <c r="AN400" s="15" t="n">
        <f aca="false">AB400*N(R400)</f>
        <v>0</v>
      </c>
      <c r="AO400" s="21" t="str">
        <f aca="false">IF(F400&lt;&gt;"Y","n/a",IF(AND(N400&lt;&gt;"",OR(Q400&lt;&gt;"",G400="Other / bench",G400="None"),U400&lt;&gt;""),"OK","Missing"))</f>
        <v>Missing</v>
      </c>
    </row>
    <row r="401" customFormat="false" ht="15" hidden="false" customHeight="false" outlineLevel="0" collapsed="false">
      <c r="A401" s="10" t="s">
        <v>441</v>
      </c>
      <c r="B401" s="10" t="s">
        <v>740</v>
      </c>
      <c r="C401" s="10" t="s">
        <v>437</v>
      </c>
      <c r="D401" s="10" t="s">
        <v>742</v>
      </c>
      <c r="E401" s="21" t="str">
        <f aca="false">IF(A401="","",A401&amp;"|"&amp;D401)</f>
        <v>Ascorbic Acid (Vitamin C)|Other compendial tests (ID, LOD/KF, heavy metals...)</v>
      </c>
      <c r="F401" s="16" t="s">
        <v>662</v>
      </c>
      <c r="G401" s="16" t="s">
        <v>670</v>
      </c>
      <c r="H401" s="16" t="s">
        <v>672</v>
      </c>
      <c r="I401" s="16" t="n">
        <v>1</v>
      </c>
      <c r="J401" s="16"/>
      <c r="K401" s="14"/>
      <c r="L401" s="14"/>
      <c r="M401" s="14"/>
      <c r="N401" s="14"/>
      <c r="O401" s="14"/>
      <c r="P401" s="18" t="n">
        <f aca="false">IF(N401="",0,IF(OR(M401="",O401=""),N401,(M401+4*N401+O401)/6))</f>
        <v>0</v>
      </c>
      <c r="Q401" s="14"/>
      <c r="R401" s="14"/>
      <c r="S401" s="14"/>
      <c r="T401" s="14"/>
      <c r="U401" s="16"/>
      <c r="V401" s="13"/>
      <c r="W401" s="16" t="s">
        <v>667</v>
      </c>
      <c r="X401" s="16"/>
      <c r="Y401" s="16"/>
      <c r="Z401" s="16"/>
      <c r="AA401" s="22" t="n">
        <f aca="false">IF(F401&lt;&gt;"Y",0,((SUMIF(Products!$E$5:$E$300,A401,Products!$F$5:$F$300)+SUMIF(RM_Lots!$A$5:$A$400,A401,RM_Lots!$D$5:$D$400))+IF(W401="Y",SUMIF(Products!$E$5:$E$300,A401,Products!$G$5:$G$300),0))*(1+N(V401)))</f>
        <v>0</v>
      </c>
      <c r="AB401" s="22" t="n">
        <f aca="false">IF(F401&lt;&gt;"Y",0,((SUMIF(Products!$E$5:$E$300,A401,Products!$K$5:$K$300)+SUMIF(RM_Lots!$A$5:$A$400,A401,RM_Lots!$F$5:$F$400))+IF(W401="Y",SUMIF(Products!$E$5:$E$300,A401,Products!$L$5:$L$300),0))*(1+N(V401)))</f>
        <v>0</v>
      </c>
      <c r="AC401" s="17" t="n">
        <f aca="false">IF(J401="",1,MAX(1,COUNTIFS($J$5:$J$863,J401,$F$5:$F$863,"Y")))</f>
        <v>1</v>
      </c>
      <c r="AD401" s="18" t="n">
        <f aca="false">(MAX(1,N(I401))*(P401+N(S401))+MAX(1,N(I401))*N(K401)/(MAX(1,N(U401))*AC401))*Settings!$B$9</f>
        <v>0</v>
      </c>
      <c r="AE401" s="18" t="n">
        <f aca="false">(MAX(1,N(I401))*N(Q401)+MAX(1,N(I401))*N(L401)/(MAX(1,N(U401))*AC401))*Settings!$B$8</f>
        <v>0</v>
      </c>
      <c r="AF401" s="18" t="n">
        <f aca="false">MAX(1,N(I401))*N(T401)</f>
        <v>0</v>
      </c>
      <c r="AG401" s="15" t="n">
        <f aca="false">AA401*N(AD401)</f>
        <v>0</v>
      </c>
      <c r="AH401" s="15" t="n">
        <f aca="false">AA401*N(AE401)</f>
        <v>0</v>
      </c>
      <c r="AI401" s="15" t="n">
        <f aca="false">AA401*N(AF401)</f>
        <v>0</v>
      </c>
      <c r="AJ401" s="15" t="n">
        <f aca="false">AA401*N(R401)</f>
        <v>0</v>
      </c>
      <c r="AK401" s="15" t="n">
        <f aca="false">AB401*N(AD401)</f>
        <v>0</v>
      </c>
      <c r="AL401" s="15" t="n">
        <f aca="false">AB401*N(AE401)</f>
        <v>0</v>
      </c>
      <c r="AM401" s="15" t="n">
        <f aca="false">AB401*N(AF401)</f>
        <v>0</v>
      </c>
      <c r="AN401" s="15" t="n">
        <f aca="false">AB401*N(R401)</f>
        <v>0</v>
      </c>
      <c r="AO401" s="21" t="str">
        <f aca="false">IF(F401&lt;&gt;"Y","n/a",IF(AND(N401&lt;&gt;"",OR(Q401&lt;&gt;"",G401="Other / bench",G401="None"),U401&lt;&gt;""),"OK","Missing"))</f>
        <v>Missing</v>
      </c>
    </row>
    <row r="402" customFormat="false" ht="15" hidden="false" customHeight="false" outlineLevel="0" collapsed="false">
      <c r="A402" s="10" t="s">
        <v>346</v>
      </c>
      <c r="B402" s="10" t="s">
        <v>740</v>
      </c>
      <c r="C402" s="10" t="s">
        <v>437</v>
      </c>
      <c r="D402" s="10" t="s">
        <v>741</v>
      </c>
      <c r="E402" s="21" t="str">
        <f aca="false">IF(A402="","",A402&amp;"|"&amp;D402)</f>
        <v>Ascorbic Acid Coated 97%|Assay + related substances</v>
      </c>
      <c r="F402" s="16" t="s">
        <v>662</v>
      </c>
      <c r="G402" s="16" t="s">
        <v>147</v>
      </c>
      <c r="H402" s="16" t="s">
        <v>663</v>
      </c>
      <c r="I402" s="16" t="n">
        <v>1</v>
      </c>
      <c r="J402" s="16"/>
      <c r="K402" s="14"/>
      <c r="L402" s="14"/>
      <c r="M402" s="14"/>
      <c r="N402" s="14"/>
      <c r="O402" s="14"/>
      <c r="P402" s="18" t="n">
        <f aca="false">IF(N402="",0,IF(OR(M402="",O402=""),N402,(M402+4*N402+O402)/6))</f>
        <v>0</v>
      </c>
      <c r="Q402" s="14"/>
      <c r="R402" s="14"/>
      <c r="S402" s="14"/>
      <c r="T402" s="14"/>
      <c r="U402" s="16"/>
      <c r="V402" s="13"/>
      <c r="W402" s="16" t="s">
        <v>667</v>
      </c>
      <c r="X402" s="16"/>
      <c r="Y402" s="16"/>
      <c r="Z402" s="16"/>
      <c r="AA402" s="22" t="n">
        <f aca="false">IF(F402&lt;&gt;"Y",0,((SUMIF(Products!$E$5:$E$300,A402,Products!$F$5:$F$300)+SUMIF(RM_Lots!$A$5:$A$400,A402,RM_Lots!$D$5:$D$400))+IF(W402="Y",SUMIF(Products!$E$5:$E$300,A402,Products!$G$5:$G$300),0))*(1+N(V402)))</f>
        <v>0</v>
      </c>
      <c r="AB402" s="22" t="n">
        <f aca="false">IF(F402&lt;&gt;"Y",0,((SUMIF(Products!$E$5:$E$300,A402,Products!$K$5:$K$300)+SUMIF(RM_Lots!$A$5:$A$400,A402,RM_Lots!$F$5:$F$400))+IF(W402="Y",SUMIF(Products!$E$5:$E$300,A402,Products!$L$5:$L$300),0))*(1+N(V402)))</f>
        <v>0</v>
      </c>
      <c r="AC402" s="17" t="n">
        <f aca="false">IF(J402="",1,MAX(1,COUNTIFS($J$5:$J$863,J402,$F$5:$F$863,"Y")))</f>
        <v>1</v>
      </c>
      <c r="AD402" s="18" t="n">
        <f aca="false">(MAX(1,N(I402))*(P402+N(S402))+MAX(1,N(I402))*N(K402)/(MAX(1,N(U402))*AC402))*Settings!$B$9</f>
        <v>0</v>
      </c>
      <c r="AE402" s="18" t="n">
        <f aca="false">(MAX(1,N(I402))*N(Q402)+MAX(1,N(I402))*N(L402)/(MAX(1,N(U402))*AC402))*Settings!$B$8</f>
        <v>0</v>
      </c>
      <c r="AF402" s="18" t="n">
        <f aca="false">MAX(1,N(I402))*N(T402)</f>
        <v>0</v>
      </c>
      <c r="AG402" s="15" t="n">
        <f aca="false">AA402*N(AD402)</f>
        <v>0</v>
      </c>
      <c r="AH402" s="15" t="n">
        <f aca="false">AA402*N(AE402)</f>
        <v>0</v>
      </c>
      <c r="AI402" s="15" t="n">
        <f aca="false">AA402*N(AF402)</f>
        <v>0</v>
      </c>
      <c r="AJ402" s="15" t="n">
        <f aca="false">AA402*N(R402)</f>
        <v>0</v>
      </c>
      <c r="AK402" s="15" t="n">
        <f aca="false">AB402*N(AD402)</f>
        <v>0</v>
      </c>
      <c r="AL402" s="15" t="n">
        <f aca="false">AB402*N(AE402)</f>
        <v>0</v>
      </c>
      <c r="AM402" s="15" t="n">
        <f aca="false">AB402*N(AF402)</f>
        <v>0</v>
      </c>
      <c r="AN402" s="15" t="n">
        <f aca="false">AB402*N(R402)</f>
        <v>0</v>
      </c>
      <c r="AO402" s="21" t="str">
        <f aca="false">IF(F402&lt;&gt;"Y","n/a",IF(AND(N402&lt;&gt;"",OR(Q402&lt;&gt;"",G402="Other / bench",G402="None"),U402&lt;&gt;""),"OK","Missing"))</f>
        <v>Missing</v>
      </c>
    </row>
    <row r="403" customFormat="false" ht="15" hidden="false" customHeight="false" outlineLevel="0" collapsed="false">
      <c r="A403" s="10" t="s">
        <v>346</v>
      </c>
      <c r="B403" s="10" t="s">
        <v>740</v>
      </c>
      <c r="C403" s="10" t="s">
        <v>437</v>
      </c>
      <c r="D403" s="10" t="s">
        <v>742</v>
      </c>
      <c r="E403" s="21" t="str">
        <f aca="false">IF(A403="","",A403&amp;"|"&amp;D403)</f>
        <v>Ascorbic Acid Coated 97%|Other compendial tests (ID, LOD/KF, heavy metals...)</v>
      </c>
      <c r="F403" s="16" t="s">
        <v>662</v>
      </c>
      <c r="G403" s="16" t="s">
        <v>670</v>
      </c>
      <c r="H403" s="16" t="s">
        <v>672</v>
      </c>
      <c r="I403" s="16" t="n">
        <v>1</v>
      </c>
      <c r="J403" s="16"/>
      <c r="K403" s="14"/>
      <c r="L403" s="14"/>
      <c r="M403" s="14"/>
      <c r="N403" s="14"/>
      <c r="O403" s="14"/>
      <c r="P403" s="18" t="n">
        <f aca="false">IF(N403="",0,IF(OR(M403="",O403=""),N403,(M403+4*N403+O403)/6))</f>
        <v>0</v>
      </c>
      <c r="Q403" s="14"/>
      <c r="R403" s="14"/>
      <c r="S403" s="14"/>
      <c r="T403" s="14"/>
      <c r="U403" s="16"/>
      <c r="V403" s="13"/>
      <c r="W403" s="16" t="s">
        <v>667</v>
      </c>
      <c r="X403" s="16"/>
      <c r="Y403" s="16"/>
      <c r="Z403" s="16"/>
      <c r="AA403" s="22" t="n">
        <f aca="false">IF(F403&lt;&gt;"Y",0,((SUMIF(Products!$E$5:$E$300,A403,Products!$F$5:$F$300)+SUMIF(RM_Lots!$A$5:$A$400,A403,RM_Lots!$D$5:$D$400))+IF(W403="Y",SUMIF(Products!$E$5:$E$300,A403,Products!$G$5:$G$300),0))*(1+N(V403)))</f>
        <v>0</v>
      </c>
      <c r="AB403" s="22" t="n">
        <f aca="false">IF(F403&lt;&gt;"Y",0,((SUMIF(Products!$E$5:$E$300,A403,Products!$K$5:$K$300)+SUMIF(RM_Lots!$A$5:$A$400,A403,RM_Lots!$F$5:$F$400))+IF(W403="Y",SUMIF(Products!$E$5:$E$300,A403,Products!$L$5:$L$300),0))*(1+N(V403)))</f>
        <v>0</v>
      </c>
      <c r="AC403" s="17" t="n">
        <f aca="false">IF(J403="",1,MAX(1,COUNTIFS($J$5:$J$863,J403,$F$5:$F$863,"Y")))</f>
        <v>1</v>
      </c>
      <c r="AD403" s="18" t="n">
        <f aca="false">(MAX(1,N(I403))*(P403+N(S403))+MAX(1,N(I403))*N(K403)/(MAX(1,N(U403))*AC403))*Settings!$B$9</f>
        <v>0</v>
      </c>
      <c r="AE403" s="18" t="n">
        <f aca="false">(MAX(1,N(I403))*N(Q403)+MAX(1,N(I403))*N(L403)/(MAX(1,N(U403))*AC403))*Settings!$B$8</f>
        <v>0</v>
      </c>
      <c r="AF403" s="18" t="n">
        <f aca="false">MAX(1,N(I403))*N(T403)</f>
        <v>0</v>
      </c>
      <c r="AG403" s="15" t="n">
        <f aca="false">AA403*N(AD403)</f>
        <v>0</v>
      </c>
      <c r="AH403" s="15" t="n">
        <f aca="false">AA403*N(AE403)</f>
        <v>0</v>
      </c>
      <c r="AI403" s="15" t="n">
        <f aca="false">AA403*N(AF403)</f>
        <v>0</v>
      </c>
      <c r="AJ403" s="15" t="n">
        <f aca="false">AA403*N(R403)</f>
        <v>0</v>
      </c>
      <c r="AK403" s="15" t="n">
        <f aca="false">AB403*N(AD403)</f>
        <v>0</v>
      </c>
      <c r="AL403" s="15" t="n">
        <f aca="false">AB403*N(AE403)</f>
        <v>0</v>
      </c>
      <c r="AM403" s="15" t="n">
        <f aca="false">AB403*N(AF403)</f>
        <v>0</v>
      </c>
      <c r="AN403" s="15" t="n">
        <f aca="false">AB403*N(R403)</f>
        <v>0</v>
      </c>
      <c r="AO403" s="21" t="str">
        <f aca="false">IF(F403&lt;&gt;"Y","n/a",IF(AND(N403&lt;&gt;"",OR(Q403&lt;&gt;"",G403="Other / bench",G403="None"),U403&lt;&gt;""),"OK","Missing"))</f>
        <v>Missing</v>
      </c>
    </row>
    <row r="404" customFormat="false" ht="15" hidden="false" customHeight="false" outlineLevel="0" collapsed="false">
      <c r="A404" s="10" t="s">
        <v>442</v>
      </c>
      <c r="B404" s="10" t="s">
        <v>740</v>
      </c>
      <c r="C404" s="10" t="s">
        <v>437</v>
      </c>
      <c r="D404" s="10" t="s">
        <v>741</v>
      </c>
      <c r="E404" s="21" t="str">
        <f aca="false">IF(A404="","",A404&amp;"|"&amp;D404)</f>
        <v>Azelastine Hydrochloride|Assay + related substances</v>
      </c>
      <c r="F404" s="16" t="s">
        <v>662</v>
      </c>
      <c r="G404" s="16" t="s">
        <v>147</v>
      </c>
      <c r="H404" s="16" t="s">
        <v>663</v>
      </c>
      <c r="I404" s="16" t="n">
        <v>1</v>
      </c>
      <c r="J404" s="16"/>
      <c r="K404" s="14"/>
      <c r="L404" s="14"/>
      <c r="M404" s="14"/>
      <c r="N404" s="14"/>
      <c r="O404" s="14"/>
      <c r="P404" s="18" t="n">
        <f aca="false">IF(N404="",0,IF(OR(M404="",O404=""),N404,(M404+4*N404+O404)/6))</f>
        <v>0</v>
      </c>
      <c r="Q404" s="14"/>
      <c r="R404" s="14"/>
      <c r="S404" s="14"/>
      <c r="T404" s="14"/>
      <c r="U404" s="16"/>
      <c r="V404" s="13"/>
      <c r="W404" s="16" t="s">
        <v>667</v>
      </c>
      <c r="X404" s="16"/>
      <c r="Y404" s="16"/>
      <c r="Z404" s="16"/>
      <c r="AA404" s="22" t="n">
        <f aca="false">IF(F404&lt;&gt;"Y",0,((SUMIF(Products!$E$5:$E$300,A404,Products!$F$5:$F$300)+SUMIF(RM_Lots!$A$5:$A$400,A404,RM_Lots!$D$5:$D$400))+IF(W404="Y",SUMIF(Products!$E$5:$E$300,A404,Products!$G$5:$G$300),0))*(1+N(V404)))</f>
        <v>0</v>
      </c>
      <c r="AB404" s="22" t="n">
        <f aca="false">IF(F404&lt;&gt;"Y",0,((SUMIF(Products!$E$5:$E$300,A404,Products!$K$5:$K$300)+SUMIF(RM_Lots!$A$5:$A$400,A404,RM_Lots!$F$5:$F$400))+IF(W404="Y",SUMIF(Products!$E$5:$E$300,A404,Products!$L$5:$L$300),0))*(1+N(V404)))</f>
        <v>0</v>
      </c>
      <c r="AC404" s="17" t="n">
        <f aca="false">IF(J404="",1,MAX(1,COUNTIFS($J$5:$J$863,J404,$F$5:$F$863,"Y")))</f>
        <v>1</v>
      </c>
      <c r="AD404" s="18" t="n">
        <f aca="false">(MAX(1,N(I404))*(P404+N(S404))+MAX(1,N(I404))*N(K404)/(MAX(1,N(U404))*AC404))*Settings!$B$9</f>
        <v>0</v>
      </c>
      <c r="AE404" s="18" t="n">
        <f aca="false">(MAX(1,N(I404))*N(Q404)+MAX(1,N(I404))*N(L404)/(MAX(1,N(U404))*AC404))*Settings!$B$8</f>
        <v>0</v>
      </c>
      <c r="AF404" s="18" t="n">
        <f aca="false">MAX(1,N(I404))*N(T404)</f>
        <v>0</v>
      </c>
      <c r="AG404" s="15" t="n">
        <f aca="false">AA404*N(AD404)</f>
        <v>0</v>
      </c>
      <c r="AH404" s="15" t="n">
        <f aca="false">AA404*N(AE404)</f>
        <v>0</v>
      </c>
      <c r="AI404" s="15" t="n">
        <f aca="false">AA404*N(AF404)</f>
        <v>0</v>
      </c>
      <c r="AJ404" s="15" t="n">
        <f aca="false">AA404*N(R404)</f>
        <v>0</v>
      </c>
      <c r="AK404" s="15" t="n">
        <f aca="false">AB404*N(AD404)</f>
        <v>0</v>
      </c>
      <c r="AL404" s="15" t="n">
        <f aca="false">AB404*N(AE404)</f>
        <v>0</v>
      </c>
      <c r="AM404" s="15" t="n">
        <f aca="false">AB404*N(AF404)</f>
        <v>0</v>
      </c>
      <c r="AN404" s="15" t="n">
        <f aca="false">AB404*N(R404)</f>
        <v>0</v>
      </c>
      <c r="AO404" s="21" t="str">
        <f aca="false">IF(F404&lt;&gt;"Y","n/a",IF(AND(N404&lt;&gt;"",OR(Q404&lt;&gt;"",G404="Other / bench",G404="None"),U404&lt;&gt;""),"OK","Missing"))</f>
        <v>Missing</v>
      </c>
    </row>
    <row r="405" customFormat="false" ht="15" hidden="false" customHeight="false" outlineLevel="0" collapsed="false">
      <c r="A405" s="10" t="s">
        <v>442</v>
      </c>
      <c r="B405" s="10" t="s">
        <v>740</v>
      </c>
      <c r="C405" s="10" t="s">
        <v>437</v>
      </c>
      <c r="D405" s="10" t="s">
        <v>742</v>
      </c>
      <c r="E405" s="21" t="str">
        <f aca="false">IF(A405="","",A405&amp;"|"&amp;D405)</f>
        <v>Azelastine Hydrochloride|Other compendial tests (ID, LOD/KF, heavy metals...)</v>
      </c>
      <c r="F405" s="16" t="s">
        <v>662</v>
      </c>
      <c r="G405" s="16" t="s">
        <v>670</v>
      </c>
      <c r="H405" s="16" t="s">
        <v>672</v>
      </c>
      <c r="I405" s="16" t="n">
        <v>1</v>
      </c>
      <c r="J405" s="16"/>
      <c r="K405" s="14"/>
      <c r="L405" s="14"/>
      <c r="M405" s="14"/>
      <c r="N405" s="14"/>
      <c r="O405" s="14"/>
      <c r="P405" s="18" t="n">
        <f aca="false">IF(N405="",0,IF(OR(M405="",O405=""),N405,(M405+4*N405+O405)/6))</f>
        <v>0</v>
      </c>
      <c r="Q405" s="14"/>
      <c r="R405" s="14"/>
      <c r="S405" s="14"/>
      <c r="T405" s="14"/>
      <c r="U405" s="16"/>
      <c r="V405" s="13"/>
      <c r="W405" s="16" t="s">
        <v>667</v>
      </c>
      <c r="X405" s="16"/>
      <c r="Y405" s="16"/>
      <c r="Z405" s="16"/>
      <c r="AA405" s="22" t="n">
        <f aca="false">IF(F405&lt;&gt;"Y",0,((SUMIF(Products!$E$5:$E$300,A405,Products!$F$5:$F$300)+SUMIF(RM_Lots!$A$5:$A$400,A405,RM_Lots!$D$5:$D$400))+IF(W405="Y",SUMIF(Products!$E$5:$E$300,A405,Products!$G$5:$G$300),0))*(1+N(V405)))</f>
        <v>0</v>
      </c>
      <c r="AB405" s="22" t="n">
        <f aca="false">IF(F405&lt;&gt;"Y",0,((SUMIF(Products!$E$5:$E$300,A405,Products!$K$5:$K$300)+SUMIF(RM_Lots!$A$5:$A$400,A405,RM_Lots!$F$5:$F$400))+IF(W405="Y",SUMIF(Products!$E$5:$E$300,A405,Products!$L$5:$L$300),0))*(1+N(V405)))</f>
        <v>0</v>
      </c>
      <c r="AC405" s="17" t="n">
        <f aca="false">IF(J405="",1,MAX(1,COUNTIFS($J$5:$J$863,J405,$F$5:$F$863,"Y")))</f>
        <v>1</v>
      </c>
      <c r="AD405" s="18" t="n">
        <f aca="false">(MAX(1,N(I405))*(P405+N(S405))+MAX(1,N(I405))*N(K405)/(MAX(1,N(U405))*AC405))*Settings!$B$9</f>
        <v>0</v>
      </c>
      <c r="AE405" s="18" t="n">
        <f aca="false">(MAX(1,N(I405))*N(Q405)+MAX(1,N(I405))*N(L405)/(MAX(1,N(U405))*AC405))*Settings!$B$8</f>
        <v>0</v>
      </c>
      <c r="AF405" s="18" t="n">
        <f aca="false">MAX(1,N(I405))*N(T405)</f>
        <v>0</v>
      </c>
      <c r="AG405" s="15" t="n">
        <f aca="false">AA405*N(AD405)</f>
        <v>0</v>
      </c>
      <c r="AH405" s="15" t="n">
        <f aca="false">AA405*N(AE405)</f>
        <v>0</v>
      </c>
      <c r="AI405" s="15" t="n">
        <f aca="false">AA405*N(AF405)</f>
        <v>0</v>
      </c>
      <c r="AJ405" s="15" t="n">
        <f aca="false">AA405*N(R405)</f>
        <v>0</v>
      </c>
      <c r="AK405" s="15" t="n">
        <f aca="false">AB405*N(AD405)</f>
        <v>0</v>
      </c>
      <c r="AL405" s="15" t="n">
        <f aca="false">AB405*N(AE405)</f>
        <v>0</v>
      </c>
      <c r="AM405" s="15" t="n">
        <f aca="false">AB405*N(AF405)</f>
        <v>0</v>
      </c>
      <c r="AN405" s="15" t="n">
        <f aca="false">AB405*N(R405)</f>
        <v>0</v>
      </c>
      <c r="AO405" s="21" t="str">
        <f aca="false">IF(F405&lt;&gt;"Y","n/a",IF(AND(N405&lt;&gt;"",OR(Q405&lt;&gt;"",G405="Other / bench",G405="None"),U405&lt;&gt;""),"OK","Missing"))</f>
        <v>Missing</v>
      </c>
    </row>
    <row r="406" customFormat="false" ht="15" hidden="false" customHeight="false" outlineLevel="0" collapsed="false">
      <c r="A406" s="10" t="s">
        <v>443</v>
      </c>
      <c r="B406" s="10" t="s">
        <v>740</v>
      </c>
      <c r="C406" s="10" t="s">
        <v>437</v>
      </c>
      <c r="D406" s="10" t="s">
        <v>741</v>
      </c>
      <c r="E406" s="21" t="str">
        <f aca="false">IF(A406="","",A406&amp;"|"&amp;D406)</f>
        <v>Beet Root|Assay + related substances</v>
      </c>
      <c r="F406" s="16" t="s">
        <v>662</v>
      </c>
      <c r="G406" s="16" t="s">
        <v>147</v>
      </c>
      <c r="H406" s="16" t="s">
        <v>663</v>
      </c>
      <c r="I406" s="16" t="n">
        <v>1</v>
      </c>
      <c r="J406" s="16"/>
      <c r="K406" s="14"/>
      <c r="L406" s="14"/>
      <c r="M406" s="14"/>
      <c r="N406" s="14"/>
      <c r="O406" s="14"/>
      <c r="P406" s="18" t="n">
        <f aca="false">IF(N406="",0,IF(OR(M406="",O406=""),N406,(M406+4*N406+O406)/6))</f>
        <v>0</v>
      </c>
      <c r="Q406" s="14"/>
      <c r="R406" s="14"/>
      <c r="S406" s="14"/>
      <c r="T406" s="14"/>
      <c r="U406" s="16"/>
      <c r="V406" s="13"/>
      <c r="W406" s="16" t="s">
        <v>667</v>
      </c>
      <c r="X406" s="16"/>
      <c r="Y406" s="16"/>
      <c r="Z406" s="16"/>
      <c r="AA406" s="22" t="n">
        <f aca="false">IF(F406&lt;&gt;"Y",0,((SUMIF(Products!$E$5:$E$300,A406,Products!$F$5:$F$300)+SUMIF(RM_Lots!$A$5:$A$400,A406,RM_Lots!$D$5:$D$400))+IF(W406="Y",SUMIF(Products!$E$5:$E$300,A406,Products!$G$5:$G$300),0))*(1+N(V406)))</f>
        <v>0</v>
      </c>
      <c r="AB406" s="22" t="n">
        <f aca="false">IF(F406&lt;&gt;"Y",0,((SUMIF(Products!$E$5:$E$300,A406,Products!$K$5:$K$300)+SUMIF(RM_Lots!$A$5:$A$400,A406,RM_Lots!$F$5:$F$400))+IF(W406="Y",SUMIF(Products!$E$5:$E$300,A406,Products!$L$5:$L$300),0))*(1+N(V406)))</f>
        <v>0</v>
      </c>
      <c r="AC406" s="17" t="n">
        <f aca="false">IF(J406="",1,MAX(1,COUNTIFS($J$5:$J$863,J406,$F$5:$F$863,"Y")))</f>
        <v>1</v>
      </c>
      <c r="AD406" s="18" t="n">
        <f aca="false">(MAX(1,N(I406))*(P406+N(S406))+MAX(1,N(I406))*N(K406)/(MAX(1,N(U406))*AC406))*Settings!$B$9</f>
        <v>0</v>
      </c>
      <c r="AE406" s="18" t="n">
        <f aca="false">(MAX(1,N(I406))*N(Q406)+MAX(1,N(I406))*N(L406)/(MAX(1,N(U406))*AC406))*Settings!$B$8</f>
        <v>0</v>
      </c>
      <c r="AF406" s="18" t="n">
        <f aca="false">MAX(1,N(I406))*N(T406)</f>
        <v>0</v>
      </c>
      <c r="AG406" s="15" t="n">
        <f aca="false">AA406*N(AD406)</f>
        <v>0</v>
      </c>
      <c r="AH406" s="15" t="n">
        <f aca="false">AA406*N(AE406)</f>
        <v>0</v>
      </c>
      <c r="AI406" s="15" t="n">
        <f aca="false">AA406*N(AF406)</f>
        <v>0</v>
      </c>
      <c r="AJ406" s="15" t="n">
        <f aca="false">AA406*N(R406)</f>
        <v>0</v>
      </c>
      <c r="AK406" s="15" t="n">
        <f aca="false">AB406*N(AD406)</f>
        <v>0</v>
      </c>
      <c r="AL406" s="15" t="n">
        <f aca="false">AB406*N(AE406)</f>
        <v>0</v>
      </c>
      <c r="AM406" s="15" t="n">
        <f aca="false">AB406*N(AF406)</f>
        <v>0</v>
      </c>
      <c r="AN406" s="15" t="n">
        <f aca="false">AB406*N(R406)</f>
        <v>0</v>
      </c>
      <c r="AO406" s="21" t="str">
        <f aca="false">IF(F406&lt;&gt;"Y","n/a",IF(AND(N406&lt;&gt;"",OR(Q406&lt;&gt;"",G406="Other / bench",G406="None"),U406&lt;&gt;""),"OK","Missing"))</f>
        <v>Missing</v>
      </c>
    </row>
    <row r="407" customFormat="false" ht="15" hidden="false" customHeight="false" outlineLevel="0" collapsed="false">
      <c r="A407" s="10" t="s">
        <v>443</v>
      </c>
      <c r="B407" s="10" t="s">
        <v>740</v>
      </c>
      <c r="C407" s="10" t="s">
        <v>437</v>
      </c>
      <c r="D407" s="10" t="s">
        <v>742</v>
      </c>
      <c r="E407" s="21" t="str">
        <f aca="false">IF(A407="","",A407&amp;"|"&amp;D407)</f>
        <v>Beet Root|Other compendial tests (ID, LOD/KF, heavy metals...)</v>
      </c>
      <c r="F407" s="16" t="s">
        <v>662</v>
      </c>
      <c r="G407" s="16" t="s">
        <v>670</v>
      </c>
      <c r="H407" s="16" t="s">
        <v>672</v>
      </c>
      <c r="I407" s="16" t="n">
        <v>1</v>
      </c>
      <c r="J407" s="16"/>
      <c r="K407" s="14"/>
      <c r="L407" s="14"/>
      <c r="M407" s="14"/>
      <c r="N407" s="14"/>
      <c r="O407" s="14"/>
      <c r="P407" s="18" t="n">
        <f aca="false">IF(N407="",0,IF(OR(M407="",O407=""),N407,(M407+4*N407+O407)/6))</f>
        <v>0</v>
      </c>
      <c r="Q407" s="14"/>
      <c r="R407" s="14"/>
      <c r="S407" s="14"/>
      <c r="T407" s="14"/>
      <c r="U407" s="16"/>
      <c r="V407" s="13"/>
      <c r="W407" s="16" t="s">
        <v>667</v>
      </c>
      <c r="X407" s="16"/>
      <c r="Y407" s="16"/>
      <c r="Z407" s="16"/>
      <c r="AA407" s="22" t="n">
        <f aca="false">IF(F407&lt;&gt;"Y",0,((SUMIF(Products!$E$5:$E$300,A407,Products!$F$5:$F$300)+SUMIF(RM_Lots!$A$5:$A$400,A407,RM_Lots!$D$5:$D$400))+IF(W407="Y",SUMIF(Products!$E$5:$E$300,A407,Products!$G$5:$G$300),0))*(1+N(V407)))</f>
        <v>0</v>
      </c>
      <c r="AB407" s="22" t="n">
        <f aca="false">IF(F407&lt;&gt;"Y",0,((SUMIF(Products!$E$5:$E$300,A407,Products!$K$5:$K$300)+SUMIF(RM_Lots!$A$5:$A$400,A407,RM_Lots!$F$5:$F$400))+IF(W407="Y",SUMIF(Products!$E$5:$E$300,A407,Products!$L$5:$L$300),0))*(1+N(V407)))</f>
        <v>0</v>
      </c>
      <c r="AC407" s="17" t="n">
        <f aca="false">IF(J407="",1,MAX(1,COUNTIFS($J$5:$J$863,J407,$F$5:$F$863,"Y")))</f>
        <v>1</v>
      </c>
      <c r="AD407" s="18" t="n">
        <f aca="false">(MAX(1,N(I407))*(P407+N(S407))+MAX(1,N(I407))*N(K407)/(MAX(1,N(U407))*AC407))*Settings!$B$9</f>
        <v>0</v>
      </c>
      <c r="AE407" s="18" t="n">
        <f aca="false">(MAX(1,N(I407))*N(Q407)+MAX(1,N(I407))*N(L407)/(MAX(1,N(U407))*AC407))*Settings!$B$8</f>
        <v>0</v>
      </c>
      <c r="AF407" s="18" t="n">
        <f aca="false">MAX(1,N(I407))*N(T407)</f>
        <v>0</v>
      </c>
      <c r="AG407" s="15" t="n">
        <f aca="false">AA407*N(AD407)</f>
        <v>0</v>
      </c>
      <c r="AH407" s="15" t="n">
        <f aca="false">AA407*N(AE407)</f>
        <v>0</v>
      </c>
      <c r="AI407" s="15" t="n">
        <f aca="false">AA407*N(AF407)</f>
        <v>0</v>
      </c>
      <c r="AJ407" s="15" t="n">
        <f aca="false">AA407*N(R407)</f>
        <v>0</v>
      </c>
      <c r="AK407" s="15" t="n">
        <f aca="false">AB407*N(AD407)</f>
        <v>0</v>
      </c>
      <c r="AL407" s="15" t="n">
        <f aca="false">AB407*N(AE407)</f>
        <v>0</v>
      </c>
      <c r="AM407" s="15" t="n">
        <f aca="false">AB407*N(AF407)</f>
        <v>0</v>
      </c>
      <c r="AN407" s="15" t="n">
        <f aca="false">AB407*N(R407)</f>
        <v>0</v>
      </c>
      <c r="AO407" s="21" t="str">
        <f aca="false">IF(F407&lt;&gt;"Y","n/a",IF(AND(N407&lt;&gt;"",OR(Q407&lt;&gt;"",G407="Other / bench",G407="None"),U407&lt;&gt;""),"OK","Missing"))</f>
        <v>Missing</v>
      </c>
    </row>
    <row r="408" customFormat="false" ht="15" hidden="false" customHeight="false" outlineLevel="0" collapsed="false">
      <c r="A408" s="10" t="s">
        <v>237</v>
      </c>
      <c r="B408" s="10" t="s">
        <v>740</v>
      </c>
      <c r="C408" s="10" t="s">
        <v>437</v>
      </c>
      <c r="D408" s="10" t="s">
        <v>741</v>
      </c>
      <c r="E408" s="21" t="str">
        <f aca="false">IF(A408="","",A408&amp;"|"&amp;D408)</f>
        <v>Bempedoic Acid|Assay + related substances</v>
      </c>
      <c r="F408" s="16" t="s">
        <v>662</v>
      </c>
      <c r="G408" s="16" t="s">
        <v>147</v>
      </c>
      <c r="H408" s="16" t="s">
        <v>663</v>
      </c>
      <c r="I408" s="16" t="n">
        <v>1</v>
      </c>
      <c r="J408" s="16"/>
      <c r="K408" s="14"/>
      <c r="L408" s="14"/>
      <c r="M408" s="14"/>
      <c r="N408" s="14"/>
      <c r="O408" s="14"/>
      <c r="P408" s="18" t="n">
        <f aca="false">IF(N408="",0,IF(OR(M408="",O408=""),N408,(M408+4*N408+O408)/6))</f>
        <v>0</v>
      </c>
      <c r="Q408" s="14"/>
      <c r="R408" s="14"/>
      <c r="S408" s="14"/>
      <c r="T408" s="14"/>
      <c r="U408" s="16"/>
      <c r="V408" s="13"/>
      <c r="W408" s="16" t="s">
        <v>667</v>
      </c>
      <c r="X408" s="16"/>
      <c r="Y408" s="16"/>
      <c r="Z408" s="16"/>
      <c r="AA408" s="22" t="n">
        <f aca="false">IF(F408&lt;&gt;"Y",0,((SUMIF(Products!$E$5:$E$300,A408,Products!$F$5:$F$300)+SUMIF(RM_Lots!$A$5:$A$400,A408,RM_Lots!$D$5:$D$400))+IF(W408="Y",SUMIF(Products!$E$5:$E$300,A408,Products!$G$5:$G$300),0))*(1+N(V408)))</f>
        <v>0</v>
      </c>
      <c r="AB408" s="22" t="n">
        <f aca="false">IF(F408&lt;&gt;"Y",0,((SUMIF(Products!$E$5:$E$300,A408,Products!$K$5:$K$300)+SUMIF(RM_Lots!$A$5:$A$400,A408,RM_Lots!$F$5:$F$400))+IF(W408="Y",SUMIF(Products!$E$5:$E$300,A408,Products!$L$5:$L$300),0))*(1+N(V408)))</f>
        <v>0</v>
      </c>
      <c r="AC408" s="17" t="n">
        <f aca="false">IF(J408="",1,MAX(1,COUNTIFS($J$5:$J$863,J408,$F$5:$F$863,"Y")))</f>
        <v>1</v>
      </c>
      <c r="AD408" s="18" t="n">
        <f aca="false">(MAX(1,N(I408))*(P408+N(S408))+MAX(1,N(I408))*N(K408)/(MAX(1,N(U408))*AC408))*Settings!$B$9</f>
        <v>0</v>
      </c>
      <c r="AE408" s="18" t="n">
        <f aca="false">(MAX(1,N(I408))*N(Q408)+MAX(1,N(I408))*N(L408)/(MAX(1,N(U408))*AC408))*Settings!$B$8</f>
        <v>0</v>
      </c>
      <c r="AF408" s="18" t="n">
        <f aca="false">MAX(1,N(I408))*N(T408)</f>
        <v>0</v>
      </c>
      <c r="AG408" s="15" t="n">
        <f aca="false">AA408*N(AD408)</f>
        <v>0</v>
      </c>
      <c r="AH408" s="15" t="n">
        <f aca="false">AA408*N(AE408)</f>
        <v>0</v>
      </c>
      <c r="AI408" s="15" t="n">
        <f aca="false">AA408*N(AF408)</f>
        <v>0</v>
      </c>
      <c r="AJ408" s="15" t="n">
        <f aca="false">AA408*N(R408)</f>
        <v>0</v>
      </c>
      <c r="AK408" s="15" t="n">
        <f aca="false">AB408*N(AD408)</f>
        <v>0</v>
      </c>
      <c r="AL408" s="15" t="n">
        <f aca="false">AB408*N(AE408)</f>
        <v>0</v>
      </c>
      <c r="AM408" s="15" t="n">
        <f aca="false">AB408*N(AF408)</f>
        <v>0</v>
      </c>
      <c r="AN408" s="15" t="n">
        <f aca="false">AB408*N(R408)</f>
        <v>0</v>
      </c>
      <c r="AO408" s="21" t="str">
        <f aca="false">IF(F408&lt;&gt;"Y","n/a",IF(AND(N408&lt;&gt;"",OR(Q408&lt;&gt;"",G408="Other / bench",G408="None"),U408&lt;&gt;""),"OK","Missing"))</f>
        <v>Missing</v>
      </c>
    </row>
    <row r="409" customFormat="false" ht="15" hidden="false" customHeight="false" outlineLevel="0" collapsed="false">
      <c r="A409" s="10" t="s">
        <v>237</v>
      </c>
      <c r="B409" s="10" t="s">
        <v>740</v>
      </c>
      <c r="C409" s="10" t="s">
        <v>437</v>
      </c>
      <c r="D409" s="10" t="s">
        <v>742</v>
      </c>
      <c r="E409" s="21" t="str">
        <f aca="false">IF(A409="","",A409&amp;"|"&amp;D409)</f>
        <v>Bempedoic Acid|Other compendial tests (ID, LOD/KF, heavy metals...)</v>
      </c>
      <c r="F409" s="16" t="s">
        <v>662</v>
      </c>
      <c r="G409" s="16" t="s">
        <v>670</v>
      </c>
      <c r="H409" s="16" t="s">
        <v>672</v>
      </c>
      <c r="I409" s="16" t="n">
        <v>1</v>
      </c>
      <c r="J409" s="16"/>
      <c r="K409" s="14"/>
      <c r="L409" s="14"/>
      <c r="M409" s="14"/>
      <c r="N409" s="14"/>
      <c r="O409" s="14"/>
      <c r="P409" s="18" t="n">
        <f aca="false">IF(N409="",0,IF(OR(M409="",O409=""),N409,(M409+4*N409+O409)/6))</f>
        <v>0</v>
      </c>
      <c r="Q409" s="14"/>
      <c r="R409" s="14"/>
      <c r="S409" s="14"/>
      <c r="T409" s="14"/>
      <c r="U409" s="16"/>
      <c r="V409" s="13"/>
      <c r="W409" s="16" t="s">
        <v>667</v>
      </c>
      <c r="X409" s="16"/>
      <c r="Y409" s="16"/>
      <c r="Z409" s="16"/>
      <c r="AA409" s="22" t="n">
        <f aca="false">IF(F409&lt;&gt;"Y",0,((SUMIF(Products!$E$5:$E$300,A409,Products!$F$5:$F$300)+SUMIF(RM_Lots!$A$5:$A$400,A409,RM_Lots!$D$5:$D$400))+IF(W409="Y",SUMIF(Products!$E$5:$E$300,A409,Products!$G$5:$G$300),0))*(1+N(V409)))</f>
        <v>0</v>
      </c>
      <c r="AB409" s="22" t="n">
        <f aca="false">IF(F409&lt;&gt;"Y",0,((SUMIF(Products!$E$5:$E$300,A409,Products!$K$5:$K$300)+SUMIF(RM_Lots!$A$5:$A$400,A409,RM_Lots!$F$5:$F$400))+IF(W409="Y",SUMIF(Products!$E$5:$E$300,A409,Products!$L$5:$L$300),0))*(1+N(V409)))</f>
        <v>0</v>
      </c>
      <c r="AC409" s="17" t="n">
        <f aca="false">IF(J409="",1,MAX(1,COUNTIFS($J$5:$J$863,J409,$F$5:$F$863,"Y")))</f>
        <v>1</v>
      </c>
      <c r="AD409" s="18" t="n">
        <f aca="false">(MAX(1,N(I409))*(P409+N(S409))+MAX(1,N(I409))*N(K409)/(MAX(1,N(U409))*AC409))*Settings!$B$9</f>
        <v>0</v>
      </c>
      <c r="AE409" s="18" t="n">
        <f aca="false">(MAX(1,N(I409))*N(Q409)+MAX(1,N(I409))*N(L409)/(MAX(1,N(U409))*AC409))*Settings!$B$8</f>
        <v>0</v>
      </c>
      <c r="AF409" s="18" t="n">
        <f aca="false">MAX(1,N(I409))*N(T409)</f>
        <v>0</v>
      </c>
      <c r="AG409" s="15" t="n">
        <f aca="false">AA409*N(AD409)</f>
        <v>0</v>
      </c>
      <c r="AH409" s="15" t="n">
        <f aca="false">AA409*N(AE409)</f>
        <v>0</v>
      </c>
      <c r="AI409" s="15" t="n">
        <f aca="false">AA409*N(AF409)</f>
        <v>0</v>
      </c>
      <c r="AJ409" s="15" t="n">
        <f aca="false">AA409*N(R409)</f>
        <v>0</v>
      </c>
      <c r="AK409" s="15" t="n">
        <f aca="false">AB409*N(AD409)</f>
        <v>0</v>
      </c>
      <c r="AL409" s="15" t="n">
        <f aca="false">AB409*N(AE409)</f>
        <v>0</v>
      </c>
      <c r="AM409" s="15" t="n">
        <f aca="false">AB409*N(AF409)</f>
        <v>0</v>
      </c>
      <c r="AN409" s="15" t="n">
        <f aca="false">AB409*N(R409)</f>
        <v>0</v>
      </c>
      <c r="AO409" s="21" t="str">
        <f aca="false">IF(F409&lt;&gt;"Y","n/a",IF(AND(N409&lt;&gt;"",OR(Q409&lt;&gt;"",G409="Other / bench",G409="None"),U409&lt;&gt;""),"OK","Missing"))</f>
        <v>Missing</v>
      </c>
    </row>
    <row r="410" customFormat="false" ht="15" hidden="false" customHeight="false" outlineLevel="0" collapsed="false">
      <c r="A410" s="10" t="s">
        <v>444</v>
      </c>
      <c r="B410" s="10" t="s">
        <v>740</v>
      </c>
      <c r="C410" s="10" t="s">
        <v>437</v>
      </c>
      <c r="D410" s="10" t="s">
        <v>741</v>
      </c>
      <c r="E410" s="21" t="str">
        <f aca="false">IF(A410="","",A410&amp;"|"&amp;D410)</f>
        <v>Beta-Carotene|Assay + related substances</v>
      </c>
      <c r="F410" s="16" t="s">
        <v>662</v>
      </c>
      <c r="G410" s="16" t="s">
        <v>147</v>
      </c>
      <c r="H410" s="16" t="s">
        <v>663</v>
      </c>
      <c r="I410" s="16" t="n">
        <v>1</v>
      </c>
      <c r="J410" s="16"/>
      <c r="K410" s="14"/>
      <c r="L410" s="14"/>
      <c r="M410" s="14"/>
      <c r="N410" s="14"/>
      <c r="O410" s="14"/>
      <c r="P410" s="18" t="n">
        <f aca="false">IF(N410="",0,IF(OR(M410="",O410=""),N410,(M410+4*N410+O410)/6))</f>
        <v>0</v>
      </c>
      <c r="Q410" s="14"/>
      <c r="R410" s="14"/>
      <c r="S410" s="14"/>
      <c r="T410" s="14"/>
      <c r="U410" s="16"/>
      <c r="V410" s="13"/>
      <c r="W410" s="16" t="s">
        <v>667</v>
      </c>
      <c r="X410" s="16"/>
      <c r="Y410" s="16"/>
      <c r="Z410" s="16"/>
      <c r="AA410" s="22" t="n">
        <f aca="false">IF(F410&lt;&gt;"Y",0,((SUMIF(Products!$E$5:$E$300,A410,Products!$F$5:$F$300)+SUMIF(RM_Lots!$A$5:$A$400,A410,RM_Lots!$D$5:$D$400))+IF(W410="Y",SUMIF(Products!$E$5:$E$300,A410,Products!$G$5:$G$300),0))*(1+N(V410)))</f>
        <v>0</v>
      </c>
      <c r="AB410" s="22" t="n">
        <f aca="false">IF(F410&lt;&gt;"Y",0,((SUMIF(Products!$E$5:$E$300,A410,Products!$K$5:$K$300)+SUMIF(RM_Lots!$A$5:$A$400,A410,RM_Lots!$F$5:$F$400))+IF(W410="Y",SUMIF(Products!$E$5:$E$300,A410,Products!$L$5:$L$300),0))*(1+N(V410)))</f>
        <v>0</v>
      </c>
      <c r="AC410" s="17" t="n">
        <f aca="false">IF(J410="",1,MAX(1,COUNTIFS($J$5:$J$863,J410,$F$5:$F$863,"Y")))</f>
        <v>1</v>
      </c>
      <c r="AD410" s="18" t="n">
        <f aca="false">(MAX(1,N(I410))*(P410+N(S410))+MAX(1,N(I410))*N(K410)/(MAX(1,N(U410))*AC410))*Settings!$B$9</f>
        <v>0</v>
      </c>
      <c r="AE410" s="18" t="n">
        <f aca="false">(MAX(1,N(I410))*N(Q410)+MAX(1,N(I410))*N(L410)/(MAX(1,N(U410))*AC410))*Settings!$B$8</f>
        <v>0</v>
      </c>
      <c r="AF410" s="18" t="n">
        <f aca="false">MAX(1,N(I410))*N(T410)</f>
        <v>0</v>
      </c>
      <c r="AG410" s="15" t="n">
        <f aca="false">AA410*N(AD410)</f>
        <v>0</v>
      </c>
      <c r="AH410" s="15" t="n">
        <f aca="false">AA410*N(AE410)</f>
        <v>0</v>
      </c>
      <c r="AI410" s="15" t="n">
        <f aca="false">AA410*N(AF410)</f>
        <v>0</v>
      </c>
      <c r="AJ410" s="15" t="n">
        <f aca="false">AA410*N(R410)</f>
        <v>0</v>
      </c>
      <c r="AK410" s="15" t="n">
        <f aca="false">AB410*N(AD410)</f>
        <v>0</v>
      </c>
      <c r="AL410" s="15" t="n">
        <f aca="false">AB410*N(AE410)</f>
        <v>0</v>
      </c>
      <c r="AM410" s="15" t="n">
        <f aca="false">AB410*N(AF410)</f>
        <v>0</v>
      </c>
      <c r="AN410" s="15" t="n">
        <f aca="false">AB410*N(R410)</f>
        <v>0</v>
      </c>
      <c r="AO410" s="21" t="str">
        <f aca="false">IF(F410&lt;&gt;"Y","n/a",IF(AND(N410&lt;&gt;"",OR(Q410&lt;&gt;"",G410="Other / bench",G410="None"),U410&lt;&gt;""),"OK","Missing"))</f>
        <v>Missing</v>
      </c>
    </row>
    <row r="411" customFormat="false" ht="15" hidden="false" customHeight="false" outlineLevel="0" collapsed="false">
      <c r="A411" s="10" t="s">
        <v>444</v>
      </c>
      <c r="B411" s="10" t="s">
        <v>740</v>
      </c>
      <c r="C411" s="10" t="s">
        <v>437</v>
      </c>
      <c r="D411" s="10" t="s">
        <v>742</v>
      </c>
      <c r="E411" s="21" t="str">
        <f aca="false">IF(A411="","",A411&amp;"|"&amp;D411)</f>
        <v>Beta-Carotene|Other compendial tests (ID, LOD/KF, heavy metals...)</v>
      </c>
      <c r="F411" s="16" t="s">
        <v>662</v>
      </c>
      <c r="G411" s="16" t="s">
        <v>670</v>
      </c>
      <c r="H411" s="16" t="s">
        <v>672</v>
      </c>
      <c r="I411" s="16" t="n">
        <v>1</v>
      </c>
      <c r="J411" s="16"/>
      <c r="K411" s="14"/>
      <c r="L411" s="14"/>
      <c r="M411" s="14"/>
      <c r="N411" s="14"/>
      <c r="O411" s="14"/>
      <c r="P411" s="18" t="n">
        <f aca="false">IF(N411="",0,IF(OR(M411="",O411=""),N411,(M411+4*N411+O411)/6))</f>
        <v>0</v>
      </c>
      <c r="Q411" s="14"/>
      <c r="R411" s="14"/>
      <c r="S411" s="14"/>
      <c r="T411" s="14"/>
      <c r="U411" s="16"/>
      <c r="V411" s="13"/>
      <c r="W411" s="16" t="s">
        <v>667</v>
      </c>
      <c r="X411" s="16"/>
      <c r="Y411" s="16"/>
      <c r="Z411" s="16"/>
      <c r="AA411" s="22" t="n">
        <f aca="false">IF(F411&lt;&gt;"Y",0,((SUMIF(Products!$E$5:$E$300,A411,Products!$F$5:$F$300)+SUMIF(RM_Lots!$A$5:$A$400,A411,RM_Lots!$D$5:$D$400))+IF(W411="Y",SUMIF(Products!$E$5:$E$300,A411,Products!$G$5:$G$300),0))*(1+N(V411)))</f>
        <v>0</v>
      </c>
      <c r="AB411" s="22" t="n">
        <f aca="false">IF(F411&lt;&gt;"Y",0,((SUMIF(Products!$E$5:$E$300,A411,Products!$K$5:$K$300)+SUMIF(RM_Lots!$A$5:$A$400,A411,RM_Lots!$F$5:$F$400))+IF(W411="Y",SUMIF(Products!$E$5:$E$300,A411,Products!$L$5:$L$300),0))*(1+N(V411)))</f>
        <v>0</v>
      </c>
      <c r="AC411" s="17" t="n">
        <f aca="false">IF(J411="",1,MAX(1,COUNTIFS($J$5:$J$863,J411,$F$5:$F$863,"Y")))</f>
        <v>1</v>
      </c>
      <c r="AD411" s="18" t="n">
        <f aca="false">(MAX(1,N(I411))*(P411+N(S411))+MAX(1,N(I411))*N(K411)/(MAX(1,N(U411))*AC411))*Settings!$B$9</f>
        <v>0</v>
      </c>
      <c r="AE411" s="18" t="n">
        <f aca="false">(MAX(1,N(I411))*N(Q411)+MAX(1,N(I411))*N(L411)/(MAX(1,N(U411))*AC411))*Settings!$B$8</f>
        <v>0</v>
      </c>
      <c r="AF411" s="18" t="n">
        <f aca="false">MAX(1,N(I411))*N(T411)</f>
        <v>0</v>
      </c>
      <c r="AG411" s="15" t="n">
        <f aca="false">AA411*N(AD411)</f>
        <v>0</v>
      </c>
      <c r="AH411" s="15" t="n">
        <f aca="false">AA411*N(AE411)</f>
        <v>0</v>
      </c>
      <c r="AI411" s="15" t="n">
        <f aca="false">AA411*N(AF411)</f>
        <v>0</v>
      </c>
      <c r="AJ411" s="15" t="n">
        <f aca="false">AA411*N(R411)</f>
        <v>0</v>
      </c>
      <c r="AK411" s="15" t="n">
        <f aca="false">AB411*N(AD411)</f>
        <v>0</v>
      </c>
      <c r="AL411" s="15" t="n">
        <f aca="false">AB411*N(AE411)</f>
        <v>0</v>
      </c>
      <c r="AM411" s="15" t="n">
        <f aca="false">AB411*N(AF411)</f>
        <v>0</v>
      </c>
      <c r="AN411" s="15" t="n">
        <f aca="false">AB411*N(R411)</f>
        <v>0</v>
      </c>
      <c r="AO411" s="21" t="str">
        <f aca="false">IF(F411&lt;&gt;"Y","n/a",IF(AND(N411&lt;&gt;"",OR(Q411&lt;&gt;"",G411="Other / bench",G411="None"),U411&lt;&gt;""),"OK","Missing"))</f>
        <v>Missing</v>
      </c>
    </row>
    <row r="412" customFormat="false" ht="15" hidden="false" customHeight="false" outlineLevel="0" collapsed="false">
      <c r="A412" s="10" t="s">
        <v>445</v>
      </c>
      <c r="B412" s="10" t="s">
        <v>740</v>
      </c>
      <c r="C412" s="10" t="s">
        <v>437</v>
      </c>
      <c r="D412" s="10" t="s">
        <v>741</v>
      </c>
      <c r="E412" s="21" t="str">
        <f aca="false">IF(A412="","",A412&amp;"|"&amp;D412)</f>
        <v>Biotin (Vitamin B7)|Assay + related substances</v>
      </c>
      <c r="F412" s="16" t="s">
        <v>662</v>
      </c>
      <c r="G412" s="16" t="s">
        <v>147</v>
      </c>
      <c r="H412" s="16" t="s">
        <v>663</v>
      </c>
      <c r="I412" s="16" t="n">
        <v>1</v>
      </c>
      <c r="J412" s="16"/>
      <c r="K412" s="14"/>
      <c r="L412" s="14"/>
      <c r="M412" s="14"/>
      <c r="N412" s="14"/>
      <c r="O412" s="14"/>
      <c r="P412" s="18" t="n">
        <f aca="false">IF(N412="",0,IF(OR(M412="",O412=""),N412,(M412+4*N412+O412)/6))</f>
        <v>0</v>
      </c>
      <c r="Q412" s="14"/>
      <c r="R412" s="14"/>
      <c r="S412" s="14"/>
      <c r="T412" s="14"/>
      <c r="U412" s="16"/>
      <c r="V412" s="13"/>
      <c r="W412" s="16" t="s">
        <v>667</v>
      </c>
      <c r="X412" s="16"/>
      <c r="Y412" s="16"/>
      <c r="Z412" s="16"/>
      <c r="AA412" s="22" t="n">
        <f aca="false">IF(F412&lt;&gt;"Y",0,((SUMIF(Products!$E$5:$E$300,A412,Products!$F$5:$F$300)+SUMIF(RM_Lots!$A$5:$A$400,A412,RM_Lots!$D$5:$D$400))+IF(W412="Y",SUMIF(Products!$E$5:$E$300,A412,Products!$G$5:$G$300),0))*(1+N(V412)))</f>
        <v>0</v>
      </c>
      <c r="AB412" s="22" t="n">
        <f aca="false">IF(F412&lt;&gt;"Y",0,((SUMIF(Products!$E$5:$E$300,A412,Products!$K$5:$K$300)+SUMIF(RM_Lots!$A$5:$A$400,A412,RM_Lots!$F$5:$F$400))+IF(W412="Y",SUMIF(Products!$E$5:$E$300,A412,Products!$L$5:$L$300),0))*(1+N(V412)))</f>
        <v>0</v>
      </c>
      <c r="AC412" s="17" t="n">
        <f aca="false">IF(J412="",1,MAX(1,COUNTIFS($J$5:$J$863,J412,$F$5:$F$863,"Y")))</f>
        <v>1</v>
      </c>
      <c r="AD412" s="18" t="n">
        <f aca="false">(MAX(1,N(I412))*(P412+N(S412))+MAX(1,N(I412))*N(K412)/(MAX(1,N(U412))*AC412))*Settings!$B$9</f>
        <v>0</v>
      </c>
      <c r="AE412" s="18" t="n">
        <f aca="false">(MAX(1,N(I412))*N(Q412)+MAX(1,N(I412))*N(L412)/(MAX(1,N(U412))*AC412))*Settings!$B$8</f>
        <v>0</v>
      </c>
      <c r="AF412" s="18" t="n">
        <f aca="false">MAX(1,N(I412))*N(T412)</f>
        <v>0</v>
      </c>
      <c r="AG412" s="15" t="n">
        <f aca="false">AA412*N(AD412)</f>
        <v>0</v>
      </c>
      <c r="AH412" s="15" t="n">
        <f aca="false">AA412*N(AE412)</f>
        <v>0</v>
      </c>
      <c r="AI412" s="15" t="n">
        <f aca="false">AA412*N(AF412)</f>
        <v>0</v>
      </c>
      <c r="AJ412" s="15" t="n">
        <f aca="false">AA412*N(R412)</f>
        <v>0</v>
      </c>
      <c r="AK412" s="15" t="n">
        <f aca="false">AB412*N(AD412)</f>
        <v>0</v>
      </c>
      <c r="AL412" s="15" t="n">
        <f aca="false">AB412*N(AE412)</f>
        <v>0</v>
      </c>
      <c r="AM412" s="15" t="n">
        <f aca="false">AB412*N(AF412)</f>
        <v>0</v>
      </c>
      <c r="AN412" s="15" t="n">
        <f aca="false">AB412*N(R412)</f>
        <v>0</v>
      </c>
      <c r="AO412" s="21" t="str">
        <f aca="false">IF(F412&lt;&gt;"Y","n/a",IF(AND(N412&lt;&gt;"",OR(Q412&lt;&gt;"",G412="Other / bench",G412="None"),U412&lt;&gt;""),"OK","Missing"))</f>
        <v>Missing</v>
      </c>
    </row>
    <row r="413" customFormat="false" ht="15" hidden="false" customHeight="false" outlineLevel="0" collapsed="false">
      <c r="A413" s="10" t="s">
        <v>445</v>
      </c>
      <c r="B413" s="10" t="s">
        <v>740</v>
      </c>
      <c r="C413" s="10" t="s">
        <v>437</v>
      </c>
      <c r="D413" s="10" t="s">
        <v>742</v>
      </c>
      <c r="E413" s="21" t="str">
        <f aca="false">IF(A413="","",A413&amp;"|"&amp;D413)</f>
        <v>Biotin (Vitamin B7)|Other compendial tests (ID, LOD/KF, heavy metals...)</v>
      </c>
      <c r="F413" s="16" t="s">
        <v>662</v>
      </c>
      <c r="G413" s="16" t="s">
        <v>670</v>
      </c>
      <c r="H413" s="16" t="s">
        <v>672</v>
      </c>
      <c r="I413" s="16" t="n">
        <v>1</v>
      </c>
      <c r="J413" s="16"/>
      <c r="K413" s="14"/>
      <c r="L413" s="14"/>
      <c r="M413" s="14"/>
      <c r="N413" s="14"/>
      <c r="O413" s="14"/>
      <c r="P413" s="18" t="n">
        <f aca="false">IF(N413="",0,IF(OR(M413="",O413=""),N413,(M413+4*N413+O413)/6))</f>
        <v>0</v>
      </c>
      <c r="Q413" s="14"/>
      <c r="R413" s="14"/>
      <c r="S413" s="14"/>
      <c r="T413" s="14"/>
      <c r="U413" s="16"/>
      <c r="V413" s="13"/>
      <c r="W413" s="16" t="s">
        <v>667</v>
      </c>
      <c r="X413" s="16"/>
      <c r="Y413" s="16"/>
      <c r="Z413" s="16"/>
      <c r="AA413" s="22" t="n">
        <f aca="false">IF(F413&lt;&gt;"Y",0,((SUMIF(Products!$E$5:$E$300,A413,Products!$F$5:$F$300)+SUMIF(RM_Lots!$A$5:$A$400,A413,RM_Lots!$D$5:$D$400))+IF(W413="Y",SUMIF(Products!$E$5:$E$300,A413,Products!$G$5:$G$300),0))*(1+N(V413)))</f>
        <v>0</v>
      </c>
      <c r="AB413" s="22" t="n">
        <f aca="false">IF(F413&lt;&gt;"Y",0,((SUMIF(Products!$E$5:$E$300,A413,Products!$K$5:$K$300)+SUMIF(RM_Lots!$A$5:$A$400,A413,RM_Lots!$F$5:$F$400))+IF(W413="Y",SUMIF(Products!$E$5:$E$300,A413,Products!$L$5:$L$300),0))*(1+N(V413)))</f>
        <v>0</v>
      </c>
      <c r="AC413" s="17" t="n">
        <f aca="false">IF(J413="",1,MAX(1,COUNTIFS($J$5:$J$863,J413,$F$5:$F$863,"Y")))</f>
        <v>1</v>
      </c>
      <c r="AD413" s="18" t="n">
        <f aca="false">(MAX(1,N(I413))*(P413+N(S413))+MAX(1,N(I413))*N(K413)/(MAX(1,N(U413))*AC413))*Settings!$B$9</f>
        <v>0</v>
      </c>
      <c r="AE413" s="18" t="n">
        <f aca="false">(MAX(1,N(I413))*N(Q413)+MAX(1,N(I413))*N(L413)/(MAX(1,N(U413))*AC413))*Settings!$B$8</f>
        <v>0</v>
      </c>
      <c r="AF413" s="18" t="n">
        <f aca="false">MAX(1,N(I413))*N(T413)</f>
        <v>0</v>
      </c>
      <c r="AG413" s="15" t="n">
        <f aca="false">AA413*N(AD413)</f>
        <v>0</v>
      </c>
      <c r="AH413" s="15" t="n">
        <f aca="false">AA413*N(AE413)</f>
        <v>0</v>
      </c>
      <c r="AI413" s="15" t="n">
        <f aca="false">AA413*N(AF413)</f>
        <v>0</v>
      </c>
      <c r="AJ413" s="15" t="n">
        <f aca="false">AA413*N(R413)</f>
        <v>0</v>
      </c>
      <c r="AK413" s="15" t="n">
        <f aca="false">AB413*N(AD413)</f>
        <v>0</v>
      </c>
      <c r="AL413" s="15" t="n">
        <f aca="false">AB413*N(AE413)</f>
        <v>0</v>
      </c>
      <c r="AM413" s="15" t="n">
        <f aca="false">AB413*N(AF413)</f>
        <v>0</v>
      </c>
      <c r="AN413" s="15" t="n">
        <f aca="false">AB413*N(R413)</f>
        <v>0</v>
      </c>
      <c r="AO413" s="21" t="str">
        <f aca="false">IF(F413&lt;&gt;"Y","n/a",IF(AND(N413&lt;&gt;"",OR(Q413&lt;&gt;"",G413="Other / bench",G413="None"),U413&lt;&gt;""),"OK","Missing"))</f>
        <v>Missing</v>
      </c>
    </row>
    <row r="414" customFormat="false" ht="15" hidden="false" customHeight="false" outlineLevel="0" collapsed="false">
      <c r="A414" s="10" t="s">
        <v>446</v>
      </c>
      <c r="B414" s="10" t="s">
        <v>740</v>
      </c>
      <c r="C414" s="10" t="s">
        <v>437</v>
      </c>
      <c r="D414" s="10" t="s">
        <v>741</v>
      </c>
      <c r="E414" s="21" t="str">
        <f aca="false">IF(A414="","",A414&amp;"|"&amp;D414)</f>
        <v>Borax|Assay + related substances</v>
      </c>
      <c r="F414" s="16" t="s">
        <v>662</v>
      </c>
      <c r="G414" s="16" t="s">
        <v>147</v>
      </c>
      <c r="H414" s="16" t="s">
        <v>663</v>
      </c>
      <c r="I414" s="16" t="n">
        <v>1</v>
      </c>
      <c r="J414" s="16"/>
      <c r="K414" s="14"/>
      <c r="L414" s="14"/>
      <c r="M414" s="14"/>
      <c r="N414" s="14"/>
      <c r="O414" s="14"/>
      <c r="P414" s="18" t="n">
        <f aca="false">IF(N414="",0,IF(OR(M414="",O414=""),N414,(M414+4*N414+O414)/6))</f>
        <v>0</v>
      </c>
      <c r="Q414" s="14"/>
      <c r="R414" s="14"/>
      <c r="S414" s="14"/>
      <c r="T414" s="14"/>
      <c r="U414" s="16"/>
      <c r="V414" s="13"/>
      <c r="W414" s="16" t="s">
        <v>667</v>
      </c>
      <c r="X414" s="16"/>
      <c r="Y414" s="16"/>
      <c r="Z414" s="16"/>
      <c r="AA414" s="22" t="n">
        <f aca="false">IF(F414&lt;&gt;"Y",0,((SUMIF(Products!$E$5:$E$300,A414,Products!$F$5:$F$300)+SUMIF(RM_Lots!$A$5:$A$400,A414,RM_Lots!$D$5:$D$400))+IF(W414="Y",SUMIF(Products!$E$5:$E$300,A414,Products!$G$5:$G$300),0))*(1+N(V414)))</f>
        <v>0</v>
      </c>
      <c r="AB414" s="22" t="n">
        <f aca="false">IF(F414&lt;&gt;"Y",0,((SUMIF(Products!$E$5:$E$300,A414,Products!$K$5:$K$300)+SUMIF(RM_Lots!$A$5:$A$400,A414,RM_Lots!$F$5:$F$400))+IF(W414="Y",SUMIF(Products!$E$5:$E$300,A414,Products!$L$5:$L$300),0))*(1+N(V414)))</f>
        <v>0</v>
      </c>
      <c r="AC414" s="17" t="n">
        <f aca="false">IF(J414="",1,MAX(1,COUNTIFS($J$5:$J$863,J414,$F$5:$F$863,"Y")))</f>
        <v>1</v>
      </c>
      <c r="AD414" s="18" t="n">
        <f aca="false">(MAX(1,N(I414))*(P414+N(S414))+MAX(1,N(I414))*N(K414)/(MAX(1,N(U414))*AC414))*Settings!$B$9</f>
        <v>0</v>
      </c>
      <c r="AE414" s="18" t="n">
        <f aca="false">(MAX(1,N(I414))*N(Q414)+MAX(1,N(I414))*N(L414)/(MAX(1,N(U414))*AC414))*Settings!$B$8</f>
        <v>0</v>
      </c>
      <c r="AF414" s="18" t="n">
        <f aca="false">MAX(1,N(I414))*N(T414)</f>
        <v>0</v>
      </c>
      <c r="AG414" s="15" t="n">
        <f aca="false">AA414*N(AD414)</f>
        <v>0</v>
      </c>
      <c r="AH414" s="15" t="n">
        <f aca="false">AA414*N(AE414)</f>
        <v>0</v>
      </c>
      <c r="AI414" s="15" t="n">
        <f aca="false">AA414*N(AF414)</f>
        <v>0</v>
      </c>
      <c r="AJ414" s="15" t="n">
        <f aca="false">AA414*N(R414)</f>
        <v>0</v>
      </c>
      <c r="AK414" s="15" t="n">
        <f aca="false">AB414*N(AD414)</f>
        <v>0</v>
      </c>
      <c r="AL414" s="15" t="n">
        <f aca="false">AB414*N(AE414)</f>
        <v>0</v>
      </c>
      <c r="AM414" s="15" t="n">
        <f aca="false">AB414*N(AF414)</f>
        <v>0</v>
      </c>
      <c r="AN414" s="15" t="n">
        <f aca="false">AB414*N(R414)</f>
        <v>0</v>
      </c>
      <c r="AO414" s="21" t="str">
        <f aca="false">IF(F414&lt;&gt;"Y","n/a",IF(AND(N414&lt;&gt;"",OR(Q414&lt;&gt;"",G414="Other / bench",G414="None"),U414&lt;&gt;""),"OK","Missing"))</f>
        <v>Missing</v>
      </c>
    </row>
    <row r="415" customFormat="false" ht="15" hidden="false" customHeight="false" outlineLevel="0" collapsed="false">
      <c r="A415" s="10" t="s">
        <v>446</v>
      </c>
      <c r="B415" s="10" t="s">
        <v>740</v>
      </c>
      <c r="C415" s="10" t="s">
        <v>437</v>
      </c>
      <c r="D415" s="10" t="s">
        <v>742</v>
      </c>
      <c r="E415" s="21" t="str">
        <f aca="false">IF(A415="","",A415&amp;"|"&amp;D415)</f>
        <v>Borax|Other compendial tests (ID, LOD/KF, heavy metals...)</v>
      </c>
      <c r="F415" s="16" t="s">
        <v>662</v>
      </c>
      <c r="G415" s="16" t="s">
        <v>670</v>
      </c>
      <c r="H415" s="16" t="s">
        <v>672</v>
      </c>
      <c r="I415" s="16" t="n">
        <v>1</v>
      </c>
      <c r="J415" s="16"/>
      <c r="K415" s="14"/>
      <c r="L415" s="14"/>
      <c r="M415" s="14"/>
      <c r="N415" s="14"/>
      <c r="O415" s="14"/>
      <c r="P415" s="18" t="n">
        <f aca="false">IF(N415="",0,IF(OR(M415="",O415=""),N415,(M415+4*N415+O415)/6))</f>
        <v>0</v>
      </c>
      <c r="Q415" s="14"/>
      <c r="R415" s="14"/>
      <c r="S415" s="14"/>
      <c r="T415" s="14"/>
      <c r="U415" s="16"/>
      <c r="V415" s="13"/>
      <c r="W415" s="16" t="s">
        <v>667</v>
      </c>
      <c r="X415" s="16"/>
      <c r="Y415" s="16"/>
      <c r="Z415" s="16"/>
      <c r="AA415" s="22" t="n">
        <f aca="false">IF(F415&lt;&gt;"Y",0,((SUMIF(Products!$E$5:$E$300,A415,Products!$F$5:$F$300)+SUMIF(RM_Lots!$A$5:$A$400,A415,RM_Lots!$D$5:$D$400))+IF(W415="Y",SUMIF(Products!$E$5:$E$300,A415,Products!$G$5:$G$300),0))*(1+N(V415)))</f>
        <v>0</v>
      </c>
      <c r="AB415" s="22" t="n">
        <f aca="false">IF(F415&lt;&gt;"Y",0,((SUMIF(Products!$E$5:$E$300,A415,Products!$K$5:$K$300)+SUMIF(RM_Lots!$A$5:$A$400,A415,RM_Lots!$F$5:$F$400))+IF(W415="Y",SUMIF(Products!$E$5:$E$300,A415,Products!$L$5:$L$300),0))*(1+N(V415)))</f>
        <v>0</v>
      </c>
      <c r="AC415" s="17" t="n">
        <f aca="false">IF(J415="",1,MAX(1,COUNTIFS($J$5:$J$863,J415,$F$5:$F$863,"Y")))</f>
        <v>1</v>
      </c>
      <c r="AD415" s="18" t="n">
        <f aca="false">(MAX(1,N(I415))*(P415+N(S415))+MAX(1,N(I415))*N(K415)/(MAX(1,N(U415))*AC415))*Settings!$B$9</f>
        <v>0</v>
      </c>
      <c r="AE415" s="18" t="n">
        <f aca="false">(MAX(1,N(I415))*N(Q415)+MAX(1,N(I415))*N(L415)/(MAX(1,N(U415))*AC415))*Settings!$B$8</f>
        <v>0</v>
      </c>
      <c r="AF415" s="18" t="n">
        <f aca="false">MAX(1,N(I415))*N(T415)</f>
        <v>0</v>
      </c>
      <c r="AG415" s="15" t="n">
        <f aca="false">AA415*N(AD415)</f>
        <v>0</v>
      </c>
      <c r="AH415" s="15" t="n">
        <f aca="false">AA415*N(AE415)</f>
        <v>0</v>
      </c>
      <c r="AI415" s="15" t="n">
        <f aca="false">AA415*N(AF415)</f>
        <v>0</v>
      </c>
      <c r="AJ415" s="15" t="n">
        <f aca="false">AA415*N(R415)</f>
        <v>0</v>
      </c>
      <c r="AK415" s="15" t="n">
        <f aca="false">AB415*N(AD415)</f>
        <v>0</v>
      </c>
      <c r="AL415" s="15" t="n">
        <f aca="false">AB415*N(AE415)</f>
        <v>0</v>
      </c>
      <c r="AM415" s="15" t="n">
        <f aca="false">AB415*N(AF415)</f>
        <v>0</v>
      </c>
      <c r="AN415" s="15" t="n">
        <f aca="false">AB415*N(R415)</f>
        <v>0</v>
      </c>
      <c r="AO415" s="21" t="str">
        <f aca="false">IF(F415&lt;&gt;"Y","n/a",IF(AND(N415&lt;&gt;"",OR(Q415&lt;&gt;"",G415="Other / bench",G415="None"),U415&lt;&gt;""),"OK","Missing"))</f>
        <v>Missing</v>
      </c>
    </row>
    <row r="416" customFormat="false" ht="15" hidden="false" customHeight="false" outlineLevel="0" collapsed="false">
      <c r="A416" s="10" t="s">
        <v>447</v>
      </c>
      <c r="B416" s="10" t="s">
        <v>740</v>
      </c>
      <c r="C416" s="10" t="s">
        <v>437</v>
      </c>
      <c r="D416" s="10" t="s">
        <v>741</v>
      </c>
      <c r="E416" s="21" t="str">
        <f aca="false">IF(A416="","",A416&amp;"|"&amp;D416)</f>
        <v>Caffeine (Base)|Assay + related substances</v>
      </c>
      <c r="F416" s="16" t="s">
        <v>662</v>
      </c>
      <c r="G416" s="16" t="s">
        <v>147</v>
      </c>
      <c r="H416" s="16" t="s">
        <v>663</v>
      </c>
      <c r="I416" s="16" t="n">
        <v>1</v>
      </c>
      <c r="J416" s="16"/>
      <c r="K416" s="14"/>
      <c r="L416" s="14"/>
      <c r="M416" s="14"/>
      <c r="N416" s="14"/>
      <c r="O416" s="14"/>
      <c r="P416" s="18" t="n">
        <f aca="false">IF(N416="",0,IF(OR(M416="",O416=""),N416,(M416+4*N416+O416)/6))</f>
        <v>0</v>
      </c>
      <c r="Q416" s="14"/>
      <c r="R416" s="14"/>
      <c r="S416" s="14"/>
      <c r="T416" s="14"/>
      <c r="U416" s="16"/>
      <c r="V416" s="13"/>
      <c r="W416" s="16" t="s">
        <v>667</v>
      </c>
      <c r="X416" s="16"/>
      <c r="Y416" s="16"/>
      <c r="Z416" s="16"/>
      <c r="AA416" s="22" t="n">
        <f aca="false">IF(F416&lt;&gt;"Y",0,((SUMIF(Products!$E$5:$E$300,A416,Products!$F$5:$F$300)+SUMIF(RM_Lots!$A$5:$A$400,A416,RM_Lots!$D$5:$D$400))+IF(W416="Y",SUMIF(Products!$E$5:$E$300,A416,Products!$G$5:$G$300),0))*(1+N(V416)))</f>
        <v>0</v>
      </c>
      <c r="AB416" s="22" t="n">
        <f aca="false">IF(F416&lt;&gt;"Y",0,((SUMIF(Products!$E$5:$E$300,A416,Products!$K$5:$K$300)+SUMIF(RM_Lots!$A$5:$A$400,A416,RM_Lots!$F$5:$F$400))+IF(W416="Y",SUMIF(Products!$E$5:$E$300,A416,Products!$L$5:$L$300),0))*(1+N(V416)))</f>
        <v>0</v>
      </c>
      <c r="AC416" s="17" t="n">
        <f aca="false">IF(J416="",1,MAX(1,COUNTIFS($J$5:$J$863,J416,$F$5:$F$863,"Y")))</f>
        <v>1</v>
      </c>
      <c r="AD416" s="18" t="n">
        <f aca="false">(MAX(1,N(I416))*(P416+N(S416))+MAX(1,N(I416))*N(K416)/(MAX(1,N(U416))*AC416))*Settings!$B$9</f>
        <v>0</v>
      </c>
      <c r="AE416" s="18" t="n">
        <f aca="false">(MAX(1,N(I416))*N(Q416)+MAX(1,N(I416))*N(L416)/(MAX(1,N(U416))*AC416))*Settings!$B$8</f>
        <v>0</v>
      </c>
      <c r="AF416" s="18" t="n">
        <f aca="false">MAX(1,N(I416))*N(T416)</f>
        <v>0</v>
      </c>
      <c r="AG416" s="15" t="n">
        <f aca="false">AA416*N(AD416)</f>
        <v>0</v>
      </c>
      <c r="AH416" s="15" t="n">
        <f aca="false">AA416*N(AE416)</f>
        <v>0</v>
      </c>
      <c r="AI416" s="15" t="n">
        <f aca="false">AA416*N(AF416)</f>
        <v>0</v>
      </c>
      <c r="AJ416" s="15" t="n">
        <f aca="false">AA416*N(R416)</f>
        <v>0</v>
      </c>
      <c r="AK416" s="15" t="n">
        <f aca="false">AB416*N(AD416)</f>
        <v>0</v>
      </c>
      <c r="AL416" s="15" t="n">
        <f aca="false">AB416*N(AE416)</f>
        <v>0</v>
      </c>
      <c r="AM416" s="15" t="n">
        <f aca="false">AB416*N(AF416)</f>
        <v>0</v>
      </c>
      <c r="AN416" s="15" t="n">
        <f aca="false">AB416*N(R416)</f>
        <v>0</v>
      </c>
      <c r="AO416" s="21" t="str">
        <f aca="false">IF(F416&lt;&gt;"Y","n/a",IF(AND(N416&lt;&gt;"",OR(Q416&lt;&gt;"",G416="Other / bench",G416="None"),U416&lt;&gt;""),"OK","Missing"))</f>
        <v>Missing</v>
      </c>
    </row>
    <row r="417" customFormat="false" ht="15" hidden="false" customHeight="false" outlineLevel="0" collapsed="false">
      <c r="A417" s="10" t="s">
        <v>447</v>
      </c>
      <c r="B417" s="10" t="s">
        <v>740</v>
      </c>
      <c r="C417" s="10" t="s">
        <v>437</v>
      </c>
      <c r="D417" s="10" t="s">
        <v>742</v>
      </c>
      <c r="E417" s="21" t="str">
        <f aca="false">IF(A417="","",A417&amp;"|"&amp;D417)</f>
        <v>Caffeine (Base)|Other compendial tests (ID, LOD/KF, heavy metals...)</v>
      </c>
      <c r="F417" s="16" t="s">
        <v>662</v>
      </c>
      <c r="G417" s="16" t="s">
        <v>670</v>
      </c>
      <c r="H417" s="16" t="s">
        <v>672</v>
      </c>
      <c r="I417" s="16" t="n">
        <v>1</v>
      </c>
      <c r="J417" s="16"/>
      <c r="K417" s="14"/>
      <c r="L417" s="14"/>
      <c r="M417" s="14"/>
      <c r="N417" s="14"/>
      <c r="O417" s="14"/>
      <c r="P417" s="18" t="n">
        <f aca="false">IF(N417="",0,IF(OR(M417="",O417=""),N417,(M417+4*N417+O417)/6))</f>
        <v>0</v>
      </c>
      <c r="Q417" s="14"/>
      <c r="R417" s="14"/>
      <c r="S417" s="14"/>
      <c r="T417" s="14"/>
      <c r="U417" s="16"/>
      <c r="V417" s="13"/>
      <c r="W417" s="16" t="s">
        <v>667</v>
      </c>
      <c r="X417" s="16"/>
      <c r="Y417" s="16"/>
      <c r="Z417" s="16"/>
      <c r="AA417" s="22" t="n">
        <f aca="false">IF(F417&lt;&gt;"Y",0,((SUMIF(Products!$E$5:$E$300,A417,Products!$F$5:$F$300)+SUMIF(RM_Lots!$A$5:$A$400,A417,RM_Lots!$D$5:$D$400))+IF(W417="Y",SUMIF(Products!$E$5:$E$300,A417,Products!$G$5:$G$300),0))*(1+N(V417)))</f>
        <v>0</v>
      </c>
      <c r="AB417" s="22" t="n">
        <f aca="false">IF(F417&lt;&gt;"Y",0,((SUMIF(Products!$E$5:$E$300,A417,Products!$K$5:$K$300)+SUMIF(RM_Lots!$A$5:$A$400,A417,RM_Lots!$F$5:$F$400))+IF(W417="Y",SUMIF(Products!$E$5:$E$300,A417,Products!$L$5:$L$300),0))*(1+N(V417)))</f>
        <v>0</v>
      </c>
      <c r="AC417" s="17" t="n">
        <f aca="false">IF(J417="",1,MAX(1,COUNTIFS($J$5:$J$863,J417,$F$5:$F$863,"Y")))</f>
        <v>1</v>
      </c>
      <c r="AD417" s="18" t="n">
        <f aca="false">(MAX(1,N(I417))*(P417+N(S417))+MAX(1,N(I417))*N(K417)/(MAX(1,N(U417))*AC417))*Settings!$B$9</f>
        <v>0</v>
      </c>
      <c r="AE417" s="18" t="n">
        <f aca="false">(MAX(1,N(I417))*N(Q417)+MAX(1,N(I417))*N(L417)/(MAX(1,N(U417))*AC417))*Settings!$B$8</f>
        <v>0</v>
      </c>
      <c r="AF417" s="18" t="n">
        <f aca="false">MAX(1,N(I417))*N(T417)</f>
        <v>0</v>
      </c>
      <c r="AG417" s="15" t="n">
        <f aca="false">AA417*N(AD417)</f>
        <v>0</v>
      </c>
      <c r="AH417" s="15" t="n">
        <f aca="false">AA417*N(AE417)</f>
        <v>0</v>
      </c>
      <c r="AI417" s="15" t="n">
        <f aca="false">AA417*N(AF417)</f>
        <v>0</v>
      </c>
      <c r="AJ417" s="15" t="n">
        <f aca="false">AA417*N(R417)</f>
        <v>0</v>
      </c>
      <c r="AK417" s="15" t="n">
        <f aca="false">AB417*N(AD417)</f>
        <v>0</v>
      </c>
      <c r="AL417" s="15" t="n">
        <f aca="false">AB417*N(AE417)</f>
        <v>0</v>
      </c>
      <c r="AM417" s="15" t="n">
        <f aca="false">AB417*N(AF417)</f>
        <v>0</v>
      </c>
      <c r="AN417" s="15" t="n">
        <f aca="false">AB417*N(R417)</f>
        <v>0</v>
      </c>
      <c r="AO417" s="21" t="str">
        <f aca="false">IF(F417&lt;&gt;"Y","n/a",IF(AND(N417&lt;&gt;"",OR(Q417&lt;&gt;"",G417="Other / bench",G417="None"),U417&lt;&gt;""),"OK","Missing"))</f>
        <v>Missing</v>
      </c>
    </row>
    <row r="418" customFormat="false" ht="15" hidden="false" customHeight="false" outlineLevel="0" collapsed="false">
      <c r="A418" s="10" t="s">
        <v>448</v>
      </c>
      <c r="B418" s="10" t="s">
        <v>740</v>
      </c>
      <c r="C418" s="10" t="s">
        <v>437</v>
      </c>
      <c r="D418" s="10" t="s">
        <v>741</v>
      </c>
      <c r="E418" s="21" t="str">
        <f aca="false">IF(A418="","",A418&amp;"|"&amp;D418)</f>
        <v>Calcium Carbonate|Assay + related substances</v>
      </c>
      <c r="F418" s="16" t="s">
        <v>662</v>
      </c>
      <c r="G418" s="16" t="s">
        <v>147</v>
      </c>
      <c r="H418" s="16" t="s">
        <v>663</v>
      </c>
      <c r="I418" s="16" t="n">
        <v>1</v>
      </c>
      <c r="J418" s="16"/>
      <c r="K418" s="14"/>
      <c r="L418" s="14"/>
      <c r="M418" s="14"/>
      <c r="N418" s="14"/>
      <c r="O418" s="14"/>
      <c r="P418" s="18" t="n">
        <f aca="false">IF(N418="",0,IF(OR(M418="",O418=""),N418,(M418+4*N418+O418)/6))</f>
        <v>0</v>
      </c>
      <c r="Q418" s="14"/>
      <c r="R418" s="14"/>
      <c r="S418" s="14"/>
      <c r="T418" s="14"/>
      <c r="U418" s="16"/>
      <c r="V418" s="13"/>
      <c r="W418" s="16" t="s">
        <v>667</v>
      </c>
      <c r="X418" s="16"/>
      <c r="Y418" s="16"/>
      <c r="Z418" s="16"/>
      <c r="AA418" s="22" t="n">
        <f aca="false">IF(F418&lt;&gt;"Y",0,((SUMIF(Products!$E$5:$E$300,A418,Products!$F$5:$F$300)+SUMIF(RM_Lots!$A$5:$A$400,A418,RM_Lots!$D$5:$D$400))+IF(W418="Y",SUMIF(Products!$E$5:$E$300,A418,Products!$G$5:$G$300),0))*(1+N(V418)))</f>
        <v>0</v>
      </c>
      <c r="AB418" s="22" t="n">
        <f aca="false">IF(F418&lt;&gt;"Y",0,((SUMIF(Products!$E$5:$E$300,A418,Products!$K$5:$K$300)+SUMIF(RM_Lots!$A$5:$A$400,A418,RM_Lots!$F$5:$F$400))+IF(W418="Y",SUMIF(Products!$E$5:$E$300,A418,Products!$L$5:$L$300),0))*(1+N(V418)))</f>
        <v>0</v>
      </c>
      <c r="AC418" s="17" t="n">
        <f aca="false">IF(J418="",1,MAX(1,COUNTIFS($J$5:$J$863,J418,$F$5:$F$863,"Y")))</f>
        <v>1</v>
      </c>
      <c r="AD418" s="18" t="n">
        <f aca="false">(MAX(1,N(I418))*(P418+N(S418))+MAX(1,N(I418))*N(K418)/(MAX(1,N(U418))*AC418))*Settings!$B$9</f>
        <v>0</v>
      </c>
      <c r="AE418" s="18" t="n">
        <f aca="false">(MAX(1,N(I418))*N(Q418)+MAX(1,N(I418))*N(L418)/(MAX(1,N(U418))*AC418))*Settings!$B$8</f>
        <v>0</v>
      </c>
      <c r="AF418" s="18" t="n">
        <f aca="false">MAX(1,N(I418))*N(T418)</f>
        <v>0</v>
      </c>
      <c r="AG418" s="15" t="n">
        <f aca="false">AA418*N(AD418)</f>
        <v>0</v>
      </c>
      <c r="AH418" s="15" t="n">
        <f aca="false">AA418*N(AE418)</f>
        <v>0</v>
      </c>
      <c r="AI418" s="15" t="n">
        <f aca="false">AA418*N(AF418)</f>
        <v>0</v>
      </c>
      <c r="AJ418" s="15" t="n">
        <f aca="false">AA418*N(R418)</f>
        <v>0</v>
      </c>
      <c r="AK418" s="15" t="n">
        <f aca="false">AB418*N(AD418)</f>
        <v>0</v>
      </c>
      <c r="AL418" s="15" t="n">
        <f aca="false">AB418*N(AE418)</f>
        <v>0</v>
      </c>
      <c r="AM418" s="15" t="n">
        <f aca="false">AB418*N(AF418)</f>
        <v>0</v>
      </c>
      <c r="AN418" s="15" t="n">
        <f aca="false">AB418*N(R418)</f>
        <v>0</v>
      </c>
      <c r="AO418" s="21" t="str">
        <f aca="false">IF(F418&lt;&gt;"Y","n/a",IF(AND(N418&lt;&gt;"",OR(Q418&lt;&gt;"",G418="Other / bench",G418="None"),U418&lt;&gt;""),"OK","Missing"))</f>
        <v>Missing</v>
      </c>
    </row>
    <row r="419" customFormat="false" ht="15" hidden="false" customHeight="false" outlineLevel="0" collapsed="false">
      <c r="A419" s="10" t="s">
        <v>448</v>
      </c>
      <c r="B419" s="10" t="s">
        <v>740</v>
      </c>
      <c r="C419" s="10" t="s">
        <v>437</v>
      </c>
      <c r="D419" s="10" t="s">
        <v>742</v>
      </c>
      <c r="E419" s="21" t="str">
        <f aca="false">IF(A419="","",A419&amp;"|"&amp;D419)</f>
        <v>Calcium Carbonate|Other compendial tests (ID, LOD/KF, heavy metals...)</v>
      </c>
      <c r="F419" s="16" t="s">
        <v>662</v>
      </c>
      <c r="G419" s="16" t="s">
        <v>670</v>
      </c>
      <c r="H419" s="16" t="s">
        <v>672</v>
      </c>
      <c r="I419" s="16" t="n">
        <v>1</v>
      </c>
      <c r="J419" s="16"/>
      <c r="K419" s="14"/>
      <c r="L419" s="14"/>
      <c r="M419" s="14"/>
      <c r="N419" s="14"/>
      <c r="O419" s="14"/>
      <c r="P419" s="18" t="n">
        <f aca="false">IF(N419="",0,IF(OR(M419="",O419=""),N419,(M419+4*N419+O419)/6))</f>
        <v>0</v>
      </c>
      <c r="Q419" s="14"/>
      <c r="R419" s="14"/>
      <c r="S419" s="14"/>
      <c r="T419" s="14"/>
      <c r="U419" s="16"/>
      <c r="V419" s="13"/>
      <c r="W419" s="16" t="s">
        <v>667</v>
      </c>
      <c r="X419" s="16"/>
      <c r="Y419" s="16"/>
      <c r="Z419" s="16"/>
      <c r="AA419" s="22" t="n">
        <f aca="false">IF(F419&lt;&gt;"Y",0,((SUMIF(Products!$E$5:$E$300,A419,Products!$F$5:$F$300)+SUMIF(RM_Lots!$A$5:$A$400,A419,RM_Lots!$D$5:$D$400))+IF(W419="Y",SUMIF(Products!$E$5:$E$300,A419,Products!$G$5:$G$300),0))*(1+N(V419)))</f>
        <v>0</v>
      </c>
      <c r="AB419" s="22" t="n">
        <f aca="false">IF(F419&lt;&gt;"Y",0,((SUMIF(Products!$E$5:$E$300,A419,Products!$K$5:$K$300)+SUMIF(RM_Lots!$A$5:$A$400,A419,RM_Lots!$F$5:$F$400))+IF(W419="Y",SUMIF(Products!$E$5:$E$300,A419,Products!$L$5:$L$300),0))*(1+N(V419)))</f>
        <v>0</v>
      </c>
      <c r="AC419" s="17" t="n">
        <f aca="false">IF(J419="",1,MAX(1,COUNTIFS($J$5:$J$863,J419,$F$5:$F$863,"Y")))</f>
        <v>1</v>
      </c>
      <c r="AD419" s="18" t="n">
        <f aca="false">(MAX(1,N(I419))*(P419+N(S419))+MAX(1,N(I419))*N(K419)/(MAX(1,N(U419))*AC419))*Settings!$B$9</f>
        <v>0</v>
      </c>
      <c r="AE419" s="18" t="n">
        <f aca="false">(MAX(1,N(I419))*N(Q419)+MAX(1,N(I419))*N(L419)/(MAX(1,N(U419))*AC419))*Settings!$B$8</f>
        <v>0</v>
      </c>
      <c r="AF419" s="18" t="n">
        <f aca="false">MAX(1,N(I419))*N(T419)</f>
        <v>0</v>
      </c>
      <c r="AG419" s="15" t="n">
        <f aca="false">AA419*N(AD419)</f>
        <v>0</v>
      </c>
      <c r="AH419" s="15" t="n">
        <f aca="false">AA419*N(AE419)</f>
        <v>0</v>
      </c>
      <c r="AI419" s="15" t="n">
        <f aca="false">AA419*N(AF419)</f>
        <v>0</v>
      </c>
      <c r="AJ419" s="15" t="n">
        <f aca="false">AA419*N(R419)</f>
        <v>0</v>
      </c>
      <c r="AK419" s="15" t="n">
        <f aca="false">AB419*N(AD419)</f>
        <v>0</v>
      </c>
      <c r="AL419" s="15" t="n">
        <f aca="false">AB419*N(AE419)</f>
        <v>0</v>
      </c>
      <c r="AM419" s="15" t="n">
        <f aca="false">AB419*N(AF419)</f>
        <v>0</v>
      </c>
      <c r="AN419" s="15" t="n">
        <f aca="false">AB419*N(R419)</f>
        <v>0</v>
      </c>
      <c r="AO419" s="21" t="str">
        <f aca="false">IF(F419&lt;&gt;"Y","n/a",IF(AND(N419&lt;&gt;"",OR(Q419&lt;&gt;"",G419="Other / bench",G419="None"),U419&lt;&gt;""),"OK","Missing"))</f>
        <v>Missing</v>
      </c>
    </row>
    <row r="420" customFormat="false" ht="15" hidden="false" customHeight="false" outlineLevel="0" collapsed="false">
      <c r="A420" s="10" t="s">
        <v>449</v>
      </c>
      <c r="B420" s="10" t="s">
        <v>740</v>
      </c>
      <c r="C420" s="10" t="s">
        <v>437</v>
      </c>
      <c r="D420" s="10" t="s">
        <v>741</v>
      </c>
      <c r="E420" s="21" t="str">
        <f aca="false">IF(A420="","",A420&amp;"|"&amp;D420)</f>
        <v>Calcium Carbonate Heavy|Assay + related substances</v>
      </c>
      <c r="F420" s="16" t="s">
        <v>662</v>
      </c>
      <c r="G420" s="16" t="s">
        <v>147</v>
      </c>
      <c r="H420" s="16" t="s">
        <v>663</v>
      </c>
      <c r="I420" s="16" t="n">
        <v>1</v>
      </c>
      <c r="J420" s="16"/>
      <c r="K420" s="14"/>
      <c r="L420" s="14"/>
      <c r="M420" s="14"/>
      <c r="N420" s="14"/>
      <c r="O420" s="14"/>
      <c r="P420" s="18" t="n">
        <f aca="false">IF(N420="",0,IF(OR(M420="",O420=""),N420,(M420+4*N420+O420)/6))</f>
        <v>0</v>
      </c>
      <c r="Q420" s="14"/>
      <c r="R420" s="14"/>
      <c r="S420" s="14"/>
      <c r="T420" s="14"/>
      <c r="U420" s="16"/>
      <c r="V420" s="13"/>
      <c r="W420" s="16" t="s">
        <v>667</v>
      </c>
      <c r="X420" s="16"/>
      <c r="Y420" s="16"/>
      <c r="Z420" s="16"/>
      <c r="AA420" s="22" t="n">
        <f aca="false">IF(F420&lt;&gt;"Y",0,((SUMIF(Products!$E$5:$E$300,A420,Products!$F$5:$F$300)+SUMIF(RM_Lots!$A$5:$A$400,A420,RM_Lots!$D$5:$D$400))+IF(W420="Y",SUMIF(Products!$E$5:$E$300,A420,Products!$G$5:$G$300),0))*(1+N(V420)))</f>
        <v>0</v>
      </c>
      <c r="AB420" s="22" t="n">
        <f aca="false">IF(F420&lt;&gt;"Y",0,((SUMIF(Products!$E$5:$E$300,A420,Products!$K$5:$K$300)+SUMIF(RM_Lots!$A$5:$A$400,A420,RM_Lots!$F$5:$F$400))+IF(W420="Y",SUMIF(Products!$E$5:$E$300,A420,Products!$L$5:$L$300),0))*(1+N(V420)))</f>
        <v>0</v>
      </c>
      <c r="AC420" s="17" t="n">
        <f aca="false">IF(J420="",1,MAX(1,COUNTIFS($J$5:$J$863,J420,$F$5:$F$863,"Y")))</f>
        <v>1</v>
      </c>
      <c r="AD420" s="18" t="n">
        <f aca="false">(MAX(1,N(I420))*(P420+N(S420))+MAX(1,N(I420))*N(K420)/(MAX(1,N(U420))*AC420))*Settings!$B$9</f>
        <v>0</v>
      </c>
      <c r="AE420" s="18" t="n">
        <f aca="false">(MAX(1,N(I420))*N(Q420)+MAX(1,N(I420))*N(L420)/(MAX(1,N(U420))*AC420))*Settings!$B$8</f>
        <v>0</v>
      </c>
      <c r="AF420" s="18" t="n">
        <f aca="false">MAX(1,N(I420))*N(T420)</f>
        <v>0</v>
      </c>
      <c r="AG420" s="15" t="n">
        <f aca="false">AA420*N(AD420)</f>
        <v>0</v>
      </c>
      <c r="AH420" s="15" t="n">
        <f aca="false">AA420*N(AE420)</f>
        <v>0</v>
      </c>
      <c r="AI420" s="15" t="n">
        <f aca="false">AA420*N(AF420)</f>
        <v>0</v>
      </c>
      <c r="AJ420" s="15" t="n">
        <f aca="false">AA420*N(R420)</f>
        <v>0</v>
      </c>
      <c r="AK420" s="15" t="n">
        <f aca="false">AB420*N(AD420)</f>
        <v>0</v>
      </c>
      <c r="AL420" s="15" t="n">
        <f aca="false">AB420*N(AE420)</f>
        <v>0</v>
      </c>
      <c r="AM420" s="15" t="n">
        <f aca="false">AB420*N(AF420)</f>
        <v>0</v>
      </c>
      <c r="AN420" s="15" t="n">
        <f aca="false">AB420*N(R420)</f>
        <v>0</v>
      </c>
      <c r="AO420" s="21" t="str">
        <f aca="false">IF(F420&lt;&gt;"Y","n/a",IF(AND(N420&lt;&gt;"",OR(Q420&lt;&gt;"",G420="Other / bench",G420="None"),U420&lt;&gt;""),"OK","Missing"))</f>
        <v>Missing</v>
      </c>
    </row>
    <row r="421" customFormat="false" ht="15" hidden="false" customHeight="false" outlineLevel="0" collapsed="false">
      <c r="A421" s="10" t="s">
        <v>449</v>
      </c>
      <c r="B421" s="10" t="s">
        <v>740</v>
      </c>
      <c r="C421" s="10" t="s">
        <v>437</v>
      </c>
      <c r="D421" s="10" t="s">
        <v>742</v>
      </c>
      <c r="E421" s="21" t="str">
        <f aca="false">IF(A421="","",A421&amp;"|"&amp;D421)</f>
        <v>Calcium Carbonate Heavy|Other compendial tests (ID, LOD/KF, heavy metals...)</v>
      </c>
      <c r="F421" s="16" t="s">
        <v>662</v>
      </c>
      <c r="G421" s="16" t="s">
        <v>670</v>
      </c>
      <c r="H421" s="16" t="s">
        <v>672</v>
      </c>
      <c r="I421" s="16" t="n">
        <v>1</v>
      </c>
      <c r="J421" s="16"/>
      <c r="K421" s="14"/>
      <c r="L421" s="14"/>
      <c r="M421" s="14"/>
      <c r="N421" s="14"/>
      <c r="O421" s="14"/>
      <c r="P421" s="18" t="n">
        <f aca="false">IF(N421="",0,IF(OR(M421="",O421=""),N421,(M421+4*N421+O421)/6))</f>
        <v>0</v>
      </c>
      <c r="Q421" s="14"/>
      <c r="R421" s="14"/>
      <c r="S421" s="14"/>
      <c r="T421" s="14"/>
      <c r="U421" s="16"/>
      <c r="V421" s="13"/>
      <c r="W421" s="16" t="s">
        <v>667</v>
      </c>
      <c r="X421" s="16"/>
      <c r="Y421" s="16"/>
      <c r="Z421" s="16"/>
      <c r="AA421" s="22" t="n">
        <f aca="false">IF(F421&lt;&gt;"Y",0,((SUMIF(Products!$E$5:$E$300,A421,Products!$F$5:$F$300)+SUMIF(RM_Lots!$A$5:$A$400,A421,RM_Lots!$D$5:$D$400))+IF(W421="Y",SUMIF(Products!$E$5:$E$300,A421,Products!$G$5:$G$300),0))*(1+N(V421)))</f>
        <v>0</v>
      </c>
      <c r="AB421" s="22" t="n">
        <f aca="false">IF(F421&lt;&gt;"Y",0,((SUMIF(Products!$E$5:$E$300,A421,Products!$K$5:$K$300)+SUMIF(RM_Lots!$A$5:$A$400,A421,RM_Lots!$F$5:$F$400))+IF(W421="Y",SUMIF(Products!$E$5:$E$300,A421,Products!$L$5:$L$300),0))*(1+N(V421)))</f>
        <v>0</v>
      </c>
      <c r="AC421" s="17" t="n">
        <f aca="false">IF(J421="",1,MAX(1,COUNTIFS($J$5:$J$863,J421,$F$5:$F$863,"Y")))</f>
        <v>1</v>
      </c>
      <c r="AD421" s="18" t="n">
        <f aca="false">(MAX(1,N(I421))*(P421+N(S421))+MAX(1,N(I421))*N(K421)/(MAX(1,N(U421))*AC421))*Settings!$B$9</f>
        <v>0</v>
      </c>
      <c r="AE421" s="18" t="n">
        <f aca="false">(MAX(1,N(I421))*N(Q421)+MAX(1,N(I421))*N(L421)/(MAX(1,N(U421))*AC421))*Settings!$B$8</f>
        <v>0</v>
      </c>
      <c r="AF421" s="18" t="n">
        <f aca="false">MAX(1,N(I421))*N(T421)</f>
        <v>0</v>
      </c>
      <c r="AG421" s="15" t="n">
        <f aca="false">AA421*N(AD421)</f>
        <v>0</v>
      </c>
      <c r="AH421" s="15" t="n">
        <f aca="false">AA421*N(AE421)</f>
        <v>0</v>
      </c>
      <c r="AI421" s="15" t="n">
        <f aca="false">AA421*N(AF421)</f>
        <v>0</v>
      </c>
      <c r="AJ421" s="15" t="n">
        <f aca="false">AA421*N(R421)</f>
        <v>0</v>
      </c>
      <c r="AK421" s="15" t="n">
        <f aca="false">AB421*N(AD421)</f>
        <v>0</v>
      </c>
      <c r="AL421" s="15" t="n">
        <f aca="false">AB421*N(AE421)</f>
        <v>0</v>
      </c>
      <c r="AM421" s="15" t="n">
        <f aca="false">AB421*N(AF421)</f>
        <v>0</v>
      </c>
      <c r="AN421" s="15" t="n">
        <f aca="false">AB421*N(R421)</f>
        <v>0</v>
      </c>
      <c r="AO421" s="21" t="str">
        <f aca="false">IF(F421&lt;&gt;"Y","n/a",IF(AND(N421&lt;&gt;"",OR(Q421&lt;&gt;"",G421="Other / bench",G421="None"),U421&lt;&gt;""),"OK","Missing"))</f>
        <v>Missing</v>
      </c>
    </row>
    <row r="422" customFormat="false" ht="15" hidden="false" customHeight="false" outlineLevel="0" collapsed="false">
      <c r="A422" s="10" t="s">
        <v>450</v>
      </c>
      <c r="B422" s="10" t="s">
        <v>740</v>
      </c>
      <c r="C422" s="10" t="s">
        <v>437</v>
      </c>
      <c r="D422" s="10" t="s">
        <v>741</v>
      </c>
      <c r="E422" s="21" t="str">
        <f aca="false">IF(A422="","",A422&amp;"|"&amp;D422)</f>
        <v>Calcium Pantothenate (Vitamin B5)|Assay + related substances</v>
      </c>
      <c r="F422" s="16" t="s">
        <v>662</v>
      </c>
      <c r="G422" s="16" t="s">
        <v>147</v>
      </c>
      <c r="H422" s="16" t="s">
        <v>663</v>
      </c>
      <c r="I422" s="16" t="n">
        <v>1</v>
      </c>
      <c r="J422" s="16"/>
      <c r="K422" s="14"/>
      <c r="L422" s="14"/>
      <c r="M422" s="14"/>
      <c r="N422" s="14"/>
      <c r="O422" s="14"/>
      <c r="P422" s="18" t="n">
        <f aca="false">IF(N422="",0,IF(OR(M422="",O422=""),N422,(M422+4*N422+O422)/6))</f>
        <v>0</v>
      </c>
      <c r="Q422" s="14"/>
      <c r="R422" s="14"/>
      <c r="S422" s="14"/>
      <c r="T422" s="14"/>
      <c r="U422" s="16"/>
      <c r="V422" s="13"/>
      <c r="W422" s="16" t="s">
        <v>667</v>
      </c>
      <c r="X422" s="16"/>
      <c r="Y422" s="16"/>
      <c r="Z422" s="16"/>
      <c r="AA422" s="22" t="n">
        <f aca="false">IF(F422&lt;&gt;"Y",0,((SUMIF(Products!$E$5:$E$300,A422,Products!$F$5:$F$300)+SUMIF(RM_Lots!$A$5:$A$400,A422,RM_Lots!$D$5:$D$400))+IF(W422="Y",SUMIF(Products!$E$5:$E$300,A422,Products!$G$5:$G$300),0))*(1+N(V422)))</f>
        <v>0</v>
      </c>
      <c r="AB422" s="22" t="n">
        <f aca="false">IF(F422&lt;&gt;"Y",0,((SUMIF(Products!$E$5:$E$300,A422,Products!$K$5:$K$300)+SUMIF(RM_Lots!$A$5:$A$400,A422,RM_Lots!$F$5:$F$400))+IF(W422="Y",SUMIF(Products!$E$5:$E$300,A422,Products!$L$5:$L$300),0))*(1+N(V422)))</f>
        <v>0</v>
      </c>
      <c r="AC422" s="17" t="n">
        <f aca="false">IF(J422="",1,MAX(1,COUNTIFS($J$5:$J$863,J422,$F$5:$F$863,"Y")))</f>
        <v>1</v>
      </c>
      <c r="AD422" s="18" t="n">
        <f aca="false">(MAX(1,N(I422))*(P422+N(S422))+MAX(1,N(I422))*N(K422)/(MAX(1,N(U422))*AC422))*Settings!$B$9</f>
        <v>0</v>
      </c>
      <c r="AE422" s="18" t="n">
        <f aca="false">(MAX(1,N(I422))*N(Q422)+MAX(1,N(I422))*N(L422)/(MAX(1,N(U422))*AC422))*Settings!$B$8</f>
        <v>0</v>
      </c>
      <c r="AF422" s="18" t="n">
        <f aca="false">MAX(1,N(I422))*N(T422)</f>
        <v>0</v>
      </c>
      <c r="AG422" s="15" t="n">
        <f aca="false">AA422*N(AD422)</f>
        <v>0</v>
      </c>
      <c r="AH422" s="15" t="n">
        <f aca="false">AA422*N(AE422)</f>
        <v>0</v>
      </c>
      <c r="AI422" s="15" t="n">
        <f aca="false">AA422*N(AF422)</f>
        <v>0</v>
      </c>
      <c r="AJ422" s="15" t="n">
        <f aca="false">AA422*N(R422)</f>
        <v>0</v>
      </c>
      <c r="AK422" s="15" t="n">
        <f aca="false">AB422*N(AD422)</f>
        <v>0</v>
      </c>
      <c r="AL422" s="15" t="n">
        <f aca="false">AB422*N(AE422)</f>
        <v>0</v>
      </c>
      <c r="AM422" s="15" t="n">
        <f aca="false">AB422*N(AF422)</f>
        <v>0</v>
      </c>
      <c r="AN422" s="15" t="n">
        <f aca="false">AB422*N(R422)</f>
        <v>0</v>
      </c>
      <c r="AO422" s="21" t="str">
        <f aca="false">IF(F422&lt;&gt;"Y","n/a",IF(AND(N422&lt;&gt;"",OR(Q422&lt;&gt;"",G422="Other / bench",G422="None"),U422&lt;&gt;""),"OK","Missing"))</f>
        <v>Missing</v>
      </c>
    </row>
    <row r="423" customFormat="false" ht="15" hidden="false" customHeight="false" outlineLevel="0" collapsed="false">
      <c r="A423" s="10" t="s">
        <v>450</v>
      </c>
      <c r="B423" s="10" t="s">
        <v>740</v>
      </c>
      <c r="C423" s="10" t="s">
        <v>437</v>
      </c>
      <c r="D423" s="10" t="s">
        <v>742</v>
      </c>
      <c r="E423" s="21" t="str">
        <f aca="false">IF(A423="","",A423&amp;"|"&amp;D423)</f>
        <v>Calcium Pantothenate (Vitamin B5)|Other compendial tests (ID, LOD/KF, heavy metals...)</v>
      </c>
      <c r="F423" s="16" t="s">
        <v>662</v>
      </c>
      <c r="G423" s="16" t="s">
        <v>670</v>
      </c>
      <c r="H423" s="16" t="s">
        <v>672</v>
      </c>
      <c r="I423" s="16" t="n">
        <v>1</v>
      </c>
      <c r="J423" s="16"/>
      <c r="K423" s="14"/>
      <c r="L423" s="14"/>
      <c r="M423" s="14"/>
      <c r="N423" s="14"/>
      <c r="O423" s="14"/>
      <c r="P423" s="18" t="n">
        <f aca="false">IF(N423="",0,IF(OR(M423="",O423=""),N423,(M423+4*N423+O423)/6))</f>
        <v>0</v>
      </c>
      <c r="Q423" s="14"/>
      <c r="R423" s="14"/>
      <c r="S423" s="14"/>
      <c r="T423" s="14"/>
      <c r="U423" s="16"/>
      <c r="V423" s="13"/>
      <c r="W423" s="16" t="s">
        <v>667</v>
      </c>
      <c r="X423" s="16"/>
      <c r="Y423" s="16"/>
      <c r="Z423" s="16"/>
      <c r="AA423" s="22" t="n">
        <f aca="false">IF(F423&lt;&gt;"Y",0,((SUMIF(Products!$E$5:$E$300,A423,Products!$F$5:$F$300)+SUMIF(RM_Lots!$A$5:$A$400,A423,RM_Lots!$D$5:$D$400))+IF(W423="Y",SUMIF(Products!$E$5:$E$300,A423,Products!$G$5:$G$300),0))*(1+N(V423)))</f>
        <v>0</v>
      </c>
      <c r="AB423" s="22" t="n">
        <f aca="false">IF(F423&lt;&gt;"Y",0,((SUMIF(Products!$E$5:$E$300,A423,Products!$K$5:$K$300)+SUMIF(RM_Lots!$A$5:$A$400,A423,RM_Lots!$F$5:$F$400))+IF(W423="Y",SUMIF(Products!$E$5:$E$300,A423,Products!$L$5:$L$300),0))*(1+N(V423)))</f>
        <v>0</v>
      </c>
      <c r="AC423" s="17" t="n">
        <f aca="false">IF(J423="",1,MAX(1,COUNTIFS($J$5:$J$863,J423,$F$5:$F$863,"Y")))</f>
        <v>1</v>
      </c>
      <c r="AD423" s="18" t="n">
        <f aca="false">(MAX(1,N(I423))*(P423+N(S423))+MAX(1,N(I423))*N(K423)/(MAX(1,N(U423))*AC423))*Settings!$B$9</f>
        <v>0</v>
      </c>
      <c r="AE423" s="18" t="n">
        <f aca="false">(MAX(1,N(I423))*N(Q423)+MAX(1,N(I423))*N(L423)/(MAX(1,N(U423))*AC423))*Settings!$B$8</f>
        <v>0</v>
      </c>
      <c r="AF423" s="18" t="n">
        <f aca="false">MAX(1,N(I423))*N(T423)</f>
        <v>0</v>
      </c>
      <c r="AG423" s="15" t="n">
        <f aca="false">AA423*N(AD423)</f>
        <v>0</v>
      </c>
      <c r="AH423" s="15" t="n">
        <f aca="false">AA423*N(AE423)</f>
        <v>0</v>
      </c>
      <c r="AI423" s="15" t="n">
        <f aca="false">AA423*N(AF423)</f>
        <v>0</v>
      </c>
      <c r="AJ423" s="15" t="n">
        <f aca="false">AA423*N(R423)</f>
        <v>0</v>
      </c>
      <c r="AK423" s="15" t="n">
        <f aca="false">AB423*N(AD423)</f>
        <v>0</v>
      </c>
      <c r="AL423" s="15" t="n">
        <f aca="false">AB423*N(AE423)</f>
        <v>0</v>
      </c>
      <c r="AM423" s="15" t="n">
        <f aca="false">AB423*N(AF423)</f>
        <v>0</v>
      </c>
      <c r="AN423" s="15" t="n">
        <f aca="false">AB423*N(R423)</f>
        <v>0</v>
      </c>
      <c r="AO423" s="21" t="str">
        <f aca="false">IF(F423&lt;&gt;"Y","n/a",IF(AND(N423&lt;&gt;"",OR(Q423&lt;&gt;"",G423="Other / bench",G423="None"),U423&lt;&gt;""),"OK","Missing"))</f>
        <v>Missing</v>
      </c>
    </row>
    <row r="424" customFormat="false" ht="15" hidden="false" customHeight="false" outlineLevel="0" collapsed="false">
      <c r="A424" s="10" t="s">
        <v>451</v>
      </c>
      <c r="B424" s="10" t="s">
        <v>740</v>
      </c>
      <c r="C424" s="10" t="s">
        <v>437</v>
      </c>
      <c r="D424" s="10" t="s">
        <v>741</v>
      </c>
      <c r="E424" s="21" t="str">
        <f aca="false">IF(A424="","",A424&amp;"|"&amp;D424)</f>
        <v>Choline Bitartrate|Assay + related substances</v>
      </c>
      <c r="F424" s="16" t="s">
        <v>662</v>
      </c>
      <c r="G424" s="16" t="s">
        <v>147</v>
      </c>
      <c r="H424" s="16" t="s">
        <v>663</v>
      </c>
      <c r="I424" s="16" t="n">
        <v>1</v>
      </c>
      <c r="J424" s="16"/>
      <c r="K424" s="14"/>
      <c r="L424" s="14"/>
      <c r="M424" s="14"/>
      <c r="N424" s="14"/>
      <c r="O424" s="14"/>
      <c r="P424" s="18" t="n">
        <f aca="false">IF(N424="",0,IF(OR(M424="",O424=""),N424,(M424+4*N424+O424)/6))</f>
        <v>0</v>
      </c>
      <c r="Q424" s="14"/>
      <c r="R424" s="14"/>
      <c r="S424" s="14"/>
      <c r="T424" s="14"/>
      <c r="U424" s="16"/>
      <c r="V424" s="13"/>
      <c r="W424" s="16" t="s">
        <v>667</v>
      </c>
      <c r="X424" s="16"/>
      <c r="Y424" s="16"/>
      <c r="Z424" s="16"/>
      <c r="AA424" s="22" t="n">
        <f aca="false">IF(F424&lt;&gt;"Y",0,((SUMIF(Products!$E$5:$E$300,A424,Products!$F$5:$F$300)+SUMIF(RM_Lots!$A$5:$A$400,A424,RM_Lots!$D$5:$D$400))+IF(W424="Y",SUMIF(Products!$E$5:$E$300,A424,Products!$G$5:$G$300),0))*(1+N(V424)))</f>
        <v>0</v>
      </c>
      <c r="AB424" s="22" t="n">
        <f aca="false">IF(F424&lt;&gt;"Y",0,((SUMIF(Products!$E$5:$E$300,A424,Products!$K$5:$K$300)+SUMIF(RM_Lots!$A$5:$A$400,A424,RM_Lots!$F$5:$F$400))+IF(W424="Y",SUMIF(Products!$E$5:$E$300,A424,Products!$L$5:$L$300),0))*(1+N(V424)))</f>
        <v>0</v>
      </c>
      <c r="AC424" s="17" t="n">
        <f aca="false">IF(J424="",1,MAX(1,COUNTIFS($J$5:$J$863,J424,$F$5:$F$863,"Y")))</f>
        <v>1</v>
      </c>
      <c r="AD424" s="18" t="n">
        <f aca="false">(MAX(1,N(I424))*(P424+N(S424))+MAX(1,N(I424))*N(K424)/(MAX(1,N(U424))*AC424))*Settings!$B$9</f>
        <v>0</v>
      </c>
      <c r="AE424" s="18" t="n">
        <f aca="false">(MAX(1,N(I424))*N(Q424)+MAX(1,N(I424))*N(L424)/(MAX(1,N(U424))*AC424))*Settings!$B$8</f>
        <v>0</v>
      </c>
      <c r="AF424" s="18" t="n">
        <f aca="false">MAX(1,N(I424))*N(T424)</f>
        <v>0</v>
      </c>
      <c r="AG424" s="15" t="n">
        <f aca="false">AA424*N(AD424)</f>
        <v>0</v>
      </c>
      <c r="AH424" s="15" t="n">
        <f aca="false">AA424*N(AE424)</f>
        <v>0</v>
      </c>
      <c r="AI424" s="15" t="n">
        <f aca="false">AA424*N(AF424)</f>
        <v>0</v>
      </c>
      <c r="AJ424" s="15" t="n">
        <f aca="false">AA424*N(R424)</f>
        <v>0</v>
      </c>
      <c r="AK424" s="15" t="n">
        <f aca="false">AB424*N(AD424)</f>
        <v>0</v>
      </c>
      <c r="AL424" s="15" t="n">
        <f aca="false">AB424*N(AE424)</f>
        <v>0</v>
      </c>
      <c r="AM424" s="15" t="n">
        <f aca="false">AB424*N(AF424)</f>
        <v>0</v>
      </c>
      <c r="AN424" s="15" t="n">
        <f aca="false">AB424*N(R424)</f>
        <v>0</v>
      </c>
      <c r="AO424" s="21" t="str">
        <f aca="false">IF(F424&lt;&gt;"Y","n/a",IF(AND(N424&lt;&gt;"",OR(Q424&lt;&gt;"",G424="Other / bench",G424="None"),U424&lt;&gt;""),"OK","Missing"))</f>
        <v>Missing</v>
      </c>
    </row>
    <row r="425" customFormat="false" ht="15" hidden="false" customHeight="false" outlineLevel="0" collapsed="false">
      <c r="A425" s="10" t="s">
        <v>451</v>
      </c>
      <c r="B425" s="10" t="s">
        <v>740</v>
      </c>
      <c r="C425" s="10" t="s">
        <v>437</v>
      </c>
      <c r="D425" s="10" t="s">
        <v>742</v>
      </c>
      <c r="E425" s="21" t="str">
        <f aca="false">IF(A425="","",A425&amp;"|"&amp;D425)</f>
        <v>Choline Bitartrate|Other compendial tests (ID, LOD/KF, heavy metals...)</v>
      </c>
      <c r="F425" s="16" t="s">
        <v>662</v>
      </c>
      <c r="G425" s="16" t="s">
        <v>670</v>
      </c>
      <c r="H425" s="16" t="s">
        <v>672</v>
      </c>
      <c r="I425" s="16" t="n">
        <v>1</v>
      </c>
      <c r="J425" s="16"/>
      <c r="K425" s="14"/>
      <c r="L425" s="14"/>
      <c r="M425" s="14"/>
      <c r="N425" s="14"/>
      <c r="O425" s="14"/>
      <c r="P425" s="18" t="n">
        <f aca="false">IF(N425="",0,IF(OR(M425="",O425=""),N425,(M425+4*N425+O425)/6))</f>
        <v>0</v>
      </c>
      <c r="Q425" s="14"/>
      <c r="R425" s="14"/>
      <c r="S425" s="14"/>
      <c r="T425" s="14"/>
      <c r="U425" s="16"/>
      <c r="V425" s="13"/>
      <c r="W425" s="16" t="s">
        <v>667</v>
      </c>
      <c r="X425" s="16"/>
      <c r="Y425" s="16"/>
      <c r="Z425" s="16"/>
      <c r="AA425" s="22" t="n">
        <f aca="false">IF(F425&lt;&gt;"Y",0,((SUMIF(Products!$E$5:$E$300,A425,Products!$F$5:$F$300)+SUMIF(RM_Lots!$A$5:$A$400,A425,RM_Lots!$D$5:$D$400))+IF(W425="Y",SUMIF(Products!$E$5:$E$300,A425,Products!$G$5:$G$300),0))*(1+N(V425)))</f>
        <v>0</v>
      </c>
      <c r="AB425" s="22" t="n">
        <f aca="false">IF(F425&lt;&gt;"Y",0,((SUMIF(Products!$E$5:$E$300,A425,Products!$K$5:$K$300)+SUMIF(RM_Lots!$A$5:$A$400,A425,RM_Lots!$F$5:$F$400))+IF(W425="Y",SUMIF(Products!$E$5:$E$300,A425,Products!$L$5:$L$300),0))*(1+N(V425)))</f>
        <v>0</v>
      </c>
      <c r="AC425" s="17" t="n">
        <f aca="false">IF(J425="",1,MAX(1,COUNTIFS($J$5:$J$863,J425,$F$5:$F$863,"Y")))</f>
        <v>1</v>
      </c>
      <c r="AD425" s="18" t="n">
        <f aca="false">(MAX(1,N(I425))*(P425+N(S425))+MAX(1,N(I425))*N(K425)/(MAX(1,N(U425))*AC425))*Settings!$B$9</f>
        <v>0</v>
      </c>
      <c r="AE425" s="18" t="n">
        <f aca="false">(MAX(1,N(I425))*N(Q425)+MAX(1,N(I425))*N(L425)/(MAX(1,N(U425))*AC425))*Settings!$B$8</f>
        <v>0</v>
      </c>
      <c r="AF425" s="18" t="n">
        <f aca="false">MAX(1,N(I425))*N(T425)</f>
        <v>0</v>
      </c>
      <c r="AG425" s="15" t="n">
        <f aca="false">AA425*N(AD425)</f>
        <v>0</v>
      </c>
      <c r="AH425" s="15" t="n">
        <f aca="false">AA425*N(AE425)</f>
        <v>0</v>
      </c>
      <c r="AI425" s="15" t="n">
        <f aca="false">AA425*N(AF425)</f>
        <v>0</v>
      </c>
      <c r="AJ425" s="15" t="n">
        <f aca="false">AA425*N(R425)</f>
        <v>0</v>
      </c>
      <c r="AK425" s="15" t="n">
        <f aca="false">AB425*N(AD425)</f>
        <v>0</v>
      </c>
      <c r="AL425" s="15" t="n">
        <f aca="false">AB425*N(AE425)</f>
        <v>0</v>
      </c>
      <c r="AM425" s="15" t="n">
        <f aca="false">AB425*N(AF425)</f>
        <v>0</v>
      </c>
      <c r="AN425" s="15" t="n">
        <f aca="false">AB425*N(R425)</f>
        <v>0</v>
      </c>
      <c r="AO425" s="21" t="str">
        <f aca="false">IF(F425&lt;&gt;"Y","n/a",IF(AND(N425&lt;&gt;"",OR(Q425&lt;&gt;"",G425="Other / bench",G425="None"),U425&lt;&gt;""),"OK","Missing"))</f>
        <v>Missing</v>
      </c>
    </row>
    <row r="426" customFormat="false" ht="15" hidden="false" customHeight="false" outlineLevel="0" collapsed="false">
      <c r="A426" s="10" t="s">
        <v>452</v>
      </c>
      <c r="B426" s="10" t="s">
        <v>740</v>
      </c>
      <c r="C426" s="10" t="s">
        <v>437</v>
      </c>
      <c r="D426" s="10" t="s">
        <v>741</v>
      </c>
      <c r="E426" s="21" t="str">
        <f aca="false">IF(A426="","",A426&amp;"|"&amp;D426)</f>
        <v>Chromium Picolinate|Assay + related substances</v>
      </c>
      <c r="F426" s="16" t="s">
        <v>662</v>
      </c>
      <c r="G426" s="16" t="s">
        <v>147</v>
      </c>
      <c r="H426" s="16" t="s">
        <v>663</v>
      </c>
      <c r="I426" s="16" t="n">
        <v>1</v>
      </c>
      <c r="J426" s="16"/>
      <c r="K426" s="14"/>
      <c r="L426" s="14"/>
      <c r="M426" s="14"/>
      <c r="N426" s="14"/>
      <c r="O426" s="14"/>
      <c r="P426" s="18" t="n">
        <f aca="false">IF(N426="",0,IF(OR(M426="",O426=""),N426,(M426+4*N426+O426)/6))</f>
        <v>0</v>
      </c>
      <c r="Q426" s="14"/>
      <c r="R426" s="14"/>
      <c r="S426" s="14"/>
      <c r="T426" s="14"/>
      <c r="U426" s="16"/>
      <c r="V426" s="13"/>
      <c r="W426" s="16" t="s">
        <v>667</v>
      </c>
      <c r="X426" s="16"/>
      <c r="Y426" s="16"/>
      <c r="Z426" s="16"/>
      <c r="AA426" s="22" t="n">
        <f aca="false">IF(F426&lt;&gt;"Y",0,((SUMIF(Products!$E$5:$E$300,A426,Products!$F$5:$F$300)+SUMIF(RM_Lots!$A$5:$A$400,A426,RM_Lots!$D$5:$D$400))+IF(W426="Y",SUMIF(Products!$E$5:$E$300,A426,Products!$G$5:$G$300),0))*(1+N(V426)))</f>
        <v>0</v>
      </c>
      <c r="AB426" s="22" t="n">
        <f aca="false">IF(F426&lt;&gt;"Y",0,((SUMIF(Products!$E$5:$E$300,A426,Products!$K$5:$K$300)+SUMIF(RM_Lots!$A$5:$A$400,A426,RM_Lots!$F$5:$F$400))+IF(W426="Y",SUMIF(Products!$E$5:$E$300,A426,Products!$L$5:$L$300),0))*(1+N(V426)))</f>
        <v>0</v>
      </c>
      <c r="AC426" s="17" t="n">
        <f aca="false">IF(J426="",1,MAX(1,COUNTIFS($J$5:$J$863,J426,$F$5:$F$863,"Y")))</f>
        <v>1</v>
      </c>
      <c r="AD426" s="18" t="n">
        <f aca="false">(MAX(1,N(I426))*(P426+N(S426))+MAX(1,N(I426))*N(K426)/(MAX(1,N(U426))*AC426))*Settings!$B$9</f>
        <v>0</v>
      </c>
      <c r="AE426" s="18" t="n">
        <f aca="false">(MAX(1,N(I426))*N(Q426)+MAX(1,N(I426))*N(L426)/(MAX(1,N(U426))*AC426))*Settings!$B$8</f>
        <v>0</v>
      </c>
      <c r="AF426" s="18" t="n">
        <f aca="false">MAX(1,N(I426))*N(T426)</f>
        <v>0</v>
      </c>
      <c r="AG426" s="15" t="n">
        <f aca="false">AA426*N(AD426)</f>
        <v>0</v>
      </c>
      <c r="AH426" s="15" t="n">
        <f aca="false">AA426*N(AE426)</f>
        <v>0</v>
      </c>
      <c r="AI426" s="15" t="n">
        <f aca="false">AA426*N(AF426)</f>
        <v>0</v>
      </c>
      <c r="AJ426" s="15" t="n">
        <f aca="false">AA426*N(R426)</f>
        <v>0</v>
      </c>
      <c r="AK426" s="15" t="n">
        <f aca="false">AB426*N(AD426)</f>
        <v>0</v>
      </c>
      <c r="AL426" s="15" t="n">
        <f aca="false">AB426*N(AE426)</f>
        <v>0</v>
      </c>
      <c r="AM426" s="15" t="n">
        <f aca="false">AB426*N(AF426)</f>
        <v>0</v>
      </c>
      <c r="AN426" s="15" t="n">
        <f aca="false">AB426*N(R426)</f>
        <v>0</v>
      </c>
      <c r="AO426" s="21" t="str">
        <f aca="false">IF(F426&lt;&gt;"Y","n/a",IF(AND(N426&lt;&gt;"",OR(Q426&lt;&gt;"",G426="Other / bench",G426="None"),U426&lt;&gt;""),"OK","Missing"))</f>
        <v>Missing</v>
      </c>
    </row>
    <row r="427" customFormat="false" ht="15" hidden="false" customHeight="false" outlineLevel="0" collapsed="false">
      <c r="A427" s="10" t="s">
        <v>452</v>
      </c>
      <c r="B427" s="10" t="s">
        <v>740</v>
      </c>
      <c r="C427" s="10" t="s">
        <v>437</v>
      </c>
      <c r="D427" s="10" t="s">
        <v>742</v>
      </c>
      <c r="E427" s="21" t="str">
        <f aca="false">IF(A427="","",A427&amp;"|"&amp;D427)</f>
        <v>Chromium Picolinate|Other compendial tests (ID, LOD/KF, heavy metals...)</v>
      </c>
      <c r="F427" s="16" t="s">
        <v>662</v>
      </c>
      <c r="G427" s="16" t="s">
        <v>670</v>
      </c>
      <c r="H427" s="16" t="s">
        <v>672</v>
      </c>
      <c r="I427" s="16" t="n">
        <v>1</v>
      </c>
      <c r="J427" s="16"/>
      <c r="K427" s="14"/>
      <c r="L427" s="14"/>
      <c r="M427" s="14"/>
      <c r="N427" s="14"/>
      <c r="O427" s="14"/>
      <c r="P427" s="18" t="n">
        <f aca="false">IF(N427="",0,IF(OR(M427="",O427=""),N427,(M427+4*N427+O427)/6))</f>
        <v>0</v>
      </c>
      <c r="Q427" s="14"/>
      <c r="R427" s="14"/>
      <c r="S427" s="14"/>
      <c r="T427" s="14"/>
      <c r="U427" s="16"/>
      <c r="V427" s="13"/>
      <c r="W427" s="16" t="s">
        <v>667</v>
      </c>
      <c r="X427" s="16"/>
      <c r="Y427" s="16"/>
      <c r="Z427" s="16"/>
      <c r="AA427" s="22" t="n">
        <f aca="false">IF(F427&lt;&gt;"Y",0,((SUMIF(Products!$E$5:$E$300,A427,Products!$F$5:$F$300)+SUMIF(RM_Lots!$A$5:$A$400,A427,RM_Lots!$D$5:$D$400))+IF(W427="Y",SUMIF(Products!$E$5:$E$300,A427,Products!$G$5:$G$300),0))*(1+N(V427)))</f>
        <v>0</v>
      </c>
      <c r="AB427" s="22" t="n">
        <f aca="false">IF(F427&lt;&gt;"Y",0,((SUMIF(Products!$E$5:$E$300,A427,Products!$K$5:$K$300)+SUMIF(RM_Lots!$A$5:$A$400,A427,RM_Lots!$F$5:$F$400))+IF(W427="Y",SUMIF(Products!$E$5:$E$300,A427,Products!$L$5:$L$300),0))*(1+N(V427)))</f>
        <v>0</v>
      </c>
      <c r="AC427" s="17" t="n">
        <f aca="false">IF(J427="",1,MAX(1,COUNTIFS($J$5:$J$863,J427,$F$5:$F$863,"Y")))</f>
        <v>1</v>
      </c>
      <c r="AD427" s="18" t="n">
        <f aca="false">(MAX(1,N(I427))*(P427+N(S427))+MAX(1,N(I427))*N(K427)/(MAX(1,N(U427))*AC427))*Settings!$B$9</f>
        <v>0</v>
      </c>
      <c r="AE427" s="18" t="n">
        <f aca="false">(MAX(1,N(I427))*N(Q427)+MAX(1,N(I427))*N(L427)/(MAX(1,N(U427))*AC427))*Settings!$B$8</f>
        <v>0</v>
      </c>
      <c r="AF427" s="18" t="n">
        <f aca="false">MAX(1,N(I427))*N(T427)</f>
        <v>0</v>
      </c>
      <c r="AG427" s="15" t="n">
        <f aca="false">AA427*N(AD427)</f>
        <v>0</v>
      </c>
      <c r="AH427" s="15" t="n">
        <f aca="false">AA427*N(AE427)</f>
        <v>0</v>
      </c>
      <c r="AI427" s="15" t="n">
        <f aca="false">AA427*N(AF427)</f>
        <v>0</v>
      </c>
      <c r="AJ427" s="15" t="n">
        <f aca="false">AA427*N(R427)</f>
        <v>0</v>
      </c>
      <c r="AK427" s="15" t="n">
        <f aca="false">AB427*N(AD427)</f>
        <v>0</v>
      </c>
      <c r="AL427" s="15" t="n">
        <f aca="false">AB427*N(AE427)</f>
        <v>0</v>
      </c>
      <c r="AM427" s="15" t="n">
        <f aca="false">AB427*N(AF427)</f>
        <v>0</v>
      </c>
      <c r="AN427" s="15" t="n">
        <f aca="false">AB427*N(R427)</f>
        <v>0</v>
      </c>
      <c r="AO427" s="21" t="str">
        <f aca="false">IF(F427&lt;&gt;"Y","n/a",IF(AND(N427&lt;&gt;"",OR(Q427&lt;&gt;"",G427="Other / bench",G427="None"),U427&lt;&gt;""),"OK","Missing"))</f>
        <v>Missing</v>
      </c>
    </row>
    <row r="428" customFormat="false" ht="15" hidden="false" customHeight="false" outlineLevel="0" collapsed="false">
      <c r="A428" s="10" t="s">
        <v>317</v>
      </c>
      <c r="B428" s="10" t="s">
        <v>740</v>
      </c>
      <c r="C428" s="10" t="s">
        <v>437</v>
      </c>
      <c r="D428" s="10" t="s">
        <v>741</v>
      </c>
      <c r="E428" s="21" t="str">
        <f aca="false">IF(A428="","",A428&amp;"|"&amp;D428)</f>
        <v>Citicoline Sodium|Assay + related substances</v>
      </c>
      <c r="F428" s="16" t="s">
        <v>662</v>
      </c>
      <c r="G428" s="16" t="s">
        <v>147</v>
      </c>
      <c r="H428" s="16" t="s">
        <v>663</v>
      </c>
      <c r="I428" s="16" t="n">
        <v>1</v>
      </c>
      <c r="J428" s="16"/>
      <c r="K428" s="14"/>
      <c r="L428" s="14"/>
      <c r="M428" s="14"/>
      <c r="N428" s="14"/>
      <c r="O428" s="14"/>
      <c r="P428" s="18" t="n">
        <f aca="false">IF(N428="",0,IF(OR(M428="",O428=""),N428,(M428+4*N428+O428)/6))</f>
        <v>0</v>
      </c>
      <c r="Q428" s="14"/>
      <c r="R428" s="14"/>
      <c r="S428" s="14"/>
      <c r="T428" s="14"/>
      <c r="U428" s="16"/>
      <c r="V428" s="13"/>
      <c r="W428" s="16" t="s">
        <v>667</v>
      </c>
      <c r="X428" s="16"/>
      <c r="Y428" s="16"/>
      <c r="Z428" s="16"/>
      <c r="AA428" s="22" t="n">
        <f aca="false">IF(F428&lt;&gt;"Y",0,((SUMIF(Products!$E$5:$E$300,A428,Products!$F$5:$F$300)+SUMIF(RM_Lots!$A$5:$A$400,A428,RM_Lots!$D$5:$D$400))+IF(W428="Y",SUMIF(Products!$E$5:$E$300,A428,Products!$G$5:$G$300),0))*(1+N(V428)))</f>
        <v>0</v>
      </c>
      <c r="AB428" s="22" t="n">
        <f aca="false">IF(F428&lt;&gt;"Y",0,((SUMIF(Products!$E$5:$E$300,A428,Products!$K$5:$K$300)+SUMIF(RM_Lots!$A$5:$A$400,A428,RM_Lots!$F$5:$F$400))+IF(W428="Y",SUMIF(Products!$E$5:$E$300,A428,Products!$L$5:$L$300),0))*(1+N(V428)))</f>
        <v>0</v>
      </c>
      <c r="AC428" s="17" t="n">
        <f aca="false">IF(J428="",1,MAX(1,COUNTIFS($J$5:$J$863,J428,$F$5:$F$863,"Y")))</f>
        <v>1</v>
      </c>
      <c r="AD428" s="18" t="n">
        <f aca="false">(MAX(1,N(I428))*(P428+N(S428))+MAX(1,N(I428))*N(K428)/(MAX(1,N(U428))*AC428))*Settings!$B$9</f>
        <v>0</v>
      </c>
      <c r="AE428" s="18" t="n">
        <f aca="false">(MAX(1,N(I428))*N(Q428)+MAX(1,N(I428))*N(L428)/(MAX(1,N(U428))*AC428))*Settings!$B$8</f>
        <v>0</v>
      </c>
      <c r="AF428" s="18" t="n">
        <f aca="false">MAX(1,N(I428))*N(T428)</f>
        <v>0</v>
      </c>
      <c r="AG428" s="15" t="n">
        <f aca="false">AA428*N(AD428)</f>
        <v>0</v>
      </c>
      <c r="AH428" s="15" t="n">
        <f aca="false">AA428*N(AE428)</f>
        <v>0</v>
      </c>
      <c r="AI428" s="15" t="n">
        <f aca="false">AA428*N(AF428)</f>
        <v>0</v>
      </c>
      <c r="AJ428" s="15" t="n">
        <f aca="false">AA428*N(R428)</f>
        <v>0</v>
      </c>
      <c r="AK428" s="15" t="n">
        <f aca="false">AB428*N(AD428)</f>
        <v>0</v>
      </c>
      <c r="AL428" s="15" t="n">
        <f aca="false">AB428*N(AE428)</f>
        <v>0</v>
      </c>
      <c r="AM428" s="15" t="n">
        <f aca="false">AB428*N(AF428)</f>
        <v>0</v>
      </c>
      <c r="AN428" s="15" t="n">
        <f aca="false">AB428*N(R428)</f>
        <v>0</v>
      </c>
      <c r="AO428" s="21" t="str">
        <f aca="false">IF(F428&lt;&gt;"Y","n/a",IF(AND(N428&lt;&gt;"",OR(Q428&lt;&gt;"",G428="Other / bench",G428="None"),U428&lt;&gt;""),"OK","Missing"))</f>
        <v>Missing</v>
      </c>
    </row>
    <row r="429" customFormat="false" ht="15" hidden="false" customHeight="false" outlineLevel="0" collapsed="false">
      <c r="A429" s="10" t="s">
        <v>317</v>
      </c>
      <c r="B429" s="10" t="s">
        <v>740</v>
      </c>
      <c r="C429" s="10" t="s">
        <v>437</v>
      </c>
      <c r="D429" s="10" t="s">
        <v>742</v>
      </c>
      <c r="E429" s="21" t="str">
        <f aca="false">IF(A429="","",A429&amp;"|"&amp;D429)</f>
        <v>Citicoline Sodium|Other compendial tests (ID, LOD/KF, heavy metals...)</v>
      </c>
      <c r="F429" s="16" t="s">
        <v>662</v>
      </c>
      <c r="G429" s="16" t="s">
        <v>670</v>
      </c>
      <c r="H429" s="16" t="s">
        <v>672</v>
      </c>
      <c r="I429" s="16" t="n">
        <v>1</v>
      </c>
      <c r="J429" s="16"/>
      <c r="K429" s="14"/>
      <c r="L429" s="14"/>
      <c r="M429" s="14"/>
      <c r="N429" s="14"/>
      <c r="O429" s="14"/>
      <c r="P429" s="18" t="n">
        <f aca="false">IF(N429="",0,IF(OR(M429="",O429=""),N429,(M429+4*N429+O429)/6))</f>
        <v>0</v>
      </c>
      <c r="Q429" s="14"/>
      <c r="R429" s="14"/>
      <c r="S429" s="14"/>
      <c r="T429" s="14"/>
      <c r="U429" s="16"/>
      <c r="V429" s="13"/>
      <c r="W429" s="16" t="s">
        <v>667</v>
      </c>
      <c r="X429" s="16"/>
      <c r="Y429" s="16"/>
      <c r="Z429" s="16"/>
      <c r="AA429" s="22" t="n">
        <f aca="false">IF(F429&lt;&gt;"Y",0,((SUMIF(Products!$E$5:$E$300,A429,Products!$F$5:$F$300)+SUMIF(RM_Lots!$A$5:$A$400,A429,RM_Lots!$D$5:$D$400))+IF(W429="Y",SUMIF(Products!$E$5:$E$300,A429,Products!$G$5:$G$300),0))*(1+N(V429)))</f>
        <v>0</v>
      </c>
      <c r="AB429" s="22" t="n">
        <f aca="false">IF(F429&lt;&gt;"Y",0,((SUMIF(Products!$E$5:$E$300,A429,Products!$K$5:$K$300)+SUMIF(RM_Lots!$A$5:$A$400,A429,RM_Lots!$F$5:$F$400))+IF(W429="Y",SUMIF(Products!$E$5:$E$300,A429,Products!$L$5:$L$300),0))*(1+N(V429)))</f>
        <v>0</v>
      </c>
      <c r="AC429" s="17" t="n">
        <f aca="false">IF(J429="",1,MAX(1,COUNTIFS($J$5:$J$863,J429,$F$5:$F$863,"Y")))</f>
        <v>1</v>
      </c>
      <c r="AD429" s="18" t="n">
        <f aca="false">(MAX(1,N(I429))*(P429+N(S429))+MAX(1,N(I429))*N(K429)/(MAX(1,N(U429))*AC429))*Settings!$B$9</f>
        <v>0</v>
      </c>
      <c r="AE429" s="18" t="n">
        <f aca="false">(MAX(1,N(I429))*N(Q429)+MAX(1,N(I429))*N(L429)/(MAX(1,N(U429))*AC429))*Settings!$B$8</f>
        <v>0</v>
      </c>
      <c r="AF429" s="18" t="n">
        <f aca="false">MAX(1,N(I429))*N(T429)</f>
        <v>0</v>
      </c>
      <c r="AG429" s="15" t="n">
        <f aca="false">AA429*N(AD429)</f>
        <v>0</v>
      </c>
      <c r="AH429" s="15" t="n">
        <f aca="false">AA429*N(AE429)</f>
        <v>0</v>
      </c>
      <c r="AI429" s="15" t="n">
        <f aca="false">AA429*N(AF429)</f>
        <v>0</v>
      </c>
      <c r="AJ429" s="15" t="n">
        <f aca="false">AA429*N(R429)</f>
        <v>0</v>
      </c>
      <c r="AK429" s="15" t="n">
        <f aca="false">AB429*N(AD429)</f>
        <v>0</v>
      </c>
      <c r="AL429" s="15" t="n">
        <f aca="false">AB429*N(AE429)</f>
        <v>0</v>
      </c>
      <c r="AM429" s="15" t="n">
        <f aca="false">AB429*N(AF429)</f>
        <v>0</v>
      </c>
      <c r="AN429" s="15" t="n">
        <f aca="false">AB429*N(R429)</f>
        <v>0</v>
      </c>
      <c r="AO429" s="21" t="str">
        <f aca="false">IF(F429&lt;&gt;"Y","n/a",IF(AND(N429&lt;&gt;"",OR(Q429&lt;&gt;"",G429="Other / bench",G429="None"),U429&lt;&gt;""),"OK","Missing"))</f>
        <v>Missing</v>
      </c>
    </row>
    <row r="430" customFormat="false" ht="15" hidden="false" customHeight="false" outlineLevel="0" collapsed="false">
      <c r="A430" s="10" t="s">
        <v>453</v>
      </c>
      <c r="B430" s="10" t="s">
        <v>740</v>
      </c>
      <c r="C430" s="10" t="s">
        <v>437</v>
      </c>
      <c r="D430" s="10" t="s">
        <v>741</v>
      </c>
      <c r="E430" s="21" t="str">
        <f aca="false">IF(A430="","",A430&amp;"|"&amp;D430)</f>
        <v>Coleus Forskohlii Root Dry Extract 10:1|Assay + related substances</v>
      </c>
      <c r="F430" s="16" t="s">
        <v>662</v>
      </c>
      <c r="G430" s="16" t="s">
        <v>147</v>
      </c>
      <c r="H430" s="16" t="s">
        <v>663</v>
      </c>
      <c r="I430" s="16" t="n">
        <v>1</v>
      </c>
      <c r="J430" s="16"/>
      <c r="K430" s="14"/>
      <c r="L430" s="14"/>
      <c r="M430" s="14"/>
      <c r="N430" s="14"/>
      <c r="O430" s="14"/>
      <c r="P430" s="18" t="n">
        <f aca="false">IF(N430="",0,IF(OR(M430="",O430=""),N430,(M430+4*N430+O430)/6))</f>
        <v>0</v>
      </c>
      <c r="Q430" s="14"/>
      <c r="R430" s="14"/>
      <c r="S430" s="14"/>
      <c r="T430" s="14"/>
      <c r="U430" s="16"/>
      <c r="V430" s="13"/>
      <c r="W430" s="16" t="s">
        <v>667</v>
      </c>
      <c r="X430" s="16"/>
      <c r="Y430" s="16"/>
      <c r="Z430" s="16"/>
      <c r="AA430" s="22" t="n">
        <f aca="false">IF(F430&lt;&gt;"Y",0,((SUMIF(Products!$E$5:$E$300,A430,Products!$F$5:$F$300)+SUMIF(RM_Lots!$A$5:$A$400,A430,RM_Lots!$D$5:$D$400))+IF(W430="Y",SUMIF(Products!$E$5:$E$300,A430,Products!$G$5:$G$300),0))*(1+N(V430)))</f>
        <v>0</v>
      </c>
      <c r="AB430" s="22" t="n">
        <f aca="false">IF(F430&lt;&gt;"Y",0,((SUMIF(Products!$E$5:$E$300,A430,Products!$K$5:$K$300)+SUMIF(RM_Lots!$A$5:$A$400,A430,RM_Lots!$F$5:$F$400))+IF(W430="Y",SUMIF(Products!$E$5:$E$300,A430,Products!$L$5:$L$300),0))*(1+N(V430)))</f>
        <v>0</v>
      </c>
      <c r="AC430" s="17" t="n">
        <f aca="false">IF(J430="",1,MAX(1,COUNTIFS($J$5:$J$863,J430,$F$5:$F$863,"Y")))</f>
        <v>1</v>
      </c>
      <c r="AD430" s="18" t="n">
        <f aca="false">(MAX(1,N(I430))*(P430+N(S430))+MAX(1,N(I430))*N(K430)/(MAX(1,N(U430))*AC430))*Settings!$B$9</f>
        <v>0</v>
      </c>
      <c r="AE430" s="18" t="n">
        <f aca="false">(MAX(1,N(I430))*N(Q430)+MAX(1,N(I430))*N(L430)/(MAX(1,N(U430))*AC430))*Settings!$B$8</f>
        <v>0</v>
      </c>
      <c r="AF430" s="18" t="n">
        <f aca="false">MAX(1,N(I430))*N(T430)</f>
        <v>0</v>
      </c>
      <c r="AG430" s="15" t="n">
        <f aca="false">AA430*N(AD430)</f>
        <v>0</v>
      </c>
      <c r="AH430" s="15" t="n">
        <f aca="false">AA430*N(AE430)</f>
        <v>0</v>
      </c>
      <c r="AI430" s="15" t="n">
        <f aca="false">AA430*N(AF430)</f>
        <v>0</v>
      </c>
      <c r="AJ430" s="15" t="n">
        <f aca="false">AA430*N(R430)</f>
        <v>0</v>
      </c>
      <c r="AK430" s="15" t="n">
        <f aca="false">AB430*N(AD430)</f>
        <v>0</v>
      </c>
      <c r="AL430" s="15" t="n">
        <f aca="false">AB430*N(AE430)</f>
        <v>0</v>
      </c>
      <c r="AM430" s="15" t="n">
        <f aca="false">AB430*N(AF430)</f>
        <v>0</v>
      </c>
      <c r="AN430" s="15" t="n">
        <f aca="false">AB430*N(R430)</f>
        <v>0</v>
      </c>
      <c r="AO430" s="21" t="str">
        <f aca="false">IF(F430&lt;&gt;"Y","n/a",IF(AND(N430&lt;&gt;"",OR(Q430&lt;&gt;"",G430="Other / bench",G430="None"),U430&lt;&gt;""),"OK","Missing"))</f>
        <v>Missing</v>
      </c>
    </row>
    <row r="431" customFormat="false" ht="15" hidden="false" customHeight="false" outlineLevel="0" collapsed="false">
      <c r="A431" s="10" t="s">
        <v>453</v>
      </c>
      <c r="B431" s="10" t="s">
        <v>740</v>
      </c>
      <c r="C431" s="10" t="s">
        <v>437</v>
      </c>
      <c r="D431" s="10" t="s">
        <v>742</v>
      </c>
      <c r="E431" s="21" t="str">
        <f aca="false">IF(A431="","",A431&amp;"|"&amp;D431)</f>
        <v>Coleus Forskohlii Root Dry Extract 10:1|Other compendial tests (ID, LOD/KF, heavy metals...)</v>
      </c>
      <c r="F431" s="16" t="s">
        <v>662</v>
      </c>
      <c r="G431" s="16" t="s">
        <v>670</v>
      </c>
      <c r="H431" s="16" t="s">
        <v>672</v>
      </c>
      <c r="I431" s="16" t="n">
        <v>1</v>
      </c>
      <c r="J431" s="16"/>
      <c r="K431" s="14"/>
      <c r="L431" s="14"/>
      <c r="M431" s="14"/>
      <c r="N431" s="14"/>
      <c r="O431" s="14"/>
      <c r="P431" s="18" t="n">
        <f aca="false">IF(N431="",0,IF(OR(M431="",O431=""),N431,(M431+4*N431+O431)/6))</f>
        <v>0</v>
      </c>
      <c r="Q431" s="14"/>
      <c r="R431" s="14"/>
      <c r="S431" s="14"/>
      <c r="T431" s="14"/>
      <c r="U431" s="16"/>
      <c r="V431" s="13"/>
      <c r="W431" s="16" t="s">
        <v>667</v>
      </c>
      <c r="X431" s="16"/>
      <c r="Y431" s="16"/>
      <c r="Z431" s="16"/>
      <c r="AA431" s="22" t="n">
        <f aca="false">IF(F431&lt;&gt;"Y",0,((SUMIF(Products!$E$5:$E$300,A431,Products!$F$5:$F$300)+SUMIF(RM_Lots!$A$5:$A$400,A431,RM_Lots!$D$5:$D$400))+IF(W431="Y",SUMIF(Products!$E$5:$E$300,A431,Products!$G$5:$G$300),0))*(1+N(V431)))</f>
        <v>0</v>
      </c>
      <c r="AB431" s="22" t="n">
        <f aca="false">IF(F431&lt;&gt;"Y",0,((SUMIF(Products!$E$5:$E$300,A431,Products!$K$5:$K$300)+SUMIF(RM_Lots!$A$5:$A$400,A431,RM_Lots!$F$5:$F$400))+IF(W431="Y",SUMIF(Products!$E$5:$E$300,A431,Products!$L$5:$L$300),0))*(1+N(V431)))</f>
        <v>0</v>
      </c>
      <c r="AC431" s="17" t="n">
        <f aca="false">IF(J431="",1,MAX(1,COUNTIFS($J$5:$J$863,J431,$F$5:$F$863,"Y")))</f>
        <v>1</v>
      </c>
      <c r="AD431" s="18" t="n">
        <f aca="false">(MAX(1,N(I431))*(P431+N(S431))+MAX(1,N(I431))*N(K431)/(MAX(1,N(U431))*AC431))*Settings!$B$9</f>
        <v>0</v>
      </c>
      <c r="AE431" s="18" t="n">
        <f aca="false">(MAX(1,N(I431))*N(Q431)+MAX(1,N(I431))*N(L431)/(MAX(1,N(U431))*AC431))*Settings!$B$8</f>
        <v>0</v>
      </c>
      <c r="AF431" s="18" t="n">
        <f aca="false">MAX(1,N(I431))*N(T431)</f>
        <v>0</v>
      </c>
      <c r="AG431" s="15" t="n">
        <f aca="false">AA431*N(AD431)</f>
        <v>0</v>
      </c>
      <c r="AH431" s="15" t="n">
        <f aca="false">AA431*N(AE431)</f>
        <v>0</v>
      </c>
      <c r="AI431" s="15" t="n">
        <f aca="false">AA431*N(AF431)</f>
        <v>0</v>
      </c>
      <c r="AJ431" s="15" t="n">
        <f aca="false">AA431*N(R431)</f>
        <v>0</v>
      </c>
      <c r="AK431" s="15" t="n">
        <f aca="false">AB431*N(AD431)</f>
        <v>0</v>
      </c>
      <c r="AL431" s="15" t="n">
        <f aca="false">AB431*N(AE431)</f>
        <v>0</v>
      </c>
      <c r="AM431" s="15" t="n">
        <f aca="false">AB431*N(AF431)</f>
        <v>0</v>
      </c>
      <c r="AN431" s="15" t="n">
        <f aca="false">AB431*N(R431)</f>
        <v>0</v>
      </c>
      <c r="AO431" s="21" t="str">
        <f aca="false">IF(F431&lt;&gt;"Y","n/a",IF(AND(N431&lt;&gt;"",OR(Q431&lt;&gt;"",G431="Other / bench",G431="None"),U431&lt;&gt;""),"OK","Missing"))</f>
        <v>Missing</v>
      </c>
    </row>
    <row r="432" customFormat="false" ht="15" hidden="false" customHeight="false" outlineLevel="0" collapsed="false">
      <c r="A432" s="10" t="s">
        <v>454</v>
      </c>
      <c r="B432" s="10" t="s">
        <v>740</v>
      </c>
      <c r="C432" s="10" t="s">
        <v>437</v>
      </c>
      <c r="D432" s="10" t="s">
        <v>741</v>
      </c>
      <c r="E432" s="21" t="str">
        <f aca="false">IF(A432="","",A432&amp;"|"&amp;D432)</f>
        <v>Copper Gluconate|Assay + related substances</v>
      </c>
      <c r="F432" s="16" t="s">
        <v>662</v>
      </c>
      <c r="G432" s="16" t="s">
        <v>147</v>
      </c>
      <c r="H432" s="16" t="s">
        <v>663</v>
      </c>
      <c r="I432" s="16" t="n">
        <v>1</v>
      </c>
      <c r="J432" s="16"/>
      <c r="K432" s="14"/>
      <c r="L432" s="14"/>
      <c r="M432" s="14"/>
      <c r="N432" s="14"/>
      <c r="O432" s="14"/>
      <c r="P432" s="18" t="n">
        <f aca="false">IF(N432="",0,IF(OR(M432="",O432=""),N432,(M432+4*N432+O432)/6))</f>
        <v>0</v>
      </c>
      <c r="Q432" s="14"/>
      <c r="R432" s="14"/>
      <c r="S432" s="14"/>
      <c r="T432" s="14"/>
      <c r="U432" s="16"/>
      <c r="V432" s="13"/>
      <c r="W432" s="16" t="s">
        <v>667</v>
      </c>
      <c r="X432" s="16"/>
      <c r="Y432" s="16"/>
      <c r="Z432" s="16"/>
      <c r="AA432" s="22" t="n">
        <f aca="false">IF(F432&lt;&gt;"Y",0,((SUMIF(Products!$E$5:$E$300,A432,Products!$F$5:$F$300)+SUMIF(RM_Lots!$A$5:$A$400,A432,RM_Lots!$D$5:$D$400))+IF(W432="Y",SUMIF(Products!$E$5:$E$300,A432,Products!$G$5:$G$300),0))*(1+N(V432)))</f>
        <v>0</v>
      </c>
      <c r="AB432" s="22" t="n">
        <f aca="false">IF(F432&lt;&gt;"Y",0,((SUMIF(Products!$E$5:$E$300,A432,Products!$K$5:$K$300)+SUMIF(RM_Lots!$A$5:$A$400,A432,RM_Lots!$F$5:$F$400))+IF(W432="Y",SUMIF(Products!$E$5:$E$300,A432,Products!$L$5:$L$300),0))*(1+N(V432)))</f>
        <v>0</v>
      </c>
      <c r="AC432" s="17" t="n">
        <f aca="false">IF(J432="",1,MAX(1,COUNTIFS($J$5:$J$863,J432,$F$5:$F$863,"Y")))</f>
        <v>1</v>
      </c>
      <c r="AD432" s="18" t="n">
        <f aca="false">(MAX(1,N(I432))*(P432+N(S432))+MAX(1,N(I432))*N(K432)/(MAX(1,N(U432))*AC432))*Settings!$B$9</f>
        <v>0</v>
      </c>
      <c r="AE432" s="18" t="n">
        <f aca="false">(MAX(1,N(I432))*N(Q432)+MAX(1,N(I432))*N(L432)/(MAX(1,N(U432))*AC432))*Settings!$B$8</f>
        <v>0</v>
      </c>
      <c r="AF432" s="18" t="n">
        <f aca="false">MAX(1,N(I432))*N(T432)</f>
        <v>0</v>
      </c>
      <c r="AG432" s="15" t="n">
        <f aca="false">AA432*N(AD432)</f>
        <v>0</v>
      </c>
      <c r="AH432" s="15" t="n">
        <f aca="false">AA432*N(AE432)</f>
        <v>0</v>
      </c>
      <c r="AI432" s="15" t="n">
        <f aca="false">AA432*N(AF432)</f>
        <v>0</v>
      </c>
      <c r="AJ432" s="15" t="n">
        <f aca="false">AA432*N(R432)</f>
        <v>0</v>
      </c>
      <c r="AK432" s="15" t="n">
        <f aca="false">AB432*N(AD432)</f>
        <v>0</v>
      </c>
      <c r="AL432" s="15" t="n">
        <f aca="false">AB432*N(AE432)</f>
        <v>0</v>
      </c>
      <c r="AM432" s="15" t="n">
        <f aca="false">AB432*N(AF432)</f>
        <v>0</v>
      </c>
      <c r="AN432" s="15" t="n">
        <f aca="false">AB432*N(R432)</f>
        <v>0</v>
      </c>
      <c r="AO432" s="21" t="str">
        <f aca="false">IF(F432&lt;&gt;"Y","n/a",IF(AND(N432&lt;&gt;"",OR(Q432&lt;&gt;"",G432="Other / bench",G432="None"),U432&lt;&gt;""),"OK","Missing"))</f>
        <v>Missing</v>
      </c>
    </row>
    <row r="433" customFormat="false" ht="15" hidden="false" customHeight="false" outlineLevel="0" collapsed="false">
      <c r="A433" s="10" t="s">
        <v>454</v>
      </c>
      <c r="B433" s="10" t="s">
        <v>740</v>
      </c>
      <c r="C433" s="10" t="s">
        <v>437</v>
      </c>
      <c r="D433" s="10" t="s">
        <v>742</v>
      </c>
      <c r="E433" s="21" t="str">
        <f aca="false">IF(A433="","",A433&amp;"|"&amp;D433)</f>
        <v>Copper Gluconate|Other compendial tests (ID, LOD/KF, heavy metals...)</v>
      </c>
      <c r="F433" s="16" t="s">
        <v>662</v>
      </c>
      <c r="G433" s="16" t="s">
        <v>670</v>
      </c>
      <c r="H433" s="16" t="s">
        <v>672</v>
      </c>
      <c r="I433" s="16" t="n">
        <v>1</v>
      </c>
      <c r="J433" s="16"/>
      <c r="K433" s="14"/>
      <c r="L433" s="14"/>
      <c r="M433" s="14"/>
      <c r="N433" s="14"/>
      <c r="O433" s="14"/>
      <c r="P433" s="18" t="n">
        <f aca="false">IF(N433="",0,IF(OR(M433="",O433=""),N433,(M433+4*N433+O433)/6))</f>
        <v>0</v>
      </c>
      <c r="Q433" s="14"/>
      <c r="R433" s="14"/>
      <c r="S433" s="14"/>
      <c r="T433" s="14"/>
      <c r="U433" s="16"/>
      <c r="V433" s="13"/>
      <c r="W433" s="16" t="s">
        <v>667</v>
      </c>
      <c r="X433" s="16"/>
      <c r="Y433" s="16"/>
      <c r="Z433" s="16"/>
      <c r="AA433" s="22" t="n">
        <f aca="false">IF(F433&lt;&gt;"Y",0,((SUMIF(Products!$E$5:$E$300,A433,Products!$F$5:$F$300)+SUMIF(RM_Lots!$A$5:$A$400,A433,RM_Lots!$D$5:$D$400))+IF(W433="Y",SUMIF(Products!$E$5:$E$300,A433,Products!$G$5:$G$300),0))*(1+N(V433)))</f>
        <v>0</v>
      </c>
      <c r="AB433" s="22" t="n">
        <f aca="false">IF(F433&lt;&gt;"Y",0,((SUMIF(Products!$E$5:$E$300,A433,Products!$K$5:$K$300)+SUMIF(RM_Lots!$A$5:$A$400,A433,RM_Lots!$F$5:$F$400))+IF(W433="Y",SUMIF(Products!$E$5:$E$300,A433,Products!$L$5:$L$300),0))*(1+N(V433)))</f>
        <v>0</v>
      </c>
      <c r="AC433" s="17" t="n">
        <f aca="false">IF(J433="",1,MAX(1,COUNTIFS($J$5:$J$863,J433,$F$5:$F$863,"Y")))</f>
        <v>1</v>
      </c>
      <c r="AD433" s="18" t="n">
        <f aca="false">(MAX(1,N(I433))*(P433+N(S433))+MAX(1,N(I433))*N(K433)/(MAX(1,N(U433))*AC433))*Settings!$B$9</f>
        <v>0</v>
      </c>
      <c r="AE433" s="18" t="n">
        <f aca="false">(MAX(1,N(I433))*N(Q433)+MAX(1,N(I433))*N(L433)/(MAX(1,N(U433))*AC433))*Settings!$B$8</f>
        <v>0</v>
      </c>
      <c r="AF433" s="18" t="n">
        <f aca="false">MAX(1,N(I433))*N(T433)</f>
        <v>0</v>
      </c>
      <c r="AG433" s="15" t="n">
        <f aca="false">AA433*N(AD433)</f>
        <v>0</v>
      </c>
      <c r="AH433" s="15" t="n">
        <f aca="false">AA433*N(AE433)</f>
        <v>0</v>
      </c>
      <c r="AI433" s="15" t="n">
        <f aca="false">AA433*N(AF433)</f>
        <v>0</v>
      </c>
      <c r="AJ433" s="15" t="n">
        <f aca="false">AA433*N(R433)</f>
        <v>0</v>
      </c>
      <c r="AK433" s="15" t="n">
        <f aca="false">AB433*N(AD433)</f>
        <v>0</v>
      </c>
      <c r="AL433" s="15" t="n">
        <f aca="false">AB433*N(AE433)</f>
        <v>0</v>
      </c>
      <c r="AM433" s="15" t="n">
        <f aca="false">AB433*N(AF433)</f>
        <v>0</v>
      </c>
      <c r="AN433" s="15" t="n">
        <f aca="false">AB433*N(R433)</f>
        <v>0</v>
      </c>
      <c r="AO433" s="21" t="str">
        <f aca="false">IF(F433&lt;&gt;"Y","n/a",IF(AND(N433&lt;&gt;"",OR(Q433&lt;&gt;"",G433="Other / bench",G433="None"),U433&lt;&gt;""),"OK","Missing"))</f>
        <v>Missing</v>
      </c>
    </row>
    <row r="434" customFormat="false" ht="15" hidden="false" customHeight="false" outlineLevel="0" collapsed="false">
      <c r="A434" s="10" t="s">
        <v>455</v>
      </c>
      <c r="B434" s="10" t="s">
        <v>740</v>
      </c>
      <c r="C434" s="10" t="s">
        <v>437</v>
      </c>
      <c r="D434" s="10" t="s">
        <v>741</v>
      </c>
      <c r="E434" s="21" t="str">
        <f aca="false">IF(A434="","",A434&amp;"|"&amp;D434)</f>
        <v>Cranberry Dry Extract 25:1|Assay + related substances</v>
      </c>
      <c r="F434" s="16" t="s">
        <v>662</v>
      </c>
      <c r="G434" s="16" t="s">
        <v>147</v>
      </c>
      <c r="H434" s="16" t="s">
        <v>663</v>
      </c>
      <c r="I434" s="16" t="n">
        <v>1</v>
      </c>
      <c r="J434" s="16"/>
      <c r="K434" s="14"/>
      <c r="L434" s="14"/>
      <c r="M434" s="14"/>
      <c r="N434" s="14"/>
      <c r="O434" s="14"/>
      <c r="P434" s="18" t="n">
        <f aca="false">IF(N434="",0,IF(OR(M434="",O434=""),N434,(M434+4*N434+O434)/6))</f>
        <v>0</v>
      </c>
      <c r="Q434" s="14"/>
      <c r="R434" s="14"/>
      <c r="S434" s="14"/>
      <c r="T434" s="14"/>
      <c r="U434" s="16"/>
      <c r="V434" s="13"/>
      <c r="W434" s="16" t="s">
        <v>667</v>
      </c>
      <c r="X434" s="16"/>
      <c r="Y434" s="16"/>
      <c r="Z434" s="16"/>
      <c r="AA434" s="22" t="n">
        <f aca="false">IF(F434&lt;&gt;"Y",0,((SUMIF(Products!$E$5:$E$300,A434,Products!$F$5:$F$300)+SUMIF(RM_Lots!$A$5:$A$400,A434,RM_Lots!$D$5:$D$400))+IF(W434="Y",SUMIF(Products!$E$5:$E$300,A434,Products!$G$5:$G$300),0))*(1+N(V434)))</f>
        <v>0</v>
      </c>
      <c r="AB434" s="22" t="n">
        <f aca="false">IF(F434&lt;&gt;"Y",0,((SUMIF(Products!$E$5:$E$300,A434,Products!$K$5:$K$300)+SUMIF(RM_Lots!$A$5:$A$400,A434,RM_Lots!$F$5:$F$400))+IF(W434="Y",SUMIF(Products!$E$5:$E$300,A434,Products!$L$5:$L$300),0))*(1+N(V434)))</f>
        <v>0</v>
      </c>
      <c r="AC434" s="17" t="n">
        <f aca="false">IF(J434="",1,MAX(1,COUNTIFS($J$5:$J$863,J434,$F$5:$F$863,"Y")))</f>
        <v>1</v>
      </c>
      <c r="AD434" s="18" t="n">
        <f aca="false">(MAX(1,N(I434))*(P434+N(S434))+MAX(1,N(I434))*N(K434)/(MAX(1,N(U434))*AC434))*Settings!$B$9</f>
        <v>0</v>
      </c>
      <c r="AE434" s="18" t="n">
        <f aca="false">(MAX(1,N(I434))*N(Q434)+MAX(1,N(I434))*N(L434)/(MAX(1,N(U434))*AC434))*Settings!$B$8</f>
        <v>0</v>
      </c>
      <c r="AF434" s="18" t="n">
        <f aca="false">MAX(1,N(I434))*N(T434)</f>
        <v>0</v>
      </c>
      <c r="AG434" s="15" t="n">
        <f aca="false">AA434*N(AD434)</f>
        <v>0</v>
      </c>
      <c r="AH434" s="15" t="n">
        <f aca="false">AA434*N(AE434)</f>
        <v>0</v>
      </c>
      <c r="AI434" s="15" t="n">
        <f aca="false">AA434*N(AF434)</f>
        <v>0</v>
      </c>
      <c r="AJ434" s="15" t="n">
        <f aca="false">AA434*N(R434)</f>
        <v>0</v>
      </c>
      <c r="AK434" s="15" t="n">
        <f aca="false">AB434*N(AD434)</f>
        <v>0</v>
      </c>
      <c r="AL434" s="15" t="n">
        <f aca="false">AB434*N(AE434)</f>
        <v>0</v>
      </c>
      <c r="AM434" s="15" t="n">
        <f aca="false">AB434*N(AF434)</f>
        <v>0</v>
      </c>
      <c r="AN434" s="15" t="n">
        <f aca="false">AB434*N(R434)</f>
        <v>0</v>
      </c>
      <c r="AO434" s="21" t="str">
        <f aca="false">IF(F434&lt;&gt;"Y","n/a",IF(AND(N434&lt;&gt;"",OR(Q434&lt;&gt;"",G434="Other / bench",G434="None"),U434&lt;&gt;""),"OK","Missing"))</f>
        <v>Missing</v>
      </c>
    </row>
    <row r="435" customFormat="false" ht="15" hidden="false" customHeight="false" outlineLevel="0" collapsed="false">
      <c r="A435" s="10" t="s">
        <v>455</v>
      </c>
      <c r="B435" s="10" t="s">
        <v>740</v>
      </c>
      <c r="C435" s="10" t="s">
        <v>437</v>
      </c>
      <c r="D435" s="10" t="s">
        <v>742</v>
      </c>
      <c r="E435" s="21" t="str">
        <f aca="false">IF(A435="","",A435&amp;"|"&amp;D435)</f>
        <v>Cranberry Dry Extract 25:1|Other compendial tests (ID, LOD/KF, heavy metals...)</v>
      </c>
      <c r="F435" s="16" t="s">
        <v>662</v>
      </c>
      <c r="G435" s="16" t="s">
        <v>670</v>
      </c>
      <c r="H435" s="16" t="s">
        <v>672</v>
      </c>
      <c r="I435" s="16" t="n">
        <v>1</v>
      </c>
      <c r="J435" s="16"/>
      <c r="K435" s="14"/>
      <c r="L435" s="14"/>
      <c r="M435" s="14"/>
      <c r="N435" s="14"/>
      <c r="O435" s="14"/>
      <c r="P435" s="18" t="n">
        <f aca="false">IF(N435="",0,IF(OR(M435="",O435=""),N435,(M435+4*N435+O435)/6))</f>
        <v>0</v>
      </c>
      <c r="Q435" s="14"/>
      <c r="R435" s="14"/>
      <c r="S435" s="14"/>
      <c r="T435" s="14"/>
      <c r="U435" s="16"/>
      <c r="V435" s="13"/>
      <c r="W435" s="16" t="s">
        <v>667</v>
      </c>
      <c r="X435" s="16"/>
      <c r="Y435" s="16"/>
      <c r="Z435" s="16"/>
      <c r="AA435" s="22" t="n">
        <f aca="false">IF(F435&lt;&gt;"Y",0,((SUMIF(Products!$E$5:$E$300,A435,Products!$F$5:$F$300)+SUMIF(RM_Lots!$A$5:$A$400,A435,RM_Lots!$D$5:$D$400))+IF(W435="Y",SUMIF(Products!$E$5:$E$300,A435,Products!$G$5:$G$300),0))*(1+N(V435)))</f>
        <v>0</v>
      </c>
      <c r="AB435" s="22" t="n">
        <f aca="false">IF(F435&lt;&gt;"Y",0,((SUMIF(Products!$E$5:$E$300,A435,Products!$K$5:$K$300)+SUMIF(RM_Lots!$A$5:$A$400,A435,RM_Lots!$F$5:$F$400))+IF(W435="Y",SUMIF(Products!$E$5:$E$300,A435,Products!$L$5:$L$300),0))*(1+N(V435)))</f>
        <v>0</v>
      </c>
      <c r="AC435" s="17" t="n">
        <f aca="false">IF(J435="",1,MAX(1,COUNTIFS($J$5:$J$863,J435,$F$5:$F$863,"Y")))</f>
        <v>1</v>
      </c>
      <c r="AD435" s="18" t="n">
        <f aca="false">(MAX(1,N(I435))*(P435+N(S435))+MAX(1,N(I435))*N(K435)/(MAX(1,N(U435))*AC435))*Settings!$B$9</f>
        <v>0</v>
      </c>
      <c r="AE435" s="18" t="n">
        <f aca="false">(MAX(1,N(I435))*N(Q435)+MAX(1,N(I435))*N(L435)/(MAX(1,N(U435))*AC435))*Settings!$B$8</f>
        <v>0</v>
      </c>
      <c r="AF435" s="18" t="n">
        <f aca="false">MAX(1,N(I435))*N(T435)</f>
        <v>0</v>
      </c>
      <c r="AG435" s="15" t="n">
        <f aca="false">AA435*N(AD435)</f>
        <v>0</v>
      </c>
      <c r="AH435" s="15" t="n">
        <f aca="false">AA435*N(AE435)</f>
        <v>0</v>
      </c>
      <c r="AI435" s="15" t="n">
        <f aca="false">AA435*N(AF435)</f>
        <v>0</v>
      </c>
      <c r="AJ435" s="15" t="n">
        <f aca="false">AA435*N(R435)</f>
        <v>0</v>
      </c>
      <c r="AK435" s="15" t="n">
        <f aca="false">AB435*N(AD435)</f>
        <v>0</v>
      </c>
      <c r="AL435" s="15" t="n">
        <f aca="false">AB435*N(AE435)</f>
        <v>0</v>
      </c>
      <c r="AM435" s="15" t="n">
        <f aca="false">AB435*N(AF435)</f>
        <v>0</v>
      </c>
      <c r="AN435" s="15" t="n">
        <f aca="false">AB435*N(R435)</f>
        <v>0</v>
      </c>
      <c r="AO435" s="21" t="str">
        <f aca="false">IF(F435&lt;&gt;"Y","n/a",IF(AND(N435&lt;&gt;"",OR(Q435&lt;&gt;"",G435="Other / bench",G435="None"),U435&lt;&gt;""),"OK","Missing"))</f>
        <v>Missing</v>
      </c>
    </row>
    <row r="436" customFormat="false" ht="15" hidden="false" customHeight="false" outlineLevel="0" collapsed="false">
      <c r="A436" s="10" t="s">
        <v>337</v>
      </c>
      <c r="B436" s="10" t="s">
        <v>740</v>
      </c>
      <c r="C436" s="10" t="s">
        <v>437</v>
      </c>
      <c r="D436" s="10" t="s">
        <v>741</v>
      </c>
      <c r="E436" s="21" t="str">
        <f aca="false">IF(A436="","",A436&amp;"|"&amp;D436)</f>
        <v>Cyanocobalamin (Vitamin B12)|Assay + related substances</v>
      </c>
      <c r="F436" s="16" t="s">
        <v>662</v>
      </c>
      <c r="G436" s="16" t="s">
        <v>147</v>
      </c>
      <c r="H436" s="16" t="s">
        <v>663</v>
      </c>
      <c r="I436" s="16" t="n">
        <v>1</v>
      </c>
      <c r="J436" s="16"/>
      <c r="K436" s="14"/>
      <c r="L436" s="14"/>
      <c r="M436" s="14"/>
      <c r="N436" s="14"/>
      <c r="O436" s="14"/>
      <c r="P436" s="18" t="n">
        <f aca="false">IF(N436="",0,IF(OR(M436="",O436=""),N436,(M436+4*N436+O436)/6))</f>
        <v>0</v>
      </c>
      <c r="Q436" s="14"/>
      <c r="R436" s="14"/>
      <c r="S436" s="14"/>
      <c r="T436" s="14"/>
      <c r="U436" s="16"/>
      <c r="V436" s="13"/>
      <c r="W436" s="16" t="s">
        <v>667</v>
      </c>
      <c r="X436" s="16"/>
      <c r="Y436" s="16"/>
      <c r="Z436" s="16"/>
      <c r="AA436" s="22" t="n">
        <f aca="false">IF(F436&lt;&gt;"Y",0,((SUMIF(Products!$E$5:$E$300,A436,Products!$F$5:$F$300)+SUMIF(RM_Lots!$A$5:$A$400,A436,RM_Lots!$D$5:$D$400))+IF(W436="Y",SUMIF(Products!$E$5:$E$300,A436,Products!$G$5:$G$300),0))*(1+N(V436)))</f>
        <v>0</v>
      </c>
      <c r="AB436" s="22" t="n">
        <f aca="false">IF(F436&lt;&gt;"Y",0,((SUMIF(Products!$E$5:$E$300,A436,Products!$K$5:$K$300)+SUMIF(RM_Lots!$A$5:$A$400,A436,RM_Lots!$F$5:$F$400))+IF(W436="Y",SUMIF(Products!$E$5:$E$300,A436,Products!$L$5:$L$300),0))*(1+N(V436)))</f>
        <v>0</v>
      </c>
      <c r="AC436" s="17" t="n">
        <f aca="false">IF(J436="",1,MAX(1,COUNTIFS($J$5:$J$863,J436,$F$5:$F$863,"Y")))</f>
        <v>1</v>
      </c>
      <c r="AD436" s="18" t="n">
        <f aca="false">(MAX(1,N(I436))*(P436+N(S436))+MAX(1,N(I436))*N(K436)/(MAX(1,N(U436))*AC436))*Settings!$B$9</f>
        <v>0</v>
      </c>
      <c r="AE436" s="18" t="n">
        <f aca="false">(MAX(1,N(I436))*N(Q436)+MAX(1,N(I436))*N(L436)/(MAX(1,N(U436))*AC436))*Settings!$B$8</f>
        <v>0</v>
      </c>
      <c r="AF436" s="18" t="n">
        <f aca="false">MAX(1,N(I436))*N(T436)</f>
        <v>0</v>
      </c>
      <c r="AG436" s="15" t="n">
        <f aca="false">AA436*N(AD436)</f>
        <v>0</v>
      </c>
      <c r="AH436" s="15" t="n">
        <f aca="false">AA436*N(AE436)</f>
        <v>0</v>
      </c>
      <c r="AI436" s="15" t="n">
        <f aca="false">AA436*N(AF436)</f>
        <v>0</v>
      </c>
      <c r="AJ436" s="15" t="n">
        <f aca="false">AA436*N(R436)</f>
        <v>0</v>
      </c>
      <c r="AK436" s="15" t="n">
        <f aca="false">AB436*N(AD436)</f>
        <v>0</v>
      </c>
      <c r="AL436" s="15" t="n">
        <f aca="false">AB436*N(AE436)</f>
        <v>0</v>
      </c>
      <c r="AM436" s="15" t="n">
        <f aca="false">AB436*N(AF436)</f>
        <v>0</v>
      </c>
      <c r="AN436" s="15" t="n">
        <f aca="false">AB436*N(R436)</f>
        <v>0</v>
      </c>
      <c r="AO436" s="21" t="str">
        <f aca="false">IF(F436&lt;&gt;"Y","n/a",IF(AND(N436&lt;&gt;"",OR(Q436&lt;&gt;"",G436="Other / bench",G436="None"),U436&lt;&gt;""),"OK","Missing"))</f>
        <v>Missing</v>
      </c>
    </row>
    <row r="437" customFormat="false" ht="15" hidden="false" customHeight="false" outlineLevel="0" collapsed="false">
      <c r="A437" s="10" t="s">
        <v>337</v>
      </c>
      <c r="B437" s="10" t="s">
        <v>740</v>
      </c>
      <c r="C437" s="10" t="s">
        <v>437</v>
      </c>
      <c r="D437" s="10" t="s">
        <v>742</v>
      </c>
      <c r="E437" s="21" t="str">
        <f aca="false">IF(A437="","",A437&amp;"|"&amp;D437)</f>
        <v>Cyanocobalamin (Vitamin B12)|Other compendial tests (ID, LOD/KF, heavy metals...)</v>
      </c>
      <c r="F437" s="16" t="s">
        <v>662</v>
      </c>
      <c r="G437" s="16" t="s">
        <v>670</v>
      </c>
      <c r="H437" s="16" t="s">
        <v>672</v>
      </c>
      <c r="I437" s="16" t="n">
        <v>1</v>
      </c>
      <c r="J437" s="16"/>
      <c r="K437" s="14"/>
      <c r="L437" s="14"/>
      <c r="M437" s="14"/>
      <c r="N437" s="14"/>
      <c r="O437" s="14"/>
      <c r="P437" s="18" t="n">
        <f aca="false">IF(N437="",0,IF(OR(M437="",O437=""),N437,(M437+4*N437+O437)/6))</f>
        <v>0</v>
      </c>
      <c r="Q437" s="14"/>
      <c r="R437" s="14"/>
      <c r="S437" s="14"/>
      <c r="T437" s="14"/>
      <c r="U437" s="16"/>
      <c r="V437" s="13"/>
      <c r="W437" s="16" t="s">
        <v>667</v>
      </c>
      <c r="X437" s="16"/>
      <c r="Y437" s="16"/>
      <c r="Z437" s="16"/>
      <c r="AA437" s="22" t="n">
        <f aca="false">IF(F437&lt;&gt;"Y",0,((SUMIF(Products!$E$5:$E$300,A437,Products!$F$5:$F$300)+SUMIF(RM_Lots!$A$5:$A$400,A437,RM_Lots!$D$5:$D$400))+IF(W437="Y",SUMIF(Products!$E$5:$E$300,A437,Products!$G$5:$G$300),0))*(1+N(V437)))</f>
        <v>0</v>
      </c>
      <c r="AB437" s="22" t="n">
        <f aca="false">IF(F437&lt;&gt;"Y",0,((SUMIF(Products!$E$5:$E$300,A437,Products!$K$5:$K$300)+SUMIF(RM_Lots!$A$5:$A$400,A437,RM_Lots!$F$5:$F$400))+IF(W437="Y",SUMIF(Products!$E$5:$E$300,A437,Products!$L$5:$L$300),0))*(1+N(V437)))</f>
        <v>0</v>
      </c>
      <c r="AC437" s="17" t="n">
        <f aca="false">IF(J437="",1,MAX(1,COUNTIFS($J$5:$J$863,J437,$F$5:$F$863,"Y")))</f>
        <v>1</v>
      </c>
      <c r="AD437" s="18" t="n">
        <f aca="false">(MAX(1,N(I437))*(P437+N(S437))+MAX(1,N(I437))*N(K437)/(MAX(1,N(U437))*AC437))*Settings!$B$9</f>
        <v>0</v>
      </c>
      <c r="AE437" s="18" t="n">
        <f aca="false">(MAX(1,N(I437))*N(Q437)+MAX(1,N(I437))*N(L437)/(MAX(1,N(U437))*AC437))*Settings!$B$8</f>
        <v>0</v>
      </c>
      <c r="AF437" s="18" t="n">
        <f aca="false">MAX(1,N(I437))*N(T437)</f>
        <v>0</v>
      </c>
      <c r="AG437" s="15" t="n">
        <f aca="false">AA437*N(AD437)</f>
        <v>0</v>
      </c>
      <c r="AH437" s="15" t="n">
        <f aca="false">AA437*N(AE437)</f>
        <v>0</v>
      </c>
      <c r="AI437" s="15" t="n">
        <f aca="false">AA437*N(AF437)</f>
        <v>0</v>
      </c>
      <c r="AJ437" s="15" t="n">
        <f aca="false">AA437*N(R437)</f>
        <v>0</v>
      </c>
      <c r="AK437" s="15" t="n">
        <f aca="false">AB437*N(AD437)</f>
        <v>0</v>
      </c>
      <c r="AL437" s="15" t="n">
        <f aca="false">AB437*N(AE437)</f>
        <v>0</v>
      </c>
      <c r="AM437" s="15" t="n">
        <f aca="false">AB437*N(AF437)</f>
        <v>0</v>
      </c>
      <c r="AN437" s="15" t="n">
        <f aca="false">AB437*N(R437)</f>
        <v>0</v>
      </c>
      <c r="AO437" s="21" t="str">
        <f aca="false">IF(F437&lt;&gt;"Y","n/a",IF(AND(N437&lt;&gt;"",OR(Q437&lt;&gt;"",G437="Other / bench",G437="None"),U437&lt;&gt;""),"OK","Missing"))</f>
        <v>Missing</v>
      </c>
    </row>
    <row r="438" customFormat="false" ht="15" hidden="false" customHeight="false" outlineLevel="0" collapsed="false">
      <c r="A438" s="10" t="s">
        <v>456</v>
      </c>
      <c r="B438" s="10" t="s">
        <v>740</v>
      </c>
      <c r="C438" s="10" t="s">
        <v>437</v>
      </c>
      <c r="D438" s="10" t="s">
        <v>741</v>
      </c>
      <c r="E438" s="21" t="str">
        <f aca="false">IF(A438="","",A438&amp;"|"&amp;D438)</f>
        <v>D-Alpha Tocopheryl Acetate 50% (Vitamin E)|Assay + related substances</v>
      </c>
      <c r="F438" s="16" t="s">
        <v>662</v>
      </c>
      <c r="G438" s="16" t="s">
        <v>147</v>
      </c>
      <c r="H438" s="16" t="s">
        <v>663</v>
      </c>
      <c r="I438" s="16" t="n">
        <v>1</v>
      </c>
      <c r="J438" s="16"/>
      <c r="K438" s="14"/>
      <c r="L438" s="14"/>
      <c r="M438" s="14"/>
      <c r="N438" s="14"/>
      <c r="O438" s="14"/>
      <c r="P438" s="18" t="n">
        <f aca="false">IF(N438="",0,IF(OR(M438="",O438=""),N438,(M438+4*N438+O438)/6))</f>
        <v>0</v>
      </c>
      <c r="Q438" s="14"/>
      <c r="R438" s="14"/>
      <c r="S438" s="14"/>
      <c r="T438" s="14"/>
      <c r="U438" s="16"/>
      <c r="V438" s="13"/>
      <c r="W438" s="16" t="s">
        <v>667</v>
      </c>
      <c r="X438" s="16"/>
      <c r="Y438" s="16"/>
      <c r="Z438" s="16"/>
      <c r="AA438" s="22" t="n">
        <f aca="false">IF(F438&lt;&gt;"Y",0,((SUMIF(Products!$E$5:$E$300,A438,Products!$F$5:$F$300)+SUMIF(RM_Lots!$A$5:$A$400,A438,RM_Lots!$D$5:$D$400))+IF(W438="Y",SUMIF(Products!$E$5:$E$300,A438,Products!$G$5:$G$300),0))*(1+N(V438)))</f>
        <v>0</v>
      </c>
      <c r="AB438" s="22" t="n">
        <f aca="false">IF(F438&lt;&gt;"Y",0,((SUMIF(Products!$E$5:$E$300,A438,Products!$K$5:$K$300)+SUMIF(RM_Lots!$A$5:$A$400,A438,RM_Lots!$F$5:$F$400))+IF(W438="Y",SUMIF(Products!$E$5:$E$300,A438,Products!$L$5:$L$300),0))*(1+N(V438)))</f>
        <v>0</v>
      </c>
      <c r="AC438" s="17" t="n">
        <f aca="false">IF(J438="",1,MAX(1,COUNTIFS($J$5:$J$863,J438,$F$5:$F$863,"Y")))</f>
        <v>1</v>
      </c>
      <c r="AD438" s="18" t="n">
        <f aca="false">(MAX(1,N(I438))*(P438+N(S438))+MAX(1,N(I438))*N(K438)/(MAX(1,N(U438))*AC438))*Settings!$B$9</f>
        <v>0</v>
      </c>
      <c r="AE438" s="18" t="n">
        <f aca="false">(MAX(1,N(I438))*N(Q438)+MAX(1,N(I438))*N(L438)/(MAX(1,N(U438))*AC438))*Settings!$B$8</f>
        <v>0</v>
      </c>
      <c r="AF438" s="18" t="n">
        <f aca="false">MAX(1,N(I438))*N(T438)</f>
        <v>0</v>
      </c>
      <c r="AG438" s="15" t="n">
        <f aca="false">AA438*N(AD438)</f>
        <v>0</v>
      </c>
      <c r="AH438" s="15" t="n">
        <f aca="false">AA438*N(AE438)</f>
        <v>0</v>
      </c>
      <c r="AI438" s="15" t="n">
        <f aca="false">AA438*N(AF438)</f>
        <v>0</v>
      </c>
      <c r="AJ438" s="15" t="n">
        <f aca="false">AA438*N(R438)</f>
        <v>0</v>
      </c>
      <c r="AK438" s="15" t="n">
        <f aca="false">AB438*N(AD438)</f>
        <v>0</v>
      </c>
      <c r="AL438" s="15" t="n">
        <f aca="false">AB438*N(AE438)</f>
        <v>0</v>
      </c>
      <c r="AM438" s="15" t="n">
        <f aca="false">AB438*N(AF438)</f>
        <v>0</v>
      </c>
      <c r="AN438" s="15" t="n">
        <f aca="false">AB438*N(R438)</f>
        <v>0</v>
      </c>
      <c r="AO438" s="21" t="str">
        <f aca="false">IF(F438&lt;&gt;"Y","n/a",IF(AND(N438&lt;&gt;"",OR(Q438&lt;&gt;"",G438="Other / bench",G438="None"),U438&lt;&gt;""),"OK","Missing"))</f>
        <v>Missing</v>
      </c>
    </row>
    <row r="439" customFormat="false" ht="15" hidden="false" customHeight="false" outlineLevel="0" collapsed="false">
      <c r="A439" s="10" t="s">
        <v>456</v>
      </c>
      <c r="B439" s="10" t="s">
        <v>740</v>
      </c>
      <c r="C439" s="10" t="s">
        <v>437</v>
      </c>
      <c r="D439" s="10" t="s">
        <v>742</v>
      </c>
      <c r="E439" s="21" t="str">
        <f aca="false">IF(A439="","",A439&amp;"|"&amp;D439)</f>
        <v>D-Alpha Tocopheryl Acetate 50% (Vitamin E)|Other compendial tests (ID, LOD/KF, heavy metals...)</v>
      </c>
      <c r="F439" s="16" t="s">
        <v>662</v>
      </c>
      <c r="G439" s="16" t="s">
        <v>670</v>
      </c>
      <c r="H439" s="16" t="s">
        <v>672</v>
      </c>
      <c r="I439" s="16" t="n">
        <v>1</v>
      </c>
      <c r="J439" s="16"/>
      <c r="K439" s="14"/>
      <c r="L439" s="14"/>
      <c r="M439" s="14"/>
      <c r="N439" s="14"/>
      <c r="O439" s="14"/>
      <c r="P439" s="18" t="n">
        <f aca="false">IF(N439="",0,IF(OR(M439="",O439=""),N439,(M439+4*N439+O439)/6))</f>
        <v>0</v>
      </c>
      <c r="Q439" s="14"/>
      <c r="R439" s="14"/>
      <c r="S439" s="14"/>
      <c r="T439" s="14"/>
      <c r="U439" s="16"/>
      <c r="V439" s="13"/>
      <c r="W439" s="16" t="s">
        <v>667</v>
      </c>
      <c r="X439" s="16"/>
      <c r="Y439" s="16"/>
      <c r="Z439" s="16"/>
      <c r="AA439" s="22" t="n">
        <f aca="false">IF(F439&lt;&gt;"Y",0,((SUMIF(Products!$E$5:$E$300,A439,Products!$F$5:$F$300)+SUMIF(RM_Lots!$A$5:$A$400,A439,RM_Lots!$D$5:$D$400))+IF(W439="Y",SUMIF(Products!$E$5:$E$300,A439,Products!$G$5:$G$300),0))*(1+N(V439)))</f>
        <v>0</v>
      </c>
      <c r="AB439" s="22" t="n">
        <f aca="false">IF(F439&lt;&gt;"Y",0,((SUMIF(Products!$E$5:$E$300,A439,Products!$K$5:$K$300)+SUMIF(RM_Lots!$A$5:$A$400,A439,RM_Lots!$F$5:$F$400))+IF(W439="Y",SUMIF(Products!$E$5:$E$300,A439,Products!$L$5:$L$300),0))*(1+N(V439)))</f>
        <v>0</v>
      </c>
      <c r="AC439" s="17" t="n">
        <f aca="false">IF(J439="",1,MAX(1,COUNTIFS($J$5:$J$863,J439,$F$5:$F$863,"Y")))</f>
        <v>1</v>
      </c>
      <c r="AD439" s="18" t="n">
        <f aca="false">(MAX(1,N(I439))*(P439+N(S439))+MAX(1,N(I439))*N(K439)/(MAX(1,N(U439))*AC439))*Settings!$B$9</f>
        <v>0</v>
      </c>
      <c r="AE439" s="18" t="n">
        <f aca="false">(MAX(1,N(I439))*N(Q439)+MAX(1,N(I439))*N(L439)/(MAX(1,N(U439))*AC439))*Settings!$B$8</f>
        <v>0</v>
      </c>
      <c r="AF439" s="18" t="n">
        <f aca="false">MAX(1,N(I439))*N(T439)</f>
        <v>0</v>
      </c>
      <c r="AG439" s="15" t="n">
        <f aca="false">AA439*N(AD439)</f>
        <v>0</v>
      </c>
      <c r="AH439" s="15" t="n">
        <f aca="false">AA439*N(AE439)</f>
        <v>0</v>
      </c>
      <c r="AI439" s="15" t="n">
        <f aca="false">AA439*N(AF439)</f>
        <v>0</v>
      </c>
      <c r="AJ439" s="15" t="n">
        <f aca="false">AA439*N(R439)</f>
        <v>0</v>
      </c>
      <c r="AK439" s="15" t="n">
        <f aca="false">AB439*N(AD439)</f>
        <v>0</v>
      </c>
      <c r="AL439" s="15" t="n">
        <f aca="false">AB439*N(AE439)</f>
        <v>0</v>
      </c>
      <c r="AM439" s="15" t="n">
        <f aca="false">AB439*N(AF439)</f>
        <v>0</v>
      </c>
      <c r="AN439" s="15" t="n">
        <f aca="false">AB439*N(R439)</f>
        <v>0</v>
      </c>
      <c r="AO439" s="21" t="str">
        <f aca="false">IF(F439&lt;&gt;"Y","n/a",IF(AND(N439&lt;&gt;"",OR(Q439&lt;&gt;"",G439="Other / bench",G439="None"),U439&lt;&gt;""),"OK","Missing"))</f>
        <v>Missing</v>
      </c>
    </row>
    <row r="440" customFormat="false" ht="15" hidden="false" customHeight="false" outlineLevel="0" collapsed="false">
      <c r="A440" s="10" t="s">
        <v>261</v>
      </c>
      <c r="B440" s="10" t="s">
        <v>740</v>
      </c>
      <c r="C440" s="10" t="s">
        <v>437</v>
      </c>
      <c r="D440" s="10" t="s">
        <v>741</v>
      </c>
      <c r="E440" s="21" t="str">
        <f aca="false">IF(A440="","",A440&amp;"|"&amp;D440)</f>
        <v>Dapagliflozin Propanediol Monohydrate|Assay + related substances</v>
      </c>
      <c r="F440" s="16" t="s">
        <v>662</v>
      </c>
      <c r="G440" s="16" t="s">
        <v>147</v>
      </c>
      <c r="H440" s="16" t="s">
        <v>663</v>
      </c>
      <c r="I440" s="16" t="n">
        <v>1</v>
      </c>
      <c r="J440" s="16"/>
      <c r="K440" s="14"/>
      <c r="L440" s="14"/>
      <c r="M440" s="14"/>
      <c r="N440" s="14"/>
      <c r="O440" s="14"/>
      <c r="P440" s="18" t="n">
        <f aca="false">IF(N440="",0,IF(OR(M440="",O440=""),N440,(M440+4*N440+O440)/6))</f>
        <v>0</v>
      </c>
      <c r="Q440" s="14"/>
      <c r="R440" s="14"/>
      <c r="S440" s="14"/>
      <c r="T440" s="14"/>
      <c r="U440" s="16"/>
      <c r="V440" s="13"/>
      <c r="W440" s="16" t="s">
        <v>667</v>
      </c>
      <c r="X440" s="16"/>
      <c r="Y440" s="16"/>
      <c r="Z440" s="16"/>
      <c r="AA440" s="22" t="n">
        <f aca="false">IF(F440&lt;&gt;"Y",0,((SUMIF(Products!$E$5:$E$300,A440,Products!$F$5:$F$300)+SUMIF(RM_Lots!$A$5:$A$400,A440,RM_Lots!$D$5:$D$400))+IF(W440="Y",SUMIF(Products!$E$5:$E$300,A440,Products!$G$5:$G$300),0))*(1+N(V440)))</f>
        <v>0</v>
      </c>
      <c r="AB440" s="22" t="n">
        <f aca="false">IF(F440&lt;&gt;"Y",0,((SUMIF(Products!$E$5:$E$300,A440,Products!$K$5:$K$300)+SUMIF(RM_Lots!$A$5:$A$400,A440,RM_Lots!$F$5:$F$400))+IF(W440="Y",SUMIF(Products!$E$5:$E$300,A440,Products!$L$5:$L$300),0))*(1+N(V440)))</f>
        <v>0</v>
      </c>
      <c r="AC440" s="17" t="n">
        <f aca="false">IF(J440="",1,MAX(1,COUNTIFS($J$5:$J$863,J440,$F$5:$F$863,"Y")))</f>
        <v>1</v>
      </c>
      <c r="AD440" s="18" t="n">
        <f aca="false">(MAX(1,N(I440))*(P440+N(S440))+MAX(1,N(I440))*N(K440)/(MAX(1,N(U440))*AC440))*Settings!$B$9</f>
        <v>0</v>
      </c>
      <c r="AE440" s="18" t="n">
        <f aca="false">(MAX(1,N(I440))*N(Q440)+MAX(1,N(I440))*N(L440)/(MAX(1,N(U440))*AC440))*Settings!$B$8</f>
        <v>0</v>
      </c>
      <c r="AF440" s="18" t="n">
        <f aca="false">MAX(1,N(I440))*N(T440)</f>
        <v>0</v>
      </c>
      <c r="AG440" s="15" t="n">
        <f aca="false">AA440*N(AD440)</f>
        <v>0</v>
      </c>
      <c r="AH440" s="15" t="n">
        <f aca="false">AA440*N(AE440)</f>
        <v>0</v>
      </c>
      <c r="AI440" s="15" t="n">
        <f aca="false">AA440*N(AF440)</f>
        <v>0</v>
      </c>
      <c r="AJ440" s="15" t="n">
        <f aca="false">AA440*N(R440)</f>
        <v>0</v>
      </c>
      <c r="AK440" s="15" t="n">
        <f aca="false">AB440*N(AD440)</f>
        <v>0</v>
      </c>
      <c r="AL440" s="15" t="n">
        <f aca="false">AB440*N(AE440)</f>
        <v>0</v>
      </c>
      <c r="AM440" s="15" t="n">
        <f aca="false">AB440*N(AF440)</f>
        <v>0</v>
      </c>
      <c r="AN440" s="15" t="n">
        <f aca="false">AB440*N(R440)</f>
        <v>0</v>
      </c>
      <c r="AO440" s="21" t="str">
        <f aca="false">IF(F440&lt;&gt;"Y","n/a",IF(AND(N440&lt;&gt;"",OR(Q440&lt;&gt;"",G440="Other / bench",G440="None"),U440&lt;&gt;""),"OK","Missing"))</f>
        <v>Missing</v>
      </c>
    </row>
    <row r="441" customFormat="false" ht="15" hidden="false" customHeight="false" outlineLevel="0" collapsed="false">
      <c r="A441" s="10" t="s">
        <v>261</v>
      </c>
      <c r="B441" s="10" t="s">
        <v>740</v>
      </c>
      <c r="C441" s="10" t="s">
        <v>437</v>
      </c>
      <c r="D441" s="10" t="s">
        <v>742</v>
      </c>
      <c r="E441" s="21" t="str">
        <f aca="false">IF(A441="","",A441&amp;"|"&amp;D441)</f>
        <v>Dapagliflozin Propanediol Monohydrate|Other compendial tests (ID, LOD/KF, heavy metals...)</v>
      </c>
      <c r="F441" s="16" t="s">
        <v>662</v>
      </c>
      <c r="G441" s="16" t="s">
        <v>670</v>
      </c>
      <c r="H441" s="16" t="s">
        <v>672</v>
      </c>
      <c r="I441" s="16" t="n">
        <v>1</v>
      </c>
      <c r="J441" s="16"/>
      <c r="K441" s="14"/>
      <c r="L441" s="14"/>
      <c r="M441" s="14"/>
      <c r="N441" s="14"/>
      <c r="O441" s="14"/>
      <c r="P441" s="18" t="n">
        <f aca="false">IF(N441="",0,IF(OR(M441="",O441=""),N441,(M441+4*N441+O441)/6))</f>
        <v>0</v>
      </c>
      <c r="Q441" s="14"/>
      <c r="R441" s="14"/>
      <c r="S441" s="14"/>
      <c r="T441" s="14"/>
      <c r="U441" s="16"/>
      <c r="V441" s="13"/>
      <c r="W441" s="16" t="s">
        <v>667</v>
      </c>
      <c r="X441" s="16"/>
      <c r="Y441" s="16"/>
      <c r="Z441" s="16"/>
      <c r="AA441" s="22" t="n">
        <f aca="false">IF(F441&lt;&gt;"Y",0,((SUMIF(Products!$E$5:$E$300,A441,Products!$F$5:$F$300)+SUMIF(RM_Lots!$A$5:$A$400,A441,RM_Lots!$D$5:$D$400))+IF(W441="Y",SUMIF(Products!$E$5:$E$300,A441,Products!$G$5:$G$300),0))*(1+N(V441)))</f>
        <v>0</v>
      </c>
      <c r="AB441" s="22" t="n">
        <f aca="false">IF(F441&lt;&gt;"Y",0,((SUMIF(Products!$E$5:$E$300,A441,Products!$K$5:$K$300)+SUMIF(RM_Lots!$A$5:$A$400,A441,RM_Lots!$F$5:$F$400))+IF(W441="Y",SUMIF(Products!$E$5:$E$300,A441,Products!$L$5:$L$300),0))*(1+N(V441)))</f>
        <v>0</v>
      </c>
      <c r="AC441" s="17" t="n">
        <f aca="false">IF(J441="",1,MAX(1,COUNTIFS($J$5:$J$863,J441,$F$5:$F$863,"Y")))</f>
        <v>1</v>
      </c>
      <c r="AD441" s="18" t="n">
        <f aca="false">(MAX(1,N(I441))*(P441+N(S441))+MAX(1,N(I441))*N(K441)/(MAX(1,N(U441))*AC441))*Settings!$B$9</f>
        <v>0</v>
      </c>
      <c r="AE441" s="18" t="n">
        <f aca="false">(MAX(1,N(I441))*N(Q441)+MAX(1,N(I441))*N(L441)/(MAX(1,N(U441))*AC441))*Settings!$B$8</f>
        <v>0</v>
      </c>
      <c r="AF441" s="18" t="n">
        <f aca="false">MAX(1,N(I441))*N(T441)</f>
        <v>0</v>
      </c>
      <c r="AG441" s="15" t="n">
        <f aca="false">AA441*N(AD441)</f>
        <v>0</v>
      </c>
      <c r="AH441" s="15" t="n">
        <f aca="false">AA441*N(AE441)</f>
        <v>0</v>
      </c>
      <c r="AI441" s="15" t="n">
        <f aca="false">AA441*N(AF441)</f>
        <v>0</v>
      </c>
      <c r="AJ441" s="15" t="n">
        <f aca="false">AA441*N(R441)</f>
        <v>0</v>
      </c>
      <c r="AK441" s="15" t="n">
        <f aca="false">AB441*N(AD441)</f>
        <v>0</v>
      </c>
      <c r="AL441" s="15" t="n">
        <f aca="false">AB441*N(AE441)</f>
        <v>0</v>
      </c>
      <c r="AM441" s="15" t="n">
        <f aca="false">AB441*N(AF441)</f>
        <v>0</v>
      </c>
      <c r="AN441" s="15" t="n">
        <f aca="false">AB441*N(R441)</f>
        <v>0</v>
      </c>
      <c r="AO441" s="21" t="str">
        <f aca="false">IF(F441&lt;&gt;"Y","n/a",IF(AND(N441&lt;&gt;"",OR(Q441&lt;&gt;"",G441="Other / bench",G441="None"),U441&lt;&gt;""),"OK","Missing"))</f>
        <v>Missing</v>
      </c>
    </row>
    <row r="442" customFormat="false" ht="15" hidden="false" customHeight="false" outlineLevel="0" collapsed="false">
      <c r="A442" s="10" t="s">
        <v>457</v>
      </c>
      <c r="B442" s="10" t="s">
        <v>740</v>
      </c>
      <c r="C442" s="10" t="s">
        <v>437</v>
      </c>
      <c r="D442" s="10" t="s">
        <v>741</v>
      </c>
      <c r="E442" s="21" t="str">
        <f aca="false">IF(A442="","",A442&amp;"|"&amp;D442)</f>
        <v>Devil's Claw Dry Extract 6:1|Assay + related substances</v>
      </c>
      <c r="F442" s="16" t="s">
        <v>662</v>
      </c>
      <c r="G442" s="16" t="s">
        <v>147</v>
      </c>
      <c r="H442" s="16" t="s">
        <v>663</v>
      </c>
      <c r="I442" s="16" t="n">
        <v>1</v>
      </c>
      <c r="J442" s="16"/>
      <c r="K442" s="14"/>
      <c r="L442" s="14"/>
      <c r="M442" s="14"/>
      <c r="N442" s="14"/>
      <c r="O442" s="14"/>
      <c r="P442" s="18" t="n">
        <f aca="false">IF(N442="",0,IF(OR(M442="",O442=""),N442,(M442+4*N442+O442)/6))</f>
        <v>0</v>
      </c>
      <c r="Q442" s="14"/>
      <c r="R442" s="14"/>
      <c r="S442" s="14"/>
      <c r="T442" s="14"/>
      <c r="U442" s="16"/>
      <c r="V442" s="13"/>
      <c r="W442" s="16" t="s">
        <v>667</v>
      </c>
      <c r="X442" s="16"/>
      <c r="Y442" s="16"/>
      <c r="Z442" s="16"/>
      <c r="AA442" s="22" t="n">
        <f aca="false">IF(F442&lt;&gt;"Y",0,((SUMIF(Products!$E$5:$E$300,A442,Products!$F$5:$F$300)+SUMIF(RM_Lots!$A$5:$A$400,A442,RM_Lots!$D$5:$D$400))+IF(W442="Y",SUMIF(Products!$E$5:$E$300,A442,Products!$G$5:$G$300),0))*(1+N(V442)))</f>
        <v>0</v>
      </c>
      <c r="AB442" s="22" t="n">
        <f aca="false">IF(F442&lt;&gt;"Y",0,((SUMIF(Products!$E$5:$E$300,A442,Products!$K$5:$K$300)+SUMIF(RM_Lots!$A$5:$A$400,A442,RM_Lots!$F$5:$F$400))+IF(W442="Y",SUMIF(Products!$E$5:$E$300,A442,Products!$L$5:$L$300),0))*(1+N(V442)))</f>
        <v>0</v>
      </c>
      <c r="AC442" s="17" t="n">
        <f aca="false">IF(J442="",1,MAX(1,COUNTIFS($J$5:$J$863,J442,$F$5:$F$863,"Y")))</f>
        <v>1</v>
      </c>
      <c r="AD442" s="18" t="n">
        <f aca="false">(MAX(1,N(I442))*(P442+N(S442))+MAX(1,N(I442))*N(K442)/(MAX(1,N(U442))*AC442))*Settings!$B$9</f>
        <v>0</v>
      </c>
      <c r="AE442" s="18" t="n">
        <f aca="false">(MAX(1,N(I442))*N(Q442)+MAX(1,N(I442))*N(L442)/(MAX(1,N(U442))*AC442))*Settings!$B$8</f>
        <v>0</v>
      </c>
      <c r="AF442" s="18" t="n">
        <f aca="false">MAX(1,N(I442))*N(T442)</f>
        <v>0</v>
      </c>
      <c r="AG442" s="15" t="n">
        <f aca="false">AA442*N(AD442)</f>
        <v>0</v>
      </c>
      <c r="AH442" s="15" t="n">
        <f aca="false">AA442*N(AE442)</f>
        <v>0</v>
      </c>
      <c r="AI442" s="15" t="n">
        <f aca="false">AA442*N(AF442)</f>
        <v>0</v>
      </c>
      <c r="AJ442" s="15" t="n">
        <f aca="false">AA442*N(R442)</f>
        <v>0</v>
      </c>
      <c r="AK442" s="15" t="n">
        <f aca="false">AB442*N(AD442)</f>
        <v>0</v>
      </c>
      <c r="AL442" s="15" t="n">
        <f aca="false">AB442*N(AE442)</f>
        <v>0</v>
      </c>
      <c r="AM442" s="15" t="n">
        <f aca="false">AB442*N(AF442)</f>
        <v>0</v>
      </c>
      <c r="AN442" s="15" t="n">
        <f aca="false">AB442*N(R442)</f>
        <v>0</v>
      </c>
      <c r="AO442" s="21" t="str">
        <f aca="false">IF(F442&lt;&gt;"Y","n/a",IF(AND(N442&lt;&gt;"",OR(Q442&lt;&gt;"",G442="Other / bench",G442="None"),U442&lt;&gt;""),"OK","Missing"))</f>
        <v>Missing</v>
      </c>
    </row>
    <row r="443" customFormat="false" ht="15" hidden="false" customHeight="false" outlineLevel="0" collapsed="false">
      <c r="A443" s="10" t="s">
        <v>457</v>
      </c>
      <c r="B443" s="10" t="s">
        <v>740</v>
      </c>
      <c r="C443" s="10" t="s">
        <v>437</v>
      </c>
      <c r="D443" s="10" t="s">
        <v>742</v>
      </c>
      <c r="E443" s="21" t="str">
        <f aca="false">IF(A443="","",A443&amp;"|"&amp;D443)</f>
        <v>Devil's Claw Dry Extract 6:1|Other compendial tests (ID, LOD/KF, heavy metals...)</v>
      </c>
      <c r="F443" s="16" t="s">
        <v>662</v>
      </c>
      <c r="G443" s="16" t="s">
        <v>670</v>
      </c>
      <c r="H443" s="16" t="s">
        <v>672</v>
      </c>
      <c r="I443" s="16" t="n">
        <v>1</v>
      </c>
      <c r="J443" s="16"/>
      <c r="K443" s="14"/>
      <c r="L443" s="14"/>
      <c r="M443" s="14"/>
      <c r="N443" s="14"/>
      <c r="O443" s="14"/>
      <c r="P443" s="18" t="n">
        <f aca="false">IF(N443="",0,IF(OR(M443="",O443=""),N443,(M443+4*N443+O443)/6))</f>
        <v>0</v>
      </c>
      <c r="Q443" s="14"/>
      <c r="R443" s="14"/>
      <c r="S443" s="14"/>
      <c r="T443" s="14"/>
      <c r="U443" s="16"/>
      <c r="V443" s="13"/>
      <c r="W443" s="16" t="s">
        <v>667</v>
      </c>
      <c r="X443" s="16"/>
      <c r="Y443" s="16"/>
      <c r="Z443" s="16"/>
      <c r="AA443" s="22" t="n">
        <f aca="false">IF(F443&lt;&gt;"Y",0,((SUMIF(Products!$E$5:$E$300,A443,Products!$F$5:$F$300)+SUMIF(RM_Lots!$A$5:$A$400,A443,RM_Lots!$D$5:$D$400))+IF(W443="Y",SUMIF(Products!$E$5:$E$300,A443,Products!$G$5:$G$300),0))*(1+N(V443)))</f>
        <v>0</v>
      </c>
      <c r="AB443" s="22" t="n">
        <f aca="false">IF(F443&lt;&gt;"Y",0,((SUMIF(Products!$E$5:$E$300,A443,Products!$K$5:$K$300)+SUMIF(RM_Lots!$A$5:$A$400,A443,RM_Lots!$F$5:$F$400))+IF(W443="Y",SUMIF(Products!$E$5:$E$300,A443,Products!$L$5:$L$300),0))*(1+N(V443)))</f>
        <v>0</v>
      </c>
      <c r="AC443" s="17" t="n">
        <f aca="false">IF(J443="",1,MAX(1,COUNTIFS($J$5:$J$863,J443,$F$5:$F$863,"Y")))</f>
        <v>1</v>
      </c>
      <c r="AD443" s="18" t="n">
        <f aca="false">(MAX(1,N(I443))*(P443+N(S443))+MAX(1,N(I443))*N(K443)/(MAX(1,N(U443))*AC443))*Settings!$B$9</f>
        <v>0</v>
      </c>
      <c r="AE443" s="18" t="n">
        <f aca="false">(MAX(1,N(I443))*N(Q443)+MAX(1,N(I443))*N(L443)/(MAX(1,N(U443))*AC443))*Settings!$B$8</f>
        <v>0</v>
      </c>
      <c r="AF443" s="18" t="n">
        <f aca="false">MAX(1,N(I443))*N(T443)</f>
        <v>0</v>
      </c>
      <c r="AG443" s="15" t="n">
        <f aca="false">AA443*N(AD443)</f>
        <v>0</v>
      </c>
      <c r="AH443" s="15" t="n">
        <f aca="false">AA443*N(AE443)</f>
        <v>0</v>
      </c>
      <c r="AI443" s="15" t="n">
        <f aca="false">AA443*N(AF443)</f>
        <v>0</v>
      </c>
      <c r="AJ443" s="15" t="n">
        <f aca="false">AA443*N(R443)</f>
        <v>0</v>
      </c>
      <c r="AK443" s="15" t="n">
        <f aca="false">AB443*N(AD443)</f>
        <v>0</v>
      </c>
      <c r="AL443" s="15" t="n">
        <f aca="false">AB443*N(AE443)</f>
        <v>0</v>
      </c>
      <c r="AM443" s="15" t="n">
        <f aca="false">AB443*N(AF443)</f>
        <v>0</v>
      </c>
      <c r="AN443" s="15" t="n">
        <f aca="false">AB443*N(R443)</f>
        <v>0</v>
      </c>
      <c r="AO443" s="21" t="str">
        <f aca="false">IF(F443&lt;&gt;"Y","n/a",IF(AND(N443&lt;&gt;"",OR(Q443&lt;&gt;"",G443="Other / bench",G443="None"),U443&lt;&gt;""),"OK","Missing"))</f>
        <v>Missing</v>
      </c>
    </row>
    <row r="444" customFormat="false" ht="15" hidden="false" customHeight="false" outlineLevel="0" collapsed="false">
      <c r="A444" s="10" t="s">
        <v>225</v>
      </c>
      <c r="B444" s="10" t="s">
        <v>740</v>
      </c>
      <c r="C444" s="10" t="s">
        <v>437</v>
      </c>
      <c r="D444" s="10" t="s">
        <v>741</v>
      </c>
      <c r="E444" s="21" t="str">
        <f aca="false">IF(A444="","",A444&amp;"|"&amp;D444)</f>
        <v>Dexlansoprazole Pellets 20%|Assay + related substances</v>
      </c>
      <c r="F444" s="16" t="s">
        <v>662</v>
      </c>
      <c r="G444" s="16" t="s">
        <v>147</v>
      </c>
      <c r="H444" s="16" t="s">
        <v>663</v>
      </c>
      <c r="I444" s="16" t="n">
        <v>1</v>
      </c>
      <c r="J444" s="16"/>
      <c r="K444" s="14"/>
      <c r="L444" s="14"/>
      <c r="M444" s="14"/>
      <c r="N444" s="14"/>
      <c r="O444" s="14"/>
      <c r="P444" s="18" t="n">
        <f aca="false">IF(N444="",0,IF(OR(M444="",O444=""),N444,(M444+4*N444+O444)/6))</f>
        <v>0</v>
      </c>
      <c r="Q444" s="14"/>
      <c r="R444" s="14"/>
      <c r="S444" s="14"/>
      <c r="T444" s="14"/>
      <c r="U444" s="16"/>
      <c r="V444" s="13"/>
      <c r="W444" s="16" t="s">
        <v>667</v>
      </c>
      <c r="X444" s="16"/>
      <c r="Y444" s="16"/>
      <c r="Z444" s="16"/>
      <c r="AA444" s="22" t="n">
        <f aca="false">IF(F444&lt;&gt;"Y",0,((SUMIF(Products!$E$5:$E$300,A444,Products!$F$5:$F$300)+SUMIF(RM_Lots!$A$5:$A$400,A444,RM_Lots!$D$5:$D$400))+IF(W444="Y",SUMIF(Products!$E$5:$E$300,A444,Products!$G$5:$G$300),0))*(1+N(V444)))</f>
        <v>0</v>
      </c>
      <c r="AB444" s="22" t="n">
        <f aca="false">IF(F444&lt;&gt;"Y",0,((SUMIF(Products!$E$5:$E$300,A444,Products!$K$5:$K$300)+SUMIF(RM_Lots!$A$5:$A$400,A444,RM_Lots!$F$5:$F$400))+IF(W444="Y",SUMIF(Products!$E$5:$E$300,A444,Products!$L$5:$L$300),0))*(1+N(V444)))</f>
        <v>0</v>
      </c>
      <c r="AC444" s="17" t="n">
        <f aca="false">IF(J444="",1,MAX(1,COUNTIFS($J$5:$J$863,J444,$F$5:$F$863,"Y")))</f>
        <v>1</v>
      </c>
      <c r="AD444" s="18" t="n">
        <f aca="false">(MAX(1,N(I444))*(P444+N(S444))+MAX(1,N(I444))*N(K444)/(MAX(1,N(U444))*AC444))*Settings!$B$9</f>
        <v>0</v>
      </c>
      <c r="AE444" s="18" t="n">
        <f aca="false">(MAX(1,N(I444))*N(Q444)+MAX(1,N(I444))*N(L444)/(MAX(1,N(U444))*AC444))*Settings!$B$8</f>
        <v>0</v>
      </c>
      <c r="AF444" s="18" t="n">
        <f aca="false">MAX(1,N(I444))*N(T444)</f>
        <v>0</v>
      </c>
      <c r="AG444" s="15" t="n">
        <f aca="false">AA444*N(AD444)</f>
        <v>0</v>
      </c>
      <c r="AH444" s="15" t="n">
        <f aca="false">AA444*N(AE444)</f>
        <v>0</v>
      </c>
      <c r="AI444" s="15" t="n">
        <f aca="false">AA444*N(AF444)</f>
        <v>0</v>
      </c>
      <c r="AJ444" s="15" t="n">
        <f aca="false">AA444*N(R444)</f>
        <v>0</v>
      </c>
      <c r="AK444" s="15" t="n">
        <f aca="false">AB444*N(AD444)</f>
        <v>0</v>
      </c>
      <c r="AL444" s="15" t="n">
        <f aca="false">AB444*N(AE444)</f>
        <v>0</v>
      </c>
      <c r="AM444" s="15" t="n">
        <f aca="false">AB444*N(AF444)</f>
        <v>0</v>
      </c>
      <c r="AN444" s="15" t="n">
        <f aca="false">AB444*N(R444)</f>
        <v>0</v>
      </c>
      <c r="AO444" s="21" t="str">
        <f aca="false">IF(F444&lt;&gt;"Y","n/a",IF(AND(N444&lt;&gt;"",OR(Q444&lt;&gt;"",G444="Other / bench",G444="None"),U444&lt;&gt;""),"OK","Missing"))</f>
        <v>Missing</v>
      </c>
    </row>
    <row r="445" customFormat="false" ht="15" hidden="false" customHeight="false" outlineLevel="0" collapsed="false">
      <c r="A445" s="10" t="s">
        <v>225</v>
      </c>
      <c r="B445" s="10" t="s">
        <v>740</v>
      </c>
      <c r="C445" s="10" t="s">
        <v>437</v>
      </c>
      <c r="D445" s="10" t="s">
        <v>742</v>
      </c>
      <c r="E445" s="21" t="str">
        <f aca="false">IF(A445="","",A445&amp;"|"&amp;D445)</f>
        <v>Dexlansoprazole Pellets 20%|Other compendial tests (ID, LOD/KF, heavy metals...)</v>
      </c>
      <c r="F445" s="16" t="s">
        <v>662</v>
      </c>
      <c r="G445" s="16" t="s">
        <v>670</v>
      </c>
      <c r="H445" s="16" t="s">
        <v>672</v>
      </c>
      <c r="I445" s="16" t="n">
        <v>1</v>
      </c>
      <c r="J445" s="16"/>
      <c r="K445" s="14"/>
      <c r="L445" s="14"/>
      <c r="M445" s="14"/>
      <c r="N445" s="14"/>
      <c r="O445" s="14"/>
      <c r="P445" s="18" t="n">
        <f aca="false">IF(N445="",0,IF(OR(M445="",O445=""),N445,(M445+4*N445+O445)/6))</f>
        <v>0</v>
      </c>
      <c r="Q445" s="14"/>
      <c r="R445" s="14"/>
      <c r="S445" s="14"/>
      <c r="T445" s="14"/>
      <c r="U445" s="16"/>
      <c r="V445" s="13"/>
      <c r="W445" s="16" t="s">
        <v>667</v>
      </c>
      <c r="X445" s="16"/>
      <c r="Y445" s="16"/>
      <c r="Z445" s="16"/>
      <c r="AA445" s="22" t="n">
        <f aca="false">IF(F445&lt;&gt;"Y",0,((SUMIF(Products!$E$5:$E$300,A445,Products!$F$5:$F$300)+SUMIF(RM_Lots!$A$5:$A$400,A445,RM_Lots!$D$5:$D$400))+IF(W445="Y",SUMIF(Products!$E$5:$E$300,A445,Products!$G$5:$G$300),0))*(1+N(V445)))</f>
        <v>0</v>
      </c>
      <c r="AB445" s="22" t="n">
        <f aca="false">IF(F445&lt;&gt;"Y",0,((SUMIF(Products!$E$5:$E$300,A445,Products!$K$5:$K$300)+SUMIF(RM_Lots!$A$5:$A$400,A445,RM_Lots!$F$5:$F$400))+IF(W445="Y",SUMIF(Products!$E$5:$E$300,A445,Products!$L$5:$L$300),0))*(1+N(V445)))</f>
        <v>0</v>
      </c>
      <c r="AC445" s="17" t="n">
        <f aca="false">IF(J445="",1,MAX(1,COUNTIFS($J$5:$J$863,J445,$F$5:$F$863,"Y")))</f>
        <v>1</v>
      </c>
      <c r="AD445" s="18" t="n">
        <f aca="false">(MAX(1,N(I445))*(P445+N(S445))+MAX(1,N(I445))*N(K445)/(MAX(1,N(U445))*AC445))*Settings!$B$9</f>
        <v>0</v>
      </c>
      <c r="AE445" s="18" t="n">
        <f aca="false">(MAX(1,N(I445))*N(Q445)+MAX(1,N(I445))*N(L445)/(MAX(1,N(U445))*AC445))*Settings!$B$8</f>
        <v>0</v>
      </c>
      <c r="AF445" s="18" t="n">
        <f aca="false">MAX(1,N(I445))*N(T445)</f>
        <v>0</v>
      </c>
      <c r="AG445" s="15" t="n">
        <f aca="false">AA445*N(AD445)</f>
        <v>0</v>
      </c>
      <c r="AH445" s="15" t="n">
        <f aca="false">AA445*N(AE445)</f>
        <v>0</v>
      </c>
      <c r="AI445" s="15" t="n">
        <f aca="false">AA445*N(AF445)</f>
        <v>0</v>
      </c>
      <c r="AJ445" s="15" t="n">
        <f aca="false">AA445*N(R445)</f>
        <v>0</v>
      </c>
      <c r="AK445" s="15" t="n">
        <f aca="false">AB445*N(AD445)</f>
        <v>0</v>
      </c>
      <c r="AL445" s="15" t="n">
        <f aca="false">AB445*N(AE445)</f>
        <v>0</v>
      </c>
      <c r="AM445" s="15" t="n">
        <f aca="false">AB445*N(AF445)</f>
        <v>0</v>
      </c>
      <c r="AN445" s="15" t="n">
        <f aca="false">AB445*N(R445)</f>
        <v>0</v>
      </c>
      <c r="AO445" s="21" t="str">
        <f aca="false">IF(F445&lt;&gt;"Y","n/a",IF(AND(N445&lt;&gt;"",OR(Q445&lt;&gt;"",G445="Other / bench",G445="None"),U445&lt;&gt;""),"OK","Missing"))</f>
        <v>Missing</v>
      </c>
    </row>
    <row r="446" customFormat="false" ht="15" hidden="false" customHeight="false" outlineLevel="0" collapsed="false">
      <c r="A446" s="10" t="s">
        <v>458</v>
      </c>
      <c r="B446" s="10" t="s">
        <v>740</v>
      </c>
      <c r="C446" s="10" t="s">
        <v>437</v>
      </c>
      <c r="D446" s="10" t="s">
        <v>741</v>
      </c>
      <c r="E446" s="21" t="str">
        <f aca="false">IF(A446="","",A446&amp;"|"&amp;D446)</f>
        <v>Dextromethorphan HBr|Assay + related substances</v>
      </c>
      <c r="F446" s="16" t="s">
        <v>662</v>
      </c>
      <c r="G446" s="16" t="s">
        <v>147</v>
      </c>
      <c r="H446" s="16" t="s">
        <v>663</v>
      </c>
      <c r="I446" s="16" t="n">
        <v>1</v>
      </c>
      <c r="J446" s="16"/>
      <c r="K446" s="14"/>
      <c r="L446" s="14"/>
      <c r="M446" s="14"/>
      <c r="N446" s="14"/>
      <c r="O446" s="14"/>
      <c r="P446" s="18" t="n">
        <f aca="false">IF(N446="",0,IF(OR(M446="",O446=""),N446,(M446+4*N446+O446)/6))</f>
        <v>0</v>
      </c>
      <c r="Q446" s="14"/>
      <c r="R446" s="14"/>
      <c r="S446" s="14"/>
      <c r="T446" s="14"/>
      <c r="U446" s="16"/>
      <c r="V446" s="13"/>
      <c r="W446" s="16" t="s">
        <v>667</v>
      </c>
      <c r="X446" s="16"/>
      <c r="Y446" s="16"/>
      <c r="Z446" s="16"/>
      <c r="AA446" s="22" t="n">
        <f aca="false">IF(F446&lt;&gt;"Y",0,((SUMIF(Products!$E$5:$E$300,A446,Products!$F$5:$F$300)+SUMIF(RM_Lots!$A$5:$A$400,A446,RM_Lots!$D$5:$D$400))+IF(W446="Y",SUMIF(Products!$E$5:$E$300,A446,Products!$G$5:$G$300),0))*(1+N(V446)))</f>
        <v>0</v>
      </c>
      <c r="AB446" s="22" t="n">
        <f aca="false">IF(F446&lt;&gt;"Y",0,((SUMIF(Products!$E$5:$E$300,A446,Products!$K$5:$K$300)+SUMIF(RM_Lots!$A$5:$A$400,A446,RM_Lots!$F$5:$F$400))+IF(W446="Y",SUMIF(Products!$E$5:$E$300,A446,Products!$L$5:$L$300),0))*(1+N(V446)))</f>
        <v>0</v>
      </c>
      <c r="AC446" s="17" t="n">
        <f aca="false">IF(J446="",1,MAX(1,COUNTIFS($J$5:$J$863,J446,$F$5:$F$863,"Y")))</f>
        <v>1</v>
      </c>
      <c r="AD446" s="18" t="n">
        <f aca="false">(MAX(1,N(I446))*(P446+N(S446))+MAX(1,N(I446))*N(K446)/(MAX(1,N(U446))*AC446))*Settings!$B$9</f>
        <v>0</v>
      </c>
      <c r="AE446" s="18" t="n">
        <f aca="false">(MAX(1,N(I446))*N(Q446)+MAX(1,N(I446))*N(L446)/(MAX(1,N(U446))*AC446))*Settings!$B$8</f>
        <v>0</v>
      </c>
      <c r="AF446" s="18" t="n">
        <f aca="false">MAX(1,N(I446))*N(T446)</f>
        <v>0</v>
      </c>
      <c r="AG446" s="15" t="n">
        <f aca="false">AA446*N(AD446)</f>
        <v>0</v>
      </c>
      <c r="AH446" s="15" t="n">
        <f aca="false">AA446*N(AE446)</f>
        <v>0</v>
      </c>
      <c r="AI446" s="15" t="n">
        <f aca="false">AA446*N(AF446)</f>
        <v>0</v>
      </c>
      <c r="AJ446" s="15" t="n">
        <f aca="false">AA446*N(R446)</f>
        <v>0</v>
      </c>
      <c r="AK446" s="15" t="n">
        <f aca="false">AB446*N(AD446)</f>
        <v>0</v>
      </c>
      <c r="AL446" s="15" t="n">
        <f aca="false">AB446*N(AE446)</f>
        <v>0</v>
      </c>
      <c r="AM446" s="15" t="n">
        <f aca="false">AB446*N(AF446)</f>
        <v>0</v>
      </c>
      <c r="AN446" s="15" t="n">
        <f aca="false">AB446*N(R446)</f>
        <v>0</v>
      </c>
      <c r="AO446" s="21" t="str">
        <f aca="false">IF(F446&lt;&gt;"Y","n/a",IF(AND(N446&lt;&gt;"",OR(Q446&lt;&gt;"",G446="Other / bench",G446="None"),U446&lt;&gt;""),"OK","Missing"))</f>
        <v>Missing</v>
      </c>
    </row>
    <row r="447" customFormat="false" ht="15" hidden="false" customHeight="false" outlineLevel="0" collapsed="false">
      <c r="A447" s="10" t="s">
        <v>458</v>
      </c>
      <c r="B447" s="10" t="s">
        <v>740</v>
      </c>
      <c r="C447" s="10" t="s">
        <v>437</v>
      </c>
      <c r="D447" s="10" t="s">
        <v>742</v>
      </c>
      <c r="E447" s="21" t="str">
        <f aca="false">IF(A447="","",A447&amp;"|"&amp;D447)</f>
        <v>Dextromethorphan HBr|Other compendial tests (ID, LOD/KF, heavy metals...)</v>
      </c>
      <c r="F447" s="16" t="s">
        <v>662</v>
      </c>
      <c r="G447" s="16" t="s">
        <v>670</v>
      </c>
      <c r="H447" s="16" t="s">
        <v>672</v>
      </c>
      <c r="I447" s="16" t="n">
        <v>1</v>
      </c>
      <c r="J447" s="16"/>
      <c r="K447" s="14"/>
      <c r="L447" s="14"/>
      <c r="M447" s="14"/>
      <c r="N447" s="14"/>
      <c r="O447" s="14"/>
      <c r="P447" s="18" t="n">
        <f aca="false">IF(N447="",0,IF(OR(M447="",O447=""),N447,(M447+4*N447+O447)/6))</f>
        <v>0</v>
      </c>
      <c r="Q447" s="14"/>
      <c r="R447" s="14"/>
      <c r="S447" s="14"/>
      <c r="T447" s="14"/>
      <c r="U447" s="16"/>
      <c r="V447" s="13"/>
      <c r="W447" s="16" t="s">
        <v>667</v>
      </c>
      <c r="X447" s="16"/>
      <c r="Y447" s="16"/>
      <c r="Z447" s="16"/>
      <c r="AA447" s="22" t="n">
        <f aca="false">IF(F447&lt;&gt;"Y",0,((SUMIF(Products!$E$5:$E$300,A447,Products!$F$5:$F$300)+SUMIF(RM_Lots!$A$5:$A$400,A447,RM_Lots!$D$5:$D$400))+IF(W447="Y",SUMIF(Products!$E$5:$E$300,A447,Products!$G$5:$G$300),0))*(1+N(V447)))</f>
        <v>0</v>
      </c>
      <c r="AB447" s="22" t="n">
        <f aca="false">IF(F447&lt;&gt;"Y",0,((SUMIF(Products!$E$5:$E$300,A447,Products!$K$5:$K$300)+SUMIF(RM_Lots!$A$5:$A$400,A447,RM_Lots!$F$5:$F$400))+IF(W447="Y",SUMIF(Products!$E$5:$E$300,A447,Products!$L$5:$L$300),0))*(1+N(V447)))</f>
        <v>0</v>
      </c>
      <c r="AC447" s="17" t="n">
        <f aca="false">IF(J447="",1,MAX(1,COUNTIFS($J$5:$J$863,J447,$F$5:$F$863,"Y")))</f>
        <v>1</v>
      </c>
      <c r="AD447" s="18" t="n">
        <f aca="false">(MAX(1,N(I447))*(P447+N(S447))+MAX(1,N(I447))*N(K447)/(MAX(1,N(U447))*AC447))*Settings!$B$9</f>
        <v>0</v>
      </c>
      <c r="AE447" s="18" t="n">
        <f aca="false">(MAX(1,N(I447))*N(Q447)+MAX(1,N(I447))*N(L447)/(MAX(1,N(U447))*AC447))*Settings!$B$8</f>
        <v>0</v>
      </c>
      <c r="AF447" s="18" t="n">
        <f aca="false">MAX(1,N(I447))*N(T447)</f>
        <v>0</v>
      </c>
      <c r="AG447" s="15" t="n">
        <f aca="false">AA447*N(AD447)</f>
        <v>0</v>
      </c>
      <c r="AH447" s="15" t="n">
        <f aca="false">AA447*N(AE447)</f>
        <v>0</v>
      </c>
      <c r="AI447" s="15" t="n">
        <f aca="false">AA447*N(AF447)</f>
        <v>0</v>
      </c>
      <c r="AJ447" s="15" t="n">
        <f aca="false">AA447*N(R447)</f>
        <v>0</v>
      </c>
      <c r="AK447" s="15" t="n">
        <f aca="false">AB447*N(AD447)</f>
        <v>0</v>
      </c>
      <c r="AL447" s="15" t="n">
        <f aca="false">AB447*N(AE447)</f>
        <v>0</v>
      </c>
      <c r="AM447" s="15" t="n">
        <f aca="false">AB447*N(AF447)</f>
        <v>0</v>
      </c>
      <c r="AN447" s="15" t="n">
        <f aca="false">AB447*N(R447)</f>
        <v>0</v>
      </c>
      <c r="AO447" s="21" t="str">
        <f aca="false">IF(F447&lt;&gt;"Y","n/a",IF(AND(N447&lt;&gt;"",OR(Q447&lt;&gt;"",G447="Other / bench",G447="None"),U447&lt;&gt;""),"OK","Missing"))</f>
        <v>Missing</v>
      </c>
    </row>
    <row r="448" customFormat="false" ht="15" hidden="false" customHeight="false" outlineLevel="0" collapsed="false">
      <c r="A448" s="10" t="s">
        <v>459</v>
      </c>
      <c r="B448" s="10" t="s">
        <v>740</v>
      </c>
      <c r="C448" s="10" t="s">
        <v>437</v>
      </c>
      <c r="D448" s="10" t="s">
        <v>741</v>
      </c>
      <c r="E448" s="21" t="str">
        <f aca="false">IF(A448="","",A448&amp;"|"&amp;D448)</f>
        <v>Diphenhydramine HCl|Assay + related substances</v>
      </c>
      <c r="F448" s="16" t="s">
        <v>662</v>
      </c>
      <c r="G448" s="16" t="s">
        <v>147</v>
      </c>
      <c r="H448" s="16" t="s">
        <v>663</v>
      </c>
      <c r="I448" s="16" t="n">
        <v>1</v>
      </c>
      <c r="J448" s="16"/>
      <c r="K448" s="14"/>
      <c r="L448" s="14"/>
      <c r="M448" s="14"/>
      <c r="N448" s="14"/>
      <c r="O448" s="14"/>
      <c r="P448" s="18" t="n">
        <f aca="false">IF(N448="",0,IF(OR(M448="",O448=""),N448,(M448+4*N448+O448)/6))</f>
        <v>0</v>
      </c>
      <c r="Q448" s="14"/>
      <c r="R448" s="14"/>
      <c r="S448" s="14"/>
      <c r="T448" s="14"/>
      <c r="U448" s="16"/>
      <c r="V448" s="13"/>
      <c r="W448" s="16" t="s">
        <v>667</v>
      </c>
      <c r="X448" s="16"/>
      <c r="Y448" s="16"/>
      <c r="Z448" s="16"/>
      <c r="AA448" s="22" t="n">
        <f aca="false">IF(F448&lt;&gt;"Y",0,((SUMIF(Products!$E$5:$E$300,A448,Products!$F$5:$F$300)+SUMIF(RM_Lots!$A$5:$A$400,A448,RM_Lots!$D$5:$D$400))+IF(W448="Y",SUMIF(Products!$E$5:$E$300,A448,Products!$G$5:$G$300),0))*(1+N(V448)))</f>
        <v>0</v>
      </c>
      <c r="AB448" s="22" t="n">
        <f aca="false">IF(F448&lt;&gt;"Y",0,((SUMIF(Products!$E$5:$E$300,A448,Products!$K$5:$K$300)+SUMIF(RM_Lots!$A$5:$A$400,A448,RM_Lots!$F$5:$F$400))+IF(W448="Y",SUMIF(Products!$E$5:$E$300,A448,Products!$L$5:$L$300),0))*(1+N(V448)))</f>
        <v>0</v>
      </c>
      <c r="AC448" s="17" t="n">
        <f aca="false">IF(J448="",1,MAX(1,COUNTIFS($J$5:$J$863,J448,$F$5:$F$863,"Y")))</f>
        <v>1</v>
      </c>
      <c r="AD448" s="18" t="n">
        <f aca="false">(MAX(1,N(I448))*(P448+N(S448))+MAX(1,N(I448))*N(K448)/(MAX(1,N(U448))*AC448))*Settings!$B$9</f>
        <v>0</v>
      </c>
      <c r="AE448" s="18" t="n">
        <f aca="false">(MAX(1,N(I448))*N(Q448)+MAX(1,N(I448))*N(L448)/(MAX(1,N(U448))*AC448))*Settings!$B$8</f>
        <v>0</v>
      </c>
      <c r="AF448" s="18" t="n">
        <f aca="false">MAX(1,N(I448))*N(T448)</f>
        <v>0</v>
      </c>
      <c r="AG448" s="15" t="n">
        <f aca="false">AA448*N(AD448)</f>
        <v>0</v>
      </c>
      <c r="AH448" s="15" t="n">
        <f aca="false">AA448*N(AE448)</f>
        <v>0</v>
      </c>
      <c r="AI448" s="15" t="n">
        <f aca="false">AA448*N(AF448)</f>
        <v>0</v>
      </c>
      <c r="AJ448" s="15" t="n">
        <f aca="false">AA448*N(R448)</f>
        <v>0</v>
      </c>
      <c r="AK448" s="15" t="n">
        <f aca="false">AB448*N(AD448)</f>
        <v>0</v>
      </c>
      <c r="AL448" s="15" t="n">
        <f aca="false">AB448*N(AE448)</f>
        <v>0</v>
      </c>
      <c r="AM448" s="15" t="n">
        <f aca="false">AB448*N(AF448)</f>
        <v>0</v>
      </c>
      <c r="AN448" s="15" t="n">
        <f aca="false">AB448*N(R448)</f>
        <v>0</v>
      </c>
      <c r="AO448" s="21" t="str">
        <f aca="false">IF(F448&lt;&gt;"Y","n/a",IF(AND(N448&lt;&gt;"",OR(Q448&lt;&gt;"",G448="Other / bench",G448="None"),U448&lt;&gt;""),"OK","Missing"))</f>
        <v>Missing</v>
      </c>
    </row>
    <row r="449" customFormat="false" ht="15" hidden="false" customHeight="false" outlineLevel="0" collapsed="false">
      <c r="A449" s="10" t="s">
        <v>459</v>
      </c>
      <c r="B449" s="10" t="s">
        <v>740</v>
      </c>
      <c r="C449" s="10" t="s">
        <v>437</v>
      </c>
      <c r="D449" s="10" t="s">
        <v>742</v>
      </c>
      <c r="E449" s="21" t="str">
        <f aca="false">IF(A449="","",A449&amp;"|"&amp;D449)</f>
        <v>Diphenhydramine HCl|Other compendial tests (ID, LOD/KF, heavy metals...)</v>
      </c>
      <c r="F449" s="16" t="s">
        <v>662</v>
      </c>
      <c r="G449" s="16" t="s">
        <v>670</v>
      </c>
      <c r="H449" s="16" t="s">
        <v>672</v>
      </c>
      <c r="I449" s="16" t="n">
        <v>1</v>
      </c>
      <c r="J449" s="16"/>
      <c r="K449" s="14"/>
      <c r="L449" s="14"/>
      <c r="M449" s="14"/>
      <c r="N449" s="14"/>
      <c r="O449" s="14"/>
      <c r="P449" s="18" t="n">
        <f aca="false">IF(N449="",0,IF(OR(M449="",O449=""),N449,(M449+4*N449+O449)/6))</f>
        <v>0</v>
      </c>
      <c r="Q449" s="14"/>
      <c r="R449" s="14"/>
      <c r="S449" s="14"/>
      <c r="T449" s="14"/>
      <c r="U449" s="16"/>
      <c r="V449" s="13"/>
      <c r="W449" s="16" t="s">
        <v>667</v>
      </c>
      <c r="X449" s="16"/>
      <c r="Y449" s="16"/>
      <c r="Z449" s="16"/>
      <c r="AA449" s="22" t="n">
        <f aca="false">IF(F449&lt;&gt;"Y",0,((SUMIF(Products!$E$5:$E$300,A449,Products!$F$5:$F$300)+SUMIF(RM_Lots!$A$5:$A$400,A449,RM_Lots!$D$5:$D$400))+IF(W449="Y",SUMIF(Products!$E$5:$E$300,A449,Products!$G$5:$G$300),0))*(1+N(V449)))</f>
        <v>0</v>
      </c>
      <c r="AB449" s="22" t="n">
        <f aca="false">IF(F449&lt;&gt;"Y",0,((SUMIF(Products!$E$5:$E$300,A449,Products!$K$5:$K$300)+SUMIF(RM_Lots!$A$5:$A$400,A449,RM_Lots!$F$5:$F$400))+IF(W449="Y",SUMIF(Products!$E$5:$E$300,A449,Products!$L$5:$L$300),0))*(1+N(V449)))</f>
        <v>0</v>
      </c>
      <c r="AC449" s="17" t="n">
        <f aca="false">IF(J449="",1,MAX(1,COUNTIFS($J$5:$J$863,J449,$F$5:$F$863,"Y")))</f>
        <v>1</v>
      </c>
      <c r="AD449" s="18" t="n">
        <f aca="false">(MAX(1,N(I449))*(P449+N(S449))+MAX(1,N(I449))*N(K449)/(MAX(1,N(U449))*AC449))*Settings!$B$9</f>
        <v>0</v>
      </c>
      <c r="AE449" s="18" t="n">
        <f aca="false">(MAX(1,N(I449))*N(Q449)+MAX(1,N(I449))*N(L449)/(MAX(1,N(U449))*AC449))*Settings!$B$8</f>
        <v>0</v>
      </c>
      <c r="AF449" s="18" t="n">
        <f aca="false">MAX(1,N(I449))*N(T449)</f>
        <v>0</v>
      </c>
      <c r="AG449" s="15" t="n">
        <f aca="false">AA449*N(AD449)</f>
        <v>0</v>
      </c>
      <c r="AH449" s="15" t="n">
        <f aca="false">AA449*N(AE449)</f>
        <v>0</v>
      </c>
      <c r="AI449" s="15" t="n">
        <f aca="false">AA449*N(AF449)</f>
        <v>0</v>
      </c>
      <c r="AJ449" s="15" t="n">
        <f aca="false">AA449*N(R449)</f>
        <v>0</v>
      </c>
      <c r="AK449" s="15" t="n">
        <f aca="false">AB449*N(AD449)</f>
        <v>0</v>
      </c>
      <c r="AL449" s="15" t="n">
        <f aca="false">AB449*N(AE449)</f>
        <v>0</v>
      </c>
      <c r="AM449" s="15" t="n">
        <f aca="false">AB449*N(AF449)</f>
        <v>0</v>
      </c>
      <c r="AN449" s="15" t="n">
        <f aca="false">AB449*N(R449)</f>
        <v>0</v>
      </c>
      <c r="AO449" s="21" t="str">
        <f aca="false">IF(F449&lt;&gt;"Y","n/a",IF(AND(N449&lt;&gt;"",OR(Q449&lt;&gt;"",G449="Other / bench",G449="None"),U449&lt;&gt;""),"OK","Missing"))</f>
        <v>Missing</v>
      </c>
    </row>
    <row r="450" customFormat="false" ht="15" hidden="false" customHeight="false" outlineLevel="0" collapsed="false">
      <c r="A450" s="10" t="s">
        <v>460</v>
      </c>
      <c r="B450" s="10" t="s">
        <v>740</v>
      </c>
      <c r="C450" s="10" t="s">
        <v>437</v>
      </c>
      <c r="D450" s="10" t="s">
        <v>741</v>
      </c>
      <c r="E450" s="21" t="str">
        <f aca="false">IF(A450="","",A450&amp;"|"&amp;D450)</f>
        <v>dl-Alpha Tocopheryl Acetate 50% (Vitamin E)|Assay + related substances</v>
      </c>
      <c r="F450" s="16" t="s">
        <v>662</v>
      </c>
      <c r="G450" s="16" t="s">
        <v>147</v>
      </c>
      <c r="H450" s="16" t="s">
        <v>663</v>
      </c>
      <c r="I450" s="16" t="n">
        <v>1</v>
      </c>
      <c r="J450" s="16"/>
      <c r="K450" s="14"/>
      <c r="L450" s="14"/>
      <c r="M450" s="14"/>
      <c r="N450" s="14"/>
      <c r="O450" s="14"/>
      <c r="P450" s="18" t="n">
        <f aca="false">IF(N450="",0,IF(OR(M450="",O450=""),N450,(M450+4*N450+O450)/6))</f>
        <v>0</v>
      </c>
      <c r="Q450" s="14"/>
      <c r="R450" s="14"/>
      <c r="S450" s="14"/>
      <c r="T450" s="14"/>
      <c r="U450" s="16"/>
      <c r="V450" s="13"/>
      <c r="W450" s="16" t="s">
        <v>667</v>
      </c>
      <c r="X450" s="16"/>
      <c r="Y450" s="16"/>
      <c r="Z450" s="16"/>
      <c r="AA450" s="22" t="n">
        <f aca="false">IF(F450&lt;&gt;"Y",0,((SUMIF(Products!$E$5:$E$300,A450,Products!$F$5:$F$300)+SUMIF(RM_Lots!$A$5:$A$400,A450,RM_Lots!$D$5:$D$400))+IF(W450="Y",SUMIF(Products!$E$5:$E$300,A450,Products!$G$5:$G$300),0))*(1+N(V450)))</f>
        <v>0</v>
      </c>
      <c r="AB450" s="22" t="n">
        <f aca="false">IF(F450&lt;&gt;"Y",0,((SUMIF(Products!$E$5:$E$300,A450,Products!$K$5:$K$300)+SUMIF(RM_Lots!$A$5:$A$400,A450,RM_Lots!$F$5:$F$400))+IF(W450="Y",SUMIF(Products!$E$5:$E$300,A450,Products!$L$5:$L$300),0))*(1+N(V450)))</f>
        <v>0</v>
      </c>
      <c r="AC450" s="17" t="n">
        <f aca="false">IF(J450="",1,MAX(1,COUNTIFS($J$5:$J$863,J450,$F$5:$F$863,"Y")))</f>
        <v>1</v>
      </c>
      <c r="AD450" s="18" t="n">
        <f aca="false">(MAX(1,N(I450))*(P450+N(S450))+MAX(1,N(I450))*N(K450)/(MAX(1,N(U450))*AC450))*Settings!$B$9</f>
        <v>0</v>
      </c>
      <c r="AE450" s="18" t="n">
        <f aca="false">(MAX(1,N(I450))*N(Q450)+MAX(1,N(I450))*N(L450)/(MAX(1,N(U450))*AC450))*Settings!$B$8</f>
        <v>0</v>
      </c>
      <c r="AF450" s="18" t="n">
        <f aca="false">MAX(1,N(I450))*N(T450)</f>
        <v>0</v>
      </c>
      <c r="AG450" s="15" t="n">
        <f aca="false">AA450*N(AD450)</f>
        <v>0</v>
      </c>
      <c r="AH450" s="15" t="n">
        <f aca="false">AA450*N(AE450)</f>
        <v>0</v>
      </c>
      <c r="AI450" s="15" t="n">
        <f aca="false">AA450*N(AF450)</f>
        <v>0</v>
      </c>
      <c r="AJ450" s="15" t="n">
        <f aca="false">AA450*N(R450)</f>
        <v>0</v>
      </c>
      <c r="AK450" s="15" t="n">
        <f aca="false">AB450*N(AD450)</f>
        <v>0</v>
      </c>
      <c r="AL450" s="15" t="n">
        <f aca="false">AB450*N(AE450)</f>
        <v>0</v>
      </c>
      <c r="AM450" s="15" t="n">
        <f aca="false">AB450*N(AF450)</f>
        <v>0</v>
      </c>
      <c r="AN450" s="15" t="n">
        <f aca="false">AB450*N(R450)</f>
        <v>0</v>
      </c>
      <c r="AO450" s="21" t="str">
        <f aca="false">IF(F450&lt;&gt;"Y","n/a",IF(AND(N450&lt;&gt;"",OR(Q450&lt;&gt;"",G450="Other / bench",G450="None"),U450&lt;&gt;""),"OK","Missing"))</f>
        <v>Missing</v>
      </c>
    </row>
    <row r="451" customFormat="false" ht="15" hidden="false" customHeight="false" outlineLevel="0" collapsed="false">
      <c r="A451" s="10" t="s">
        <v>460</v>
      </c>
      <c r="B451" s="10" t="s">
        <v>740</v>
      </c>
      <c r="C451" s="10" t="s">
        <v>437</v>
      </c>
      <c r="D451" s="10" t="s">
        <v>742</v>
      </c>
      <c r="E451" s="21" t="str">
        <f aca="false">IF(A451="","",A451&amp;"|"&amp;D451)</f>
        <v>dl-Alpha Tocopheryl Acetate 50% (Vitamin E)|Other compendial tests (ID, LOD/KF, heavy metals...)</v>
      </c>
      <c r="F451" s="16" t="s">
        <v>662</v>
      </c>
      <c r="G451" s="16" t="s">
        <v>670</v>
      </c>
      <c r="H451" s="16" t="s">
        <v>672</v>
      </c>
      <c r="I451" s="16" t="n">
        <v>1</v>
      </c>
      <c r="J451" s="16"/>
      <c r="K451" s="14"/>
      <c r="L451" s="14"/>
      <c r="M451" s="14"/>
      <c r="N451" s="14"/>
      <c r="O451" s="14"/>
      <c r="P451" s="18" t="n">
        <f aca="false">IF(N451="",0,IF(OR(M451="",O451=""),N451,(M451+4*N451+O451)/6))</f>
        <v>0</v>
      </c>
      <c r="Q451" s="14"/>
      <c r="R451" s="14"/>
      <c r="S451" s="14"/>
      <c r="T451" s="14"/>
      <c r="U451" s="16"/>
      <c r="V451" s="13"/>
      <c r="W451" s="16" t="s">
        <v>667</v>
      </c>
      <c r="X451" s="16"/>
      <c r="Y451" s="16"/>
      <c r="Z451" s="16"/>
      <c r="AA451" s="22" t="n">
        <f aca="false">IF(F451&lt;&gt;"Y",0,((SUMIF(Products!$E$5:$E$300,A451,Products!$F$5:$F$300)+SUMIF(RM_Lots!$A$5:$A$400,A451,RM_Lots!$D$5:$D$400))+IF(W451="Y",SUMIF(Products!$E$5:$E$300,A451,Products!$G$5:$G$300),0))*(1+N(V451)))</f>
        <v>0</v>
      </c>
      <c r="AB451" s="22" t="n">
        <f aca="false">IF(F451&lt;&gt;"Y",0,((SUMIF(Products!$E$5:$E$300,A451,Products!$K$5:$K$300)+SUMIF(RM_Lots!$A$5:$A$400,A451,RM_Lots!$F$5:$F$400))+IF(W451="Y",SUMIF(Products!$E$5:$E$300,A451,Products!$L$5:$L$300),0))*(1+N(V451)))</f>
        <v>0</v>
      </c>
      <c r="AC451" s="17" t="n">
        <f aca="false">IF(J451="",1,MAX(1,COUNTIFS($J$5:$J$863,J451,$F$5:$F$863,"Y")))</f>
        <v>1</v>
      </c>
      <c r="AD451" s="18" t="n">
        <f aca="false">(MAX(1,N(I451))*(P451+N(S451))+MAX(1,N(I451))*N(K451)/(MAX(1,N(U451))*AC451))*Settings!$B$9</f>
        <v>0</v>
      </c>
      <c r="AE451" s="18" t="n">
        <f aca="false">(MAX(1,N(I451))*N(Q451)+MAX(1,N(I451))*N(L451)/(MAX(1,N(U451))*AC451))*Settings!$B$8</f>
        <v>0</v>
      </c>
      <c r="AF451" s="18" t="n">
        <f aca="false">MAX(1,N(I451))*N(T451)</f>
        <v>0</v>
      </c>
      <c r="AG451" s="15" t="n">
        <f aca="false">AA451*N(AD451)</f>
        <v>0</v>
      </c>
      <c r="AH451" s="15" t="n">
        <f aca="false">AA451*N(AE451)</f>
        <v>0</v>
      </c>
      <c r="AI451" s="15" t="n">
        <f aca="false">AA451*N(AF451)</f>
        <v>0</v>
      </c>
      <c r="AJ451" s="15" t="n">
        <f aca="false">AA451*N(R451)</f>
        <v>0</v>
      </c>
      <c r="AK451" s="15" t="n">
        <f aca="false">AB451*N(AD451)</f>
        <v>0</v>
      </c>
      <c r="AL451" s="15" t="n">
        <f aca="false">AB451*N(AE451)</f>
        <v>0</v>
      </c>
      <c r="AM451" s="15" t="n">
        <f aca="false">AB451*N(AF451)</f>
        <v>0</v>
      </c>
      <c r="AN451" s="15" t="n">
        <f aca="false">AB451*N(R451)</f>
        <v>0</v>
      </c>
      <c r="AO451" s="21" t="str">
        <f aca="false">IF(F451&lt;&gt;"Y","n/a",IF(AND(N451&lt;&gt;"",OR(Q451&lt;&gt;"",G451="Other / bench",G451="None"),U451&lt;&gt;""),"OK","Missing"))</f>
        <v>Missing</v>
      </c>
    </row>
    <row r="452" customFormat="false" ht="15" hidden="false" customHeight="false" outlineLevel="0" collapsed="false">
      <c r="A452" s="10" t="s">
        <v>461</v>
      </c>
      <c r="B452" s="10" t="s">
        <v>740</v>
      </c>
      <c r="C452" s="10" t="s">
        <v>437</v>
      </c>
      <c r="D452" s="10" t="s">
        <v>741</v>
      </c>
      <c r="E452" s="21" t="str">
        <f aca="false">IF(A452="","",A452&amp;"|"&amp;D452)</f>
        <v>Echinacea Purpurea Dry Extract|Assay + related substances</v>
      </c>
      <c r="F452" s="16" t="s">
        <v>662</v>
      </c>
      <c r="G452" s="16" t="s">
        <v>147</v>
      </c>
      <c r="H452" s="16" t="s">
        <v>663</v>
      </c>
      <c r="I452" s="16" t="n">
        <v>1</v>
      </c>
      <c r="J452" s="16"/>
      <c r="K452" s="14"/>
      <c r="L452" s="14"/>
      <c r="M452" s="14"/>
      <c r="N452" s="14"/>
      <c r="O452" s="14"/>
      <c r="P452" s="18" t="n">
        <f aca="false">IF(N452="",0,IF(OR(M452="",O452=""),N452,(M452+4*N452+O452)/6))</f>
        <v>0</v>
      </c>
      <c r="Q452" s="14"/>
      <c r="R452" s="14"/>
      <c r="S452" s="14"/>
      <c r="T452" s="14"/>
      <c r="U452" s="16"/>
      <c r="V452" s="13"/>
      <c r="W452" s="16" t="s">
        <v>667</v>
      </c>
      <c r="X452" s="16"/>
      <c r="Y452" s="16"/>
      <c r="Z452" s="16"/>
      <c r="AA452" s="22" t="n">
        <f aca="false">IF(F452&lt;&gt;"Y",0,((SUMIF(Products!$E$5:$E$300,A452,Products!$F$5:$F$300)+SUMIF(RM_Lots!$A$5:$A$400,A452,RM_Lots!$D$5:$D$400))+IF(W452="Y",SUMIF(Products!$E$5:$E$300,A452,Products!$G$5:$G$300),0))*(1+N(V452)))</f>
        <v>0</v>
      </c>
      <c r="AB452" s="22" t="n">
        <f aca="false">IF(F452&lt;&gt;"Y",0,((SUMIF(Products!$E$5:$E$300,A452,Products!$K$5:$K$300)+SUMIF(RM_Lots!$A$5:$A$400,A452,RM_Lots!$F$5:$F$400))+IF(W452="Y",SUMIF(Products!$E$5:$E$300,A452,Products!$L$5:$L$300),0))*(1+N(V452)))</f>
        <v>0</v>
      </c>
      <c r="AC452" s="17" t="n">
        <f aca="false">IF(J452="",1,MAX(1,COUNTIFS($J$5:$J$863,J452,$F$5:$F$863,"Y")))</f>
        <v>1</v>
      </c>
      <c r="AD452" s="18" t="n">
        <f aca="false">(MAX(1,N(I452))*(P452+N(S452))+MAX(1,N(I452))*N(K452)/(MAX(1,N(U452))*AC452))*Settings!$B$9</f>
        <v>0</v>
      </c>
      <c r="AE452" s="18" t="n">
        <f aca="false">(MAX(1,N(I452))*N(Q452)+MAX(1,N(I452))*N(L452)/(MAX(1,N(U452))*AC452))*Settings!$B$8</f>
        <v>0</v>
      </c>
      <c r="AF452" s="18" t="n">
        <f aca="false">MAX(1,N(I452))*N(T452)</f>
        <v>0</v>
      </c>
      <c r="AG452" s="15" t="n">
        <f aca="false">AA452*N(AD452)</f>
        <v>0</v>
      </c>
      <c r="AH452" s="15" t="n">
        <f aca="false">AA452*N(AE452)</f>
        <v>0</v>
      </c>
      <c r="AI452" s="15" t="n">
        <f aca="false">AA452*N(AF452)</f>
        <v>0</v>
      </c>
      <c r="AJ452" s="15" t="n">
        <f aca="false">AA452*N(R452)</f>
        <v>0</v>
      </c>
      <c r="AK452" s="15" t="n">
        <f aca="false">AB452*N(AD452)</f>
        <v>0</v>
      </c>
      <c r="AL452" s="15" t="n">
        <f aca="false">AB452*N(AE452)</f>
        <v>0</v>
      </c>
      <c r="AM452" s="15" t="n">
        <f aca="false">AB452*N(AF452)</f>
        <v>0</v>
      </c>
      <c r="AN452" s="15" t="n">
        <f aca="false">AB452*N(R452)</f>
        <v>0</v>
      </c>
      <c r="AO452" s="21" t="str">
        <f aca="false">IF(F452&lt;&gt;"Y","n/a",IF(AND(N452&lt;&gt;"",OR(Q452&lt;&gt;"",G452="Other / bench",G452="None"),U452&lt;&gt;""),"OK","Missing"))</f>
        <v>Missing</v>
      </c>
    </row>
    <row r="453" customFormat="false" ht="15" hidden="false" customHeight="false" outlineLevel="0" collapsed="false">
      <c r="A453" s="10" t="s">
        <v>461</v>
      </c>
      <c r="B453" s="10" t="s">
        <v>740</v>
      </c>
      <c r="C453" s="10" t="s">
        <v>437</v>
      </c>
      <c r="D453" s="10" t="s">
        <v>742</v>
      </c>
      <c r="E453" s="21" t="str">
        <f aca="false">IF(A453="","",A453&amp;"|"&amp;D453)</f>
        <v>Echinacea Purpurea Dry Extract|Other compendial tests (ID, LOD/KF, heavy metals...)</v>
      </c>
      <c r="F453" s="16" t="s">
        <v>662</v>
      </c>
      <c r="G453" s="16" t="s">
        <v>670</v>
      </c>
      <c r="H453" s="16" t="s">
        <v>672</v>
      </c>
      <c r="I453" s="16" t="n">
        <v>1</v>
      </c>
      <c r="J453" s="16"/>
      <c r="K453" s="14"/>
      <c r="L453" s="14"/>
      <c r="M453" s="14"/>
      <c r="N453" s="14"/>
      <c r="O453" s="14"/>
      <c r="P453" s="18" t="n">
        <f aca="false">IF(N453="",0,IF(OR(M453="",O453=""),N453,(M453+4*N453+O453)/6))</f>
        <v>0</v>
      </c>
      <c r="Q453" s="14"/>
      <c r="R453" s="14"/>
      <c r="S453" s="14"/>
      <c r="T453" s="14"/>
      <c r="U453" s="16"/>
      <c r="V453" s="13"/>
      <c r="W453" s="16" t="s">
        <v>667</v>
      </c>
      <c r="X453" s="16"/>
      <c r="Y453" s="16"/>
      <c r="Z453" s="16"/>
      <c r="AA453" s="22" t="n">
        <f aca="false">IF(F453&lt;&gt;"Y",0,((SUMIF(Products!$E$5:$E$300,A453,Products!$F$5:$F$300)+SUMIF(RM_Lots!$A$5:$A$400,A453,RM_Lots!$D$5:$D$400))+IF(W453="Y",SUMIF(Products!$E$5:$E$300,A453,Products!$G$5:$G$300),0))*(1+N(V453)))</f>
        <v>0</v>
      </c>
      <c r="AB453" s="22" t="n">
        <f aca="false">IF(F453&lt;&gt;"Y",0,((SUMIF(Products!$E$5:$E$300,A453,Products!$K$5:$K$300)+SUMIF(RM_Lots!$A$5:$A$400,A453,RM_Lots!$F$5:$F$400))+IF(W453="Y",SUMIF(Products!$E$5:$E$300,A453,Products!$L$5:$L$300),0))*(1+N(V453)))</f>
        <v>0</v>
      </c>
      <c r="AC453" s="17" t="n">
        <f aca="false">IF(J453="",1,MAX(1,COUNTIFS($J$5:$J$863,J453,$F$5:$F$863,"Y")))</f>
        <v>1</v>
      </c>
      <c r="AD453" s="18" t="n">
        <f aca="false">(MAX(1,N(I453))*(P453+N(S453))+MAX(1,N(I453))*N(K453)/(MAX(1,N(U453))*AC453))*Settings!$B$9</f>
        <v>0</v>
      </c>
      <c r="AE453" s="18" t="n">
        <f aca="false">(MAX(1,N(I453))*N(Q453)+MAX(1,N(I453))*N(L453)/(MAX(1,N(U453))*AC453))*Settings!$B$8</f>
        <v>0</v>
      </c>
      <c r="AF453" s="18" t="n">
        <f aca="false">MAX(1,N(I453))*N(T453)</f>
        <v>0</v>
      </c>
      <c r="AG453" s="15" t="n">
        <f aca="false">AA453*N(AD453)</f>
        <v>0</v>
      </c>
      <c r="AH453" s="15" t="n">
        <f aca="false">AA453*N(AE453)</f>
        <v>0</v>
      </c>
      <c r="AI453" s="15" t="n">
        <f aca="false">AA453*N(AF453)</f>
        <v>0</v>
      </c>
      <c r="AJ453" s="15" t="n">
        <f aca="false">AA453*N(R453)</f>
        <v>0</v>
      </c>
      <c r="AK453" s="15" t="n">
        <f aca="false">AB453*N(AD453)</f>
        <v>0</v>
      </c>
      <c r="AL453" s="15" t="n">
        <f aca="false">AB453*N(AE453)</f>
        <v>0</v>
      </c>
      <c r="AM453" s="15" t="n">
        <f aca="false">AB453*N(AF453)</f>
        <v>0</v>
      </c>
      <c r="AN453" s="15" t="n">
        <f aca="false">AB453*N(R453)</f>
        <v>0</v>
      </c>
      <c r="AO453" s="21" t="str">
        <f aca="false">IF(F453&lt;&gt;"Y","n/a",IF(AND(N453&lt;&gt;"",OR(Q453&lt;&gt;"",G453="Other / bench",G453="None"),U453&lt;&gt;""),"OK","Missing"))</f>
        <v>Missing</v>
      </c>
    </row>
    <row r="454" customFormat="false" ht="15" hidden="false" customHeight="false" outlineLevel="0" collapsed="false">
      <c r="A454" s="10" t="s">
        <v>287</v>
      </c>
      <c r="B454" s="10" t="s">
        <v>740</v>
      </c>
      <c r="C454" s="10" t="s">
        <v>437</v>
      </c>
      <c r="D454" s="10" t="s">
        <v>741</v>
      </c>
      <c r="E454" s="21" t="str">
        <f aca="false">IF(A454="","",A454&amp;"|"&amp;D454)</f>
        <v>Empagliflozin|Assay + related substances</v>
      </c>
      <c r="F454" s="16" t="s">
        <v>662</v>
      </c>
      <c r="G454" s="16" t="s">
        <v>147</v>
      </c>
      <c r="H454" s="16" t="s">
        <v>663</v>
      </c>
      <c r="I454" s="16" t="n">
        <v>1</v>
      </c>
      <c r="J454" s="16"/>
      <c r="K454" s="14"/>
      <c r="L454" s="14"/>
      <c r="M454" s="14"/>
      <c r="N454" s="14"/>
      <c r="O454" s="14"/>
      <c r="P454" s="18" t="n">
        <f aca="false">IF(N454="",0,IF(OR(M454="",O454=""),N454,(M454+4*N454+O454)/6))</f>
        <v>0</v>
      </c>
      <c r="Q454" s="14"/>
      <c r="R454" s="14"/>
      <c r="S454" s="14"/>
      <c r="T454" s="14"/>
      <c r="U454" s="16"/>
      <c r="V454" s="13"/>
      <c r="W454" s="16" t="s">
        <v>667</v>
      </c>
      <c r="X454" s="16"/>
      <c r="Y454" s="16"/>
      <c r="Z454" s="16"/>
      <c r="AA454" s="22" t="n">
        <f aca="false">IF(F454&lt;&gt;"Y",0,((SUMIF(Products!$E$5:$E$300,A454,Products!$F$5:$F$300)+SUMIF(RM_Lots!$A$5:$A$400,A454,RM_Lots!$D$5:$D$400))+IF(W454="Y",SUMIF(Products!$E$5:$E$300,A454,Products!$G$5:$G$300),0))*(1+N(V454)))</f>
        <v>0</v>
      </c>
      <c r="AB454" s="22" t="n">
        <f aca="false">IF(F454&lt;&gt;"Y",0,((SUMIF(Products!$E$5:$E$300,A454,Products!$K$5:$K$300)+SUMIF(RM_Lots!$A$5:$A$400,A454,RM_Lots!$F$5:$F$400))+IF(W454="Y",SUMIF(Products!$E$5:$E$300,A454,Products!$L$5:$L$300),0))*(1+N(V454)))</f>
        <v>0</v>
      </c>
      <c r="AC454" s="17" t="n">
        <f aca="false">IF(J454="",1,MAX(1,COUNTIFS($J$5:$J$863,J454,$F$5:$F$863,"Y")))</f>
        <v>1</v>
      </c>
      <c r="AD454" s="18" t="n">
        <f aca="false">(MAX(1,N(I454))*(P454+N(S454))+MAX(1,N(I454))*N(K454)/(MAX(1,N(U454))*AC454))*Settings!$B$9</f>
        <v>0</v>
      </c>
      <c r="AE454" s="18" t="n">
        <f aca="false">(MAX(1,N(I454))*N(Q454)+MAX(1,N(I454))*N(L454)/(MAX(1,N(U454))*AC454))*Settings!$B$8</f>
        <v>0</v>
      </c>
      <c r="AF454" s="18" t="n">
        <f aca="false">MAX(1,N(I454))*N(T454)</f>
        <v>0</v>
      </c>
      <c r="AG454" s="15" t="n">
        <f aca="false">AA454*N(AD454)</f>
        <v>0</v>
      </c>
      <c r="AH454" s="15" t="n">
        <f aca="false">AA454*N(AE454)</f>
        <v>0</v>
      </c>
      <c r="AI454" s="15" t="n">
        <f aca="false">AA454*N(AF454)</f>
        <v>0</v>
      </c>
      <c r="AJ454" s="15" t="n">
        <f aca="false">AA454*N(R454)</f>
        <v>0</v>
      </c>
      <c r="AK454" s="15" t="n">
        <f aca="false">AB454*N(AD454)</f>
        <v>0</v>
      </c>
      <c r="AL454" s="15" t="n">
        <f aca="false">AB454*N(AE454)</f>
        <v>0</v>
      </c>
      <c r="AM454" s="15" t="n">
        <f aca="false">AB454*N(AF454)</f>
        <v>0</v>
      </c>
      <c r="AN454" s="15" t="n">
        <f aca="false">AB454*N(R454)</f>
        <v>0</v>
      </c>
      <c r="AO454" s="21" t="str">
        <f aca="false">IF(F454&lt;&gt;"Y","n/a",IF(AND(N454&lt;&gt;"",OR(Q454&lt;&gt;"",G454="Other / bench",G454="None"),U454&lt;&gt;""),"OK","Missing"))</f>
        <v>Missing</v>
      </c>
    </row>
    <row r="455" customFormat="false" ht="15" hidden="false" customHeight="false" outlineLevel="0" collapsed="false">
      <c r="A455" s="10" t="s">
        <v>287</v>
      </c>
      <c r="B455" s="10" t="s">
        <v>740</v>
      </c>
      <c r="C455" s="10" t="s">
        <v>437</v>
      </c>
      <c r="D455" s="10" t="s">
        <v>742</v>
      </c>
      <c r="E455" s="21" t="str">
        <f aca="false">IF(A455="","",A455&amp;"|"&amp;D455)</f>
        <v>Empagliflozin|Other compendial tests (ID, LOD/KF, heavy metals...)</v>
      </c>
      <c r="F455" s="16" t="s">
        <v>662</v>
      </c>
      <c r="G455" s="16" t="s">
        <v>670</v>
      </c>
      <c r="H455" s="16" t="s">
        <v>672</v>
      </c>
      <c r="I455" s="16" t="n">
        <v>1</v>
      </c>
      <c r="J455" s="16"/>
      <c r="K455" s="14"/>
      <c r="L455" s="14"/>
      <c r="M455" s="14"/>
      <c r="N455" s="14"/>
      <c r="O455" s="14"/>
      <c r="P455" s="18" t="n">
        <f aca="false">IF(N455="",0,IF(OR(M455="",O455=""),N455,(M455+4*N455+O455)/6))</f>
        <v>0</v>
      </c>
      <c r="Q455" s="14"/>
      <c r="R455" s="14"/>
      <c r="S455" s="14"/>
      <c r="T455" s="14"/>
      <c r="U455" s="16"/>
      <c r="V455" s="13"/>
      <c r="W455" s="16" t="s">
        <v>667</v>
      </c>
      <c r="X455" s="16"/>
      <c r="Y455" s="16"/>
      <c r="Z455" s="16"/>
      <c r="AA455" s="22" t="n">
        <f aca="false">IF(F455&lt;&gt;"Y",0,((SUMIF(Products!$E$5:$E$300,A455,Products!$F$5:$F$300)+SUMIF(RM_Lots!$A$5:$A$400,A455,RM_Lots!$D$5:$D$400))+IF(W455="Y",SUMIF(Products!$E$5:$E$300,A455,Products!$G$5:$G$300),0))*(1+N(V455)))</f>
        <v>0</v>
      </c>
      <c r="AB455" s="22" t="n">
        <f aca="false">IF(F455&lt;&gt;"Y",0,((SUMIF(Products!$E$5:$E$300,A455,Products!$K$5:$K$300)+SUMIF(RM_Lots!$A$5:$A$400,A455,RM_Lots!$F$5:$F$400))+IF(W455="Y",SUMIF(Products!$E$5:$E$300,A455,Products!$L$5:$L$300),0))*(1+N(V455)))</f>
        <v>0</v>
      </c>
      <c r="AC455" s="17" t="n">
        <f aca="false">IF(J455="",1,MAX(1,COUNTIFS($J$5:$J$863,J455,$F$5:$F$863,"Y")))</f>
        <v>1</v>
      </c>
      <c r="AD455" s="18" t="n">
        <f aca="false">(MAX(1,N(I455))*(P455+N(S455))+MAX(1,N(I455))*N(K455)/(MAX(1,N(U455))*AC455))*Settings!$B$9</f>
        <v>0</v>
      </c>
      <c r="AE455" s="18" t="n">
        <f aca="false">(MAX(1,N(I455))*N(Q455)+MAX(1,N(I455))*N(L455)/(MAX(1,N(U455))*AC455))*Settings!$B$8</f>
        <v>0</v>
      </c>
      <c r="AF455" s="18" t="n">
        <f aca="false">MAX(1,N(I455))*N(T455)</f>
        <v>0</v>
      </c>
      <c r="AG455" s="15" t="n">
        <f aca="false">AA455*N(AD455)</f>
        <v>0</v>
      </c>
      <c r="AH455" s="15" t="n">
        <f aca="false">AA455*N(AE455)</f>
        <v>0</v>
      </c>
      <c r="AI455" s="15" t="n">
        <f aca="false">AA455*N(AF455)</f>
        <v>0</v>
      </c>
      <c r="AJ455" s="15" t="n">
        <f aca="false">AA455*N(R455)</f>
        <v>0</v>
      </c>
      <c r="AK455" s="15" t="n">
        <f aca="false">AB455*N(AD455)</f>
        <v>0</v>
      </c>
      <c r="AL455" s="15" t="n">
        <f aca="false">AB455*N(AE455)</f>
        <v>0</v>
      </c>
      <c r="AM455" s="15" t="n">
        <f aca="false">AB455*N(AF455)</f>
        <v>0</v>
      </c>
      <c r="AN455" s="15" t="n">
        <f aca="false">AB455*N(R455)</f>
        <v>0</v>
      </c>
      <c r="AO455" s="21" t="str">
        <f aca="false">IF(F455&lt;&gt;"Y","n/a",IF(AND(N455&lt;&gt;"",OR(Q455&lt;&gt;"",G455="Other / bench",G455="None"),U455&lt;&gt;""),"OK","Missing"))</f>
        <v>Missing</v>
      </c>
    </row>
    <row r="456" customFormat="false" ht="15" hidden="false" customHeight="false" outlineLevel="0" collapsed="false">
      <c r="A456" s="10" t="s">
        <v>462</v>
      </c>
      <c r="B456" s="10" t="s">
        <v>740</v>
      </c>
      <c r="C456" s="10" t="s">
        <v>437</v>
      </c>
      <c r="D456" s="10" t="s">
        <v>741</v>
      </c>
      <c r="E456" s="21" t="str">
        <f aca="false">IF(A456="","",A456&amp;"|"&amp;D456)</f>
        <v>Epimedium Grandiflorum (Horny Goat Weed) Dry Extract 20:1|Assay + related substances</v>
      </c>
      <c r="F456" s="16" t="s">
        <v>662</v>
      </c>
      <c r="G456" s="16" t="s">
        <v>147</v>
      </c>
      <c r="H456" s="16" t="s">
        <v>663</v>
      </c>
      <c r="I456" s="16" t="n">
        <v>1</v>
      </c>
      <c r="J456" s="16"/>
      <c r="K456" s="14"/>
      <c r="L456" s="14"/>
      <c r="M456" s="14"/>
      <c r="N456" s="14"/>
      <c r="O456" s="14"/>
      <c r="P456" s="18" t="n">
        <f aca="false">IF(N456="",0,IF(OR(M456="",O456=""),N456,(M456+4*N456+O456)/6))</f>
        <v>0</v>
      </c>
      <c r="Q456" s="14"/>
      <c r="R456" s="14"/>
      <c r="S456" s="14"/>
      <c r="T456" s="14"/>
      <c r="U456" s="16"/>
      <c r="V456" s="13"/>
      <c r="W456" s="16" t="s">
        <v>667</v>
      </c>
      <c r="X456" s="16"/>
      <c r="Y456" s="16"/>
      <c r="Z456" s="16"/>
      <c r="AA456" s="22" t="n">
        <f aca="false">IF(F456&lt;&gt;"Y",0,((SUMIF(Products!$E$5:$E$300,A456,Products!$F$5:$F$300)+SUMIF(RM_Lots!$A$5:$A$400,A456,RM_Lots!$D$5:$D$400))+IF(W456="Y",SUMIF(Products!$E$5:$E$300,A456,Products!$G$5:$G$300),0))*(1+N(V456)))</f>
        <v>0</v>
      </c>
      <c r="AB456" s="22" t="n">
        <f aca="false">IF(F456&lt;&gt;"Y",0,((SUMIF(Products!$E$5:$E$300,A456,Products!$K$5:$K$300)+SUMIF(RM_Lots!$A$5:$A$400,A456,RM_Lots!$F$5:$F$400))+IF(W456="Y",SUMIF(Products!$E$5:$E$300,A456,Products!$L$5:$L$300),0))*(1+N(V456)))</f>
        <v>0</v>
      </c>
      <c r="AC456" s="17" t="n">
        <f aca="false">IF(J456="",1,MAX(1,COUNTIFS($J$5:$J$863,J456,$F$5:$F$863,"Y")))</f>
        <v>1</v>
      </c>
      <c r="AD456" s="18" t="n">
        <f aca="false">(MAX(1,N(I456))*(P456+N(S456))+MAX(1,N(I456))*N(K456)/(MAX(1,N(U456))*AC456))*Settings!$B$9</f>
        <v>0</v>
      </c>
      <c r="AE456" s="18" t="n">
        <f aca="false">(MAX(1,N(I456))*N(Q456)+MAX(1,N(I456))*N(L456)/(MAX(1,N(U456))*AC456))*Settings!$B$8</f>
        <v>0</v>
      </c>
      <c r="AF456" s="18" t="n">
        <f aca="false">MAX(1,N(I456))*N(T456)</f>
        <v>0</v>
      </c>
      <c r="AG456" s="15" t="n">
        <f aca="false">AA456*N(AD456)</f>
        <v>0</v>
      </c>
      <c r="AH456" s="15" t="n">
        <f aca="false">AA456*N(AE456)</f>
        <v>0</v>
      </c>
      <c r="AI456" s="15" t="n">
        <f aca="false">AA456*N(AF456)</f>
        <v>0</v>
      </c>
      <c r="AJ456" s="15" t="n">
        <f aca="false">AA456*N(R456)</f>
        <v>0</v>
      </c>
      <c r="AK456" s="15" t="n">
        <f aca="false">AB456*N(AD456)</f>
        <v>0</v>
      </c>
      <c r="AL456" s="15" t="n">
        <f aca="false">AB456*N(AE456)</f>
        <v>0</v>
      </c>
      <c r="AM456" s="15" t="n">
        <f aca="false">AB456*N(AF456)</f>
        <v>0</v>
      </c>
      <c r="AN456" s="15" t="n">
        <f aca="false">AB456*N(R456)</f>
        <v>0</v>
      </c>
      <c r="AO456" s="21" t="str">
        <f aca="false">IF(F456&lt;&gt;"Y","n/a",IF(AND(N456&lt;&gt;"",OR(Q456&lt;&gt;"",G456="Other / bench",G456="None"),U456&lt;&gt;""),"OK","Missing"))</f>
        <v>Missing</v>
      </c>
    </row>
    <row r="457" customFormat="false" ht="15" hidden="false" customHeight="false" outlineLevel="0" collapsed="false">
      <c r="A457" s="10" t="s">
        <v>462</v>
      </c>
      <c r="B457" s="10" t="s">
        <v>740</v>
      </c>
      <c r="C457" s="10" t="s">
        <v>437</v>
      </c>
      <c r="D457" s="10" t="s">
        <v>742</v>
      </c>
      <c r="E457" s="21" t="str">
        <f aca="false">IF(A457="","",A457&amp;"|"&amp;D457)</f>
        <v>Epimedium Grandiflorum (Horny Goat Weed) Dry Extract 20:1|Other compendial tests (ID, LOD/KF, heavy metals...)</v>
      </c>
      <c r="F457" s="16" t="s">
        <v>662</v>
      </c>
      <c r="G457" s="16" t="s">
        <v>670</v>
      </c>
      <c r="H457" s="16" t="s">
        <v>672</v>
      </c>
      <c r="I457" s="16" t="n">
        <v>1</v>
      </c>
      <c r="J457" s="16"/>
      <c r="K457" s="14"/>
      <c r="L457" s="14"/>
      <c r="M457" s="14"/>
      <c r="N457" s="14"/>
      <c r="O457" s="14"/>
      <c r="P457" s="18" t="n">
        <f aca="false">IF(N457="",0,IF(OR(M457="",O457=""),N457,(M457+4*N457+O457)/6))</f>
        <v>0</v>
      </c>
      <c r="Q457" s="14"/>
      <c r="R457" s="14"/>
      <c r="S457" s="14"/>
      <c r="T457" s="14"/>
      <c r="U457" s="16"/>
      <c r="V457" s="13"/>
      <c r="W457" s="16" t="s">
        <v>667</v>
      </c>
      <c r="X457" s="16"/>
      <c r="Y457" s="16"/>
      <c r="Z457" s="16"/>
      <c r="AA457" s="22" t="n">
        <f aca="false">IF(F457&lt;&gt;"Y",0,((SUMIF(Products!$E$5:$E$300,A457,Products!$F$5:$F$300)+SUMIF(RM_Lots!$A$5:$A$400,A457,RM_Lots!$D$5:$D$400))+IF(W457="Y",SUMIF(Products!$E$5:$E$300,A457,Products!$G$5:$G$300),0))*(1+N(V457)))</f>
        <v>0</v>
      </c>
      <c r="AB457" s="22" t="n">
        <f aca="false">IF(F457&lt;&gt;"Y",0,((SUMIF(Products!$E$5:$E$300,A457,Products!$K$5:$K$300)+SUMIF(RM_Lots!$A$5:$A$400,A457,RM_Lots!$F$5:$F$400))+IF(W457="Y",SUMIF(Products!$E$5:$E$300,A457,Products!$L$5:$L$300),0))*(1+N(V457)))</f>
        <v>0</v>
      </c>
      <c r="AC457" s="17" t="n">
        <f aca="false">IF(J457="",1,MAX(1,COUNTIFS($J$5:$J$863,J457,$F$5:$F$863,"Y")))</f>
        <v>1</v>
      </c>
      <c r="AD457" s="18" t="n">
        <f aca="false">(MAX(1,N(I457))*(P457+N(S457))+MAX(1,N(I457))*N(K457)/(MAX(1,N(U457))*AC457))*Settings!$B$9</f>
        <v>0</v>
      </c>
      <c r="AE457" s="18" t="n">
        <f aca="false">(MAX(1,N(I457))*N(Q457)+MAX(1,N(I457))*N(L457)/(MAX(1,N(U457))*AC457))*Settings!$B$8</f>
        <v>0</v>
      </c>
      <c r="AF457" s="18" t="n">
        <f aca="false">MAX(1,N(I457))*N(T457)</f>
        <v>0</v>
      </c>
      <c r="AG457" s="15" t="n">
        <f aca="false">AA457*N(AD457)</f>
        <v>0</v>
      </c>
      <c r="AH457" s="15" t="n">
        <f aca="false">AA457*N(AE457)</f>
        <v>0</v>
      </c>
      <c r="AI457" s="15" t="n">
        <f aca="false">AA457*N(AF457)</f>
        <v>0</v>
      </c>
      <c r="AJ457" s="15" t="n">
        <f aca="false">AA457*N(R457)</f>
        <v>0</v>
      </c>
      <c r="AK457" s="15" t="n">
        <f aca="false">AB457*N(AD457)</f>
        <v>0</v>
      </c>
      <c r="AL457" s="15" t="n">
        <f aca="false">AB457*N(AE457)</f>
        <v>0</v>
      </c>
      <c r="AM457" s="15" t="n">
        <f aca="false">AB457*N(AF457)</f>
        <v>0</v>
      </c>
      <c r="AN457" s="15" t="n">
        <f aca="false">AB457*N(R457)</f>
        <v>0</v>
      </c>
      <c r="AO457" s="21" t="str">
        <f aca="false">IF(F457&lt;&gt;"Y","n/a",IF(AND(N457&lt;&gt;"",OR(Q457&lt;&gt;"",G457="Other / bench",G457="None"),U457&lt;&gt;""),"OK","Missing"))</f>
        <v>Missing</v>
      </c>
    </row>
    <row r="458" customFormat="false" ht="15" hidden="false" customHeight="false" outlineLevel="0" collapsed="false">
      <c r="A458" s="10" t="s">
        <v>463</v>
      </c>
      <c r="B458" s="10" t="s">
        <v>740</v>
      </c>
      <c r="C458" s="10" t="s">
        <v>437</v>
      </c>
      <c r="D458" s="10" t="s">
        <v>741</v>
      </c>
      <c r="E458" s="21" t="str">
        <f aca="false">IF(A458="","",A458&amp;"|"&amp;D458)</f>
        <v>Ezetimibe|Assay + related substances</v>
      </c>
      <c r="F458" s="16" t="s">
        <v>662</v>
      </c>
      <c r="G458" s="16" t="s">
        <v>147</v>
      </c>
      <c r="H458" s="16" t="s">
        <v>663</v>
      </c>
      <c r="I458" s="16" t="n">
        <v>1</v>
      </c>
      <c r="J458" s="16"/>
      <c r="K458" s="14"/>
      <c r="L458" s="14"/>
      <c r="M458" s="14"/>
      <c r="N458" s="14"/>
      <c r="O458" s="14"/>
      <c r="P458" s="18" t="n">
        <f aca="false">IF(N458="",0,IF(OR(M458="",O458=""),N458,(M458+4*N458+O458)/6))</f>
        <v>0</v>
      </c>
      <c r="Q458" s="14"/>
      <c r="R458" s="14"/>
      <c r="S458" s="14"/>
      <c r="T458" s="14"/>
      <c r="U458" s="16"/>
      <c r="V458" s="13"/>
      <c r="W458" s="16" t="s">
        <v>667</v>
      </c>
      <c r="X458" s="16"/>
      <c r="Y458" s="16"/>
      <c r="Z458" s="16"/>
      <c r="AA458" s="22" t="n">
        <f aca="false">IF(F458&lt;&gt;"Y",0,((SUMIF(Products!$E$5:$E$300,A458,Products!$F$5:$F$300)+SUMIF(RM_Lots!$A$5:$A$400,A458,RM_Lots!$D$5:$D$400))+IF(W458="Y",SUMIF(Products!$E$5:$E$300,A458,Products!$G$5:$G$300),0))*(1+N(V458)))</f>
        <v>0</v>
      </c>
      <c r="AB458" s="22" t="n">
        <f aca="false">IF(F458&lt;&gt;"Y",0,((SUMIF(Products!$E$5:$E$300,A458,Products!$K$5:$K$300)+SUMIF(RM_Lots!$A$5:$A$400,A458,RM_Lots!$F$5:$F$400))+IF(W458="Y",SUMIF(Products!$E$5:$E$300,A458,Products!$L$5:$L$300),0))*(1+N(V458)))</f>
        <v>0</v>
      </c>
      <c r="AC458" s="17" t="n">
        <f aca="false">IF(J458="",1,MAX(1,COUNTIFS($J$5:$J$863,J458,$F$5:$F$863,"Y")))</f>
        <v>1</v>
      </c>
      <c r="AD458" s="18" t="n">
        <f aca="false">(MAX(1,N(I458))*(P458+N(S458))+MAX(1,N(I458))*N(K458)/(MAX(1,N(U458))*AC458))*Settings!$B$9</f>
        <v>0</v>
      </c>
      <c r="AE458" s="18" t="n">
        <f aca="false">(MAX(1,N(I458))*N(Q458)+MAX(1,N(I458))*N(L458)/(MAX(1,N(U458))*AC458))*Settings!$B$8</f>
        <v>0</v>
      </c>
      <c r="AF458" s="18" t="n">
        <f aca="false">MAX(1,N(I458))*N(T458)</f>
        <v>0</v>
      </c>
      <c r="AG458" s="15" t="n">
        <f aca="false">AA458*N(AD458)</f>
        <v>0</v>
      </c>
      <c r="AH458" s="15" t="n">
        <f aca="false">AA458*N(AE458)</f>
        <v>0</v>
      </c>
      <c r="AI458" s="15" t="n">
        <f aca="false">AA458*N(AF458)</f>
        <v>0</v>
      </c>
      <c r="AJ458" s="15" t="n">
        <f aca="false">AA458*N(R458)</f>
        <v>0</v>
      </c>
      <c r="AK458" s="15" t="n">
        <f aca="false">AB458*N(AD458)</f>
        <v>0</v>
      </c>
      <c r="AL458" s="15" t="n">
        <f aca="false">AB458*N(AE458)</f>
        <v>0</v>
      </c>
      <c r="AM458" s="15" t="n">
        <f aca="false">AB458*N(AF458)</f>
        <v>0</v>
      </c>
      <c r="AN458" s="15" t="n">
        <f aca="false">AB458*N(R458)</f>
        <v>0</v>
      </c>
      <c r="AO458" s="21" t="str">
        <f aca="false">IF(F458&lt;&gt;"Y","n/a",IF(AND(N458&lt;&gt;"",OR(Q458&lt;&gt;"",G458="Other / bench",G458="None"),U458&lt;&gt;""),"OK","Missing"))</f>
        <v>Missing</v>
      </c>
    </row>
    <row r="459" customFormat="false" ht="15" hidden="false" customHeight="false" outlineLevel="0" collapsed="false">
      <c r="A459" s="10" t="s">
        <v>463</v>
      </c>
      <c r="B459" s="10" t="s">
        <v>740</v>
      </c>
      <c r="C459" s="10" t="s">
        <v>437</v>
      </c>
      <c r="D459" s="10" t="s">
        <v>742</v>
      </c>
      <c r="E459" s="21" t="str">
        <f aca="false">IF(A459="","",A459&amp;"|"&amp;D459)</f>
        <v>Ezetimibe|Other compendial tests (ID, LOD/KF, heavy metals...)</v>
      </c>
      <c r="F459" s="16" t="s">
        <v>662</v>
      </c>
      <c r="G459" s="16" t="s">
        <v>670</v>
      </c>
      <c r="H459" s="16" t="s">
        <v>672</v>
      </c>
      <c r="I459" s="16" t="n">
        <v>1</v>
      </c>
      <c r="J459" s="16"/>
      <c r="K459" s="14"/>
      <c r="L459" s="14"/>
      <c r="M459" s="14"/>
      <c r="N459" s="14"/>
      <c r="O459" s="14"/>
      <c r="P459" s="18" t="n">
        <f aca="false">IF(N459="",0,IF(OR(M459="",O459=""),N459,(M459+4*N459+O459)/6))</f>
        <v>0</v>
      </c>
      <c r="Q459" s="14"/>
      <c r="R459" s="14"/>
      <c r="S459" s="14"/>
      <c r="T459" s="14"/>
      <c r="U459" s="16"/>
      <c r="V459" s="13"/>
      <c r="W459" s="16" t="s">
        <v>667</v>
      </c>
      <c r="X459" s="16"/>
      <c r="Y459" s="16"/>
      <c r="Z459" s="16"/>
      <c r="AA459" s="22" t="n">
        <f aca="false">IF(F459&lt;&gt;"Y",0,((SUMIF(Products!$E$5:$E$300,A459,Products!$F$5:$F$300)+SUMIF(RM_Lots!$A$5:$A$400,A459,RM_Lots!$D$5:$D$400))+IF(W459="Y",SUMIF(Products!$E$5:$E$300,A459,Products!$G$5:$G$300),0))*(1+N(V459)))</f>
        <v>0</v>
      </c>
      <c r="AB459" s="22" t="n">
        <f aca="false">IF(F459&lt;&gt;"Y",0,((SUMIF(Products!$E$5:$E$300,A459,Products!$K$5:$K$300)+SUMIF(RM_Lots!$A$5:$A$400,A459,RM_Lots!$F$5:$F$400))+IF(W459="Y",SUMIF(Products!$E$5:$E$300,A459,Products!$L$5:$L$300),0))*(1+N(V459)))</f>
        <v>0</v>
      </c>
      <c r="AC459" s="17" t="n">
        <f aca="false">IF(J459="",1,MAX(1,COUNTIFS($J$5:$J$863,J459,$F$5:$F$863,"Y")))</f>
        <v>1</v>
      </c>
      <c r="AD459" s="18" t="n">
        <f aca="false">(MAX(1,N(I459))*(P459+N(S459))+MAX(1,N(I459))*N(K459)/(MAX(1,N(U459))*AC459))*Settings!$B$9</f>
        <v>0</v>
      </c>
      <c r="AE459" s="18" t="n">
        <f aca="false">(MAX(1,N(I459))*N(Q459)+MAX(1,N(I459))*N(L459)/(MAX(1,N(U459))*AC459))*Settings!$B$8</f>
        <v>0</v>
      </c>
      <c r="AF459" s="18" t="n">
        <f aca="false">MAX(1,N(I459))*N(T459)</f>
        <v>0</v>
      </c>
      <c r="AG459" s="15" t="n">
        <f aca="false">AA459*N(AD459)</f>
        <v>0</v>
      </c>
      <c r="AH459" s="15" t="n">
        <f aca="false">AA459*N(AE459)</f>
        <v>0</v>
      </c>
      <c r="AI459" s="15" t="n">
        <f aca="false">AA459*N(AF459)</f>
        <v>0</v>
      </c>
      <c r="AJ459" s="15" t="n">
        <f aca="false">AA459*N(R459)</f>
        <v>0</v>
      </c>
      <c r="AK459" s="15" t="n">
        <f aca="false">AB459*N(AD459)</f>
        <v>0</v>
      </c>
      <c r="AL459" s="15" t="n">
        <f aca="false">AB459*N(AE459)</f>
        <v>0</v>
      </c>
      <c r="AM459" s="15" t="n">
        <f aca="false">AB459*N(AF459)</f>
        <v>0</v>
      </c>
      <c r="AN459" s="15" t="n">
        <f aca="false">AB459*N(R459)</f>
        <v>0</v>
      </c>
      <c r="AO459" s="21" t="str">
        <f aca="false">IF(F459&lt;&gt;"Y","n/a",IF(AND(N459&lt;&gt;"",OR(Q459&lt;&gt;"",G459="Other / bench",G459="None"),U459&lt;&gt;""),"OK","Missing"))</f>
        <v>Missing</v>
      </c>
    </row>
    <row r="460" customFormat="false" ht="15" hidden="false" customHeight="false" outlineLevel="0" collapsed="false">
      <c r="A460" s="10" t="s">
        <v>464</v>
      </c>
      <c r="B460" s="10" t="s">
        <v>740</v>
      </c>
      <c r="C460" s="10" t="s">
        <v>437</v>
      </c>
      <c r="D460" s="10" t="s">
        <v>741</v>
      </c>
      <c r="E460" s="21" t="str">
        <f aca="false">IF(A460="","",A460&amp;"|"&amp;D460)</f>
        <v>Fennel Dry Extract 5:1|Assay + related substances</v>
      </c>
      <c r="F460" s="16" t="s">
        <v>662</v>
      </c>
      <c r="G460" s="16" t="s">
        <v>147</v>
      </c>
      <c r="H460" s="16" t="s">
        <v>663</v>
      </c>
      <c r="I460" s="16" t="n">
        <v>1</v>
      </c>
      <c r="J460" s="16"/>
      <c r="K460" s="14"/>
      <c r="L460" s="14"/>
      <c r="M460" s="14"/>
      <c r="N460" s="14"/>
      <c r="O460" s="14"/>
      <c r="P460" s="18" t="n">
        <f aca="false">IF(N460="",0,IF(OR(M460="",O460=""),N460,(M460+4*N460+O460)/6))</f>
        <v>0</v>
      </c>
      <c r="Q460" s="14"/>
      <c r="R460" s="14"/>
      <c r="S460" s="14"/>
      <c r="T460" s="14"/>
      <c r="U460" s="16"/>
      <c r="V460" s="13"/>
      <c r="W460" s="16" t="s">
        <v>667</v>
      </c>
      <c r="X460" s="16"/>
      <c r="Y460" s="16"/>
      <c r="Z460" s="16"/>
      <c r="AA460" s="22" t="n">
        <f aca="false">IF(F460&lt;&gt;"Y",0,((SUMIF(Products!$E$5:$E$300,A460,Products!$F$5:$F$300)+SUMIF(RM_Lots!$A$5:$A$400,A460,RM_Lots!$D$5:$D$400))+IF(W460="Y",SUMIF(Products!$E$5:$E$300,A460,Products!$G$5:$G$300),0))*(1+N(V460)))</f>
        <v>0</v>
      </c>
      <c r="AB460" s="22" t="n">
        <f aca="false">IF(F460&lt;&gt;"Y",0,((SUMIF(Products!$E$5:$E$300,A460,Products!$K$5:$K$300)+SUMIF(RM_Lots!$A$5:$A$400,A460,RM_Lots!$F$5:$F$400))+IF(W460="Y",SUMIF(Products!$E$5:$E$300,A460,Products!$L$5:$L$300),0))*(1+N(V460)))</f>
        <v>0</v>
      </c>
      <c r="AC460" s="17" t="n">
        <f aca="false">IF(J460="",1,MAX(1,COUNTIFS($J$5:$J$863,J460,$F$5:$F$863,"Y")))</f>
        <v>1</v>
      </c>
      <c r="AD460" s="18" t="n">
        <f aca="false">(MAX(1,N(I460))*(P460+N(S460))+MAX(1,N(I460))*N(K460)/(MAX(1,N(U460))*AC460))*Settings!$B$9</f>
        <v>0</v>
      </c>
      <c r="AE460" s="18" t="n">
        <f aca="false">(MAX(1,N(I460))*N(Q460)+MAX(1,N(I460))*N(L460)/(MAX(1,N(U460))*AC460))*Settings!$B$8</f>
        <v>0</v>
      </c>
      <c r="AF460" s="18" t="n">
        <f aca="false">MAX(1,N(I460))*N(T460)</f>
        <v>0</v>
      </c>
      <c r="AG460" s="15" t="n">
        <f aca="false">AA460*N(AD460)</f>
        <v>0</v>
      </c>
      <c r="AH460" s="15" t="n">
        <f aca="false">AA460*N(AE460)</f>
        <v>0</v>
      </c>
      <c r="AI460" s="15" t="n">
        <f aca="false">AA460*N(AF460)</f>
        <v>0</v>
      </c>
      <c r="AJ460" s="15" t="n">
        <f aca="false">AA460*N(R460)</f>
        <v>0</v>
      </c>
      <c r="AK460" s="15" t="n">
        <f aca="false">AB460*N(AD460)</f>
        <v>0</v>
      </c>
      <c r="AL460" s="15" t="n">
        <f aca="false">AB460*N(AE460)</f>
        <v>0</v>
      </c>
      <c r="AM460" s="15" t="n">
        <f aca="false">AB460*N(AF460)</f>
        <v>0</v>
      </c>
      <c r="AN460" s="15" t="n">
        <f aca="false">AB460*N(R460)</f>
        <v>0</v>
      </c>
      <c r="AO460" s="21" t="str">
        <f aca="false">IF(F460&lt;&gt;"Y","n/a",IF(AND(N460&lt;&gt;"",OR(Q460&lt;&gt;"",G460="Other / bench",G460="None"),U460&lt;&gt;""),"OK","Missing"))</f>
        <v>Missing</v>
      </c>
    </row>
    <row r="461" customFormat="false" ht="15" hidden="false" customHeight="false" outlineLevel="0" collapsed="false">
      <c r="A461" s="10" t="s">
        <v>464</v>
      </c>
      <c r="B461" s="10" t="s">
        <v>740</v>
      </c>
      <c r="C461" s="10" t="s">
        <v>437</v>
      </c>
      <c r="D461" s="10" t="s">
        <v>742</v>
      </c>
      <c r="E461" s="21" t="str">
        <f aca="false">IF(A461="","",A461&amp;"|"&amp;D461)</f>
        <v>Fennel Dry Extract 5:1|Other compendial tests (ID, LOD/KF, heavy metals...)</v>
      </c>
      <c r="F461" s="16" t="s">
        <v>662</v>
      </c>
      <c r="G461" s="16" t="s">
        <v>670</v>
      </c>
      <c r="H461" s="16" t="s">
        <v>672</v>
      </c>
      <c r="I461" s="16" t="n">
        <v>1</v>
      </c>
      <c r="J461" s="16"/>
      <c r="K461" s="14"/>
      <c r="L461" s="14"/>
      <c r="M461" s="14"/>
      <c r="N461" s="14"/>
      <c r="O461" s="14"/>
      <c r="P461" s="18" t="n">
        <f aca="false">IF(N461="",0,IF(OR(M461="",O461=""),N461,(M461+4*N461+O461)/6))</f>
        <v>0</v>
      </c>
      <c r="Q461" s="14"/>
      <c r="R461" s="14"/>
      <c r="S461" s="14"/>
      <c r="T461" s="14"/>
      <c r="U461" s="16"/>
      <c r="V461" s="13"/>
      <c r="W461" s="16" t="s">
        <v>667</v>
      </c>
      <c r="X461" s="16"/>
      <c r="Y461" s="16"/>
      <c r="Z461" s="16"/>
      <c r="AA461" s="22" t="n">
        <f aca="false">IF(F461&lt;&gt;"Y",0,((SUMIF(Products!$E$5:$E$300,A461,Products!$F$5:$F$300)+SUMIF(RM_Lots!$A$5:$A$400,A461,RM_Lots!$D$5:$D$400))+IF(W461="Y",SUMIF(Products!$E$5:$E$300,A461,Products!$G$5:$G$300),0))*(1+N(V461)))</f>
        <v>0</v>
      </c>
      <c r="AB461" s="22" t="n">
        <f aca="false">IF(F461&lt;&gt;"Y",0,((SUMIF(Products!$E$5:$E$300,A461,Products!$K$5:$K$300)+SUMIF(RM_Lots!$A$5:$A$400,A461,RM_Lots!$F$5:$F$400))+IF(W461="Y",SUMIF(Products!$E$5:$E$300,A461,Products!$L$5:$L$300),0))*(1+N(V461)))</f>
        <v>0</v>
      </c>
      <c r="AC461" s="17" t="n">
        <f aca="false">IF(J461="",1,MAX(1,COUNTIFS($J$5:$J$863,J461,$F$5:$F$863,"Y")))</f>
        <v>1</v>
      </c>
      <c r="AD461" s="18" t="n">
        <f aca="false">(MAX(1,N(I461))*(P461+N(S461))+MAX(1,N(I461))*N(K461)/(MAX(1,N(U461))*AC461))*Settings!$B$9</f>
        <v>0</v>
      </c>
      <c r="AE461" s="18" t="n">
        <f aca="false">(MAX(1,N(I461))*N(Q461)+MAX(1,N(I461))*N(L461)/(MAX(1,N(U461))*AC461))*Settings!$B$8</f>
        <v>0</v>
      </c>
      <c r="AF461" s="18" t="n">
        <f aca="false">MAX(1,N(I461))*N(T461)</f>
        <v>0</v>
      </c>
      <c r="AG461" s="15" t="n">
        <f aca="false">AA461*N(AD461)</f>
        <v>0</v>
      </c>
      <c r="AH461" s="15" t="n">
        <f aca="false">AA461*N(AE461)</f>
        <v>0</v>
      </c>
      <c r="AI461" s="15" t="n">
        <f aca="false">AA461*N(AF461)</f>
        <v>0</v>
      </c>
      <c r="AJ461" s="15" t="n">
        <f aca="false">AA461*N(R461)</f>
        <v>0</v>
      </c>
      <c r="AK461" s="15" t="n">
        <f aca="false">AB461*N(AD461)</f>
        <v>0</v>
      </c>
      <c r="AL461" s="15" t="n">
        <f aca="false">AB461*N(AE461)</f>
        <v>0</v>
      </c>
      <c r="AM461" s="15" t="n">
        <f aca="false">AB461*N(AF461)</f>
        <v>0</v>
      </c>
      <c r="AN461" s="15" t="n">
        <f aca="false">AB461*N(R461)</f>
        <v>0</v>
      </c>
      <c r="AO461" s="21" t="str">
        <f aca="false">IF(F461&lt;&gt;"Y","n/a",IF(AND(N461&lt;&gt;"",OR(Q461&lt;&gt;"",G461="Other / bench",G461="None"),U461&lt;&gt;""),"OK","Missing"))</f>
        <v>Missing</v>
      </c>
    </row>
    <row r="462" customFormat="false" ht="15" hidden="false" customHeight="false" outlineLevel="0" collapsed="false">
      <c r="A462" s="10" t="s">
        <v>465</v>
      </c>
      <c r="B462" s="10" t="s">
        <v>740</v>
      </c>
      <c r="C462" s="10" t="s">
        <v>437</v>
      </c>
      <c r="D462" s="10" t="s">
        <v>741</v>
      </c>
      <c r="E462" s="21" t="str">
        <f aca="false">IF(A462="","",A462&amp;"|"&amp;D462)</f>
        <v>Ferrous Bisglycinate|Assay + related substances</v>
      </c>
      <c r="F462" s="16" t="s">
        <v>662</v>
      </c>
      <c r="G462" s="16" t="s">
        <v>147</v>
      </c>
      <c r="H462" s="16" t="s">
        <v>663</v>
      </c>
      <c r="I462" s="16" t="n">
        <v>1</v>
      </c>
      <c r="J462" s="16"/>
      <c r="K462" s="14"/>
      <c r="L462" s="14"/>
      <c r="M462" s="14"/>
      <c r="N462" s="14"/>
      <c r="O462" s="14"/>
      <c r="P462" s="18" t="n">
        <f aca="false">IF(N462="",0,IF(OR(M462="",O462=""),N462,(M462+4*N462+O462)/6))</f>
        <v>0</v>
      </c>
      <c r="Q462" s="14"/>
      <c r="R462" s="14"/>
      <c r="S462" s="14"/>
      <c r="T462" s="14"/>
      <c r="U462" s="16"/>
      <c r="V462" s="13"/>
      <c r="W462" s="16" t="s">
        <v>667</v>
      </c>
      <c r="X462" s="16"/>
      <c r="Y462" s="16"/>
      <c r="Z462" s="16"/>
      <c r="AA462" s="22" t="n">
        <f aca="false">IF(F462&lt;&gt;"Y",0,((SUMIF(Products!$E$5:$E$300,A462,Products!$F$5:$F$300)+SUMIF(RM_Lots!$A$5:$A$400,A462,RM_Lots!$D$5:$D$400))+IF(W462="Y",SUMIF(Products!$E$5:$E$300,A462,Products!$G$5:$G$300),0))*(1+N(V462)))</f>
        <v>0</v>
      </c>
      <c r="AB462" s="22" t="n">
        <f aca="false">IF(F462&lt;&gt;"Y",0,((SUMIF(Products!$E$5:$E$300,A462,Products!$K$5:$K$300)+SUMIF(RM_Lots!$A$5:$A$400,A462,RM_Lots!$F$5:$F$400))+IF(W462="Y",SUMIF(Products!$E$5:$E$300,A462,Products!$L$5:$L$300),0))*(1+N(V462)))</f>
        <v>0</v>
      </c>
      <c r="AC462" s="17" t="n">
        <f aca="false">IF(J462="",1,MAX(1,COUNTIFS($J$5:$J$863,J462,$F$5:$F$863,"Y")))</f>
        <v>1</v>
      </c>
      <c r="AD462" s="18" t="n">
        <f aca="false">(MAX(1,N(I462))*(P462+N(S462))+MAX(1,N(I462))*N(K462)/(MAX(1,N(U462))*AC462))*Settings!$B$9</f>
        <v>0</v>
      </c>
      <c r="AE462" s="18" t="n">
        <f aca="false">(MAX(1,N(I462))*N(Q462)+MAX(1,N(I462))*N(L462)/(MAX(1,N(U462))*AC462))*Settings!$B$8</f>
        <v>0</v>
      </c>
      <c r="AF462" s="18" t="n">
        <f aca="false">MAX(1,N(I462))*N(T462)</f>
        <v>0</v>
      </c>
      <c r="AG462" s="15" t="n">
        <f aca="false">AA462*N(AD462)</f>
        <v>0</v>
      </c>
      <c r="AH462" s="15" t="n">
        <f aca="false">AA462*N(AE462)</f>
        <v>0</v>
      </c>
      <c r="AI462" s="15" t="n">
        <f aca="false">AA462*N(AF462)</f>
        <v>0</v>
      </c>
      <c r="AJ462" s="15" t="n">
        <f aca="false">AA462*N(R462)</f>
        <v>0</v>
      </c>
      <c r="AK462" s="15" t="n">
        <f aca="false">AB462*N(AD462)</f>
        <v>0</v>
      </c>
      <c r="AL462" s="15" t="n">
        <f aca="false">AB462*N(AE462)</f>
        <v>0</v>
      </c>
      <c r="AM462" s="15" t="n">
        <f aca="false">AB462*N(AF462)</f>
        <v>0</v>
      </c>
      <c r="AN462" s="15" t="n">
        <f aca="false">AB462*N(R462)</f>
        <v>0</v>
      </c>
      <c r="AO462" s="21" t="str">
        <f aca="false">IF(F462&lt;&gt;"Y","n/a",IF(AND(N462&lt;&gt;"",OR(Q462&lt;&gt;"",G462="Other / bench",G462="None"),U462&lt;&gt;""),"OK","Missing"))</f>
        <v>Missing</v>
      </c>
    </row>
    <row r="463" customFormat="false" ht="15" hidden="false" customHeight="false" outlineLevel="0" collapsed="false">
      <c r="A463" s="10" t="s">
        <v>465</v>
      </c>
      <c r="B463" s="10" t="s">
        <v>740</v>
      </c>
      <c r="C463" s="10" t="s">
        <v>437</v>
      </c>
      <c r="D463" s="10" t="s">
        <v>742</v>
      </c>
      <c r="E463" s="21" t="str">
        <f aca="false">IF(A463="","",A463&amp;"|"&amp;D463)</f>
        <v>Ferrous Bisglycinate|Other compendial tests (ID, LOD/KF, heavy metals...)</v>
      </c>
      <c r="F463" s="16" t="s">
        <v>662</v>
      </c>
      <c r="G463" s="16" t="s">
        <v>670</v>
      </c>
      <c r="H463" s="16" t="s">
        <v>672</v>
      </c>
      <c r="I463" s="16" t="n">
        <v>1</v>
      </c>
      <c r="J463" s="16"/>
      <c r="K463" s="14"/>
      <c r="L463" s="14"/>
      <c r="M463" s="14"/>
      <c r="N463" s="14"/>
      <c r="O463" s="14"/>
      <c r="P463" s="18" t="n">
        <f aca="false">IF(N463="",0,IF(OR(M463="",O463=""),N463,(M463+4*N463+O463)/6))</f>
        <v>0</v>
      </c>
      <c r="Q463" s="14"/>
      <c r="R463" s="14"/>
      <c r="S463" s="14"/>
      <c r="T463" s="14"/>
      <c r="U463" s="16"/>
      <c r="V463" s="13"/>
      <c r="W463" s="16" t="s">
        <v>667</v>
      </c>
      <c r="X463" s="16"/>
      <c r="Y463" s="16"/>
      <c r="Z463" s="16"/>
      <c r="AA463" s="22" t="n">
        <f aca="false">IF(F463&lt;&gt;"Y",0,((SUMIF(Products!$E$5:$E$300,A463,Products!$F$5:$F$300)+SUMIF(RM_Lots!$A$5:$A$400,A463,RM_Lots!$D$5:$D$400))+IF(W463="Y",SUMIF(Products!$E$5:$E$300,A463,Products!$G$5:$G$300),0))*(1+N(V463)))</f>
        <v>0</v>
      </c>
      <c r="AB463" s="22" t="n">
        <f aca="false">IF(F463&lt;&gt;"Y",0,((SUMIF(Products!$E$5:$E$300,A463,Products!$K$5:$K$300)+SUMIF(RM_Lots!$A$5:$A$400,A463,RM_Lots!$F$5:$F$400))+IF(W463="Y",SUMIF(Products!$E$5:$E$300,A463,Products!$L$5:$L$300),0))*(1+N(V463)))</f>
        <v>0</v>
      </c>
      <c r="AC463" s="17" t="n">
        <f aca="false">IF(J463="",1,MAX(1,COUNTIFS($J$5:$J$863,J463,$F$5:$F$863,"Y")))</f>
        <v>1</v>
      </c>
      <c r="AD463" s="18" t="n">
        <f aca="false">(MAX(1,N(I463))*(P463+N(S463))+MAX(1,N(I463))*N(K463)/(MAX(1,N(U463))*AC463))*Settings!$B$9</f>
        <v>0</v>
      </c>
      <c r="AE463" s="18" t="n">
        <f aca="false">(MAX(1,N(I463))*N(Q463)+MAX(1,N(I463))*N(L463)/(MAX(1,N(U463))*AC463))*Settings!$B$8</f>
        <v>0</v>
      </c>
      <c r="AF463" s="18" t="n">
        <f aca="false">MAX(1,N(I463))*N(T463)</f>
        <v>0</v>
      </c>
      <c r="AG463" s="15" t="n">
        <f aca="false">AA463*N(AD463)</f>
        <v>0</v>
      </c>
      <c r="AH463" s="15" t="n">
        <f aca="false">AA463*N(AE463)</f>
        <v>0</v>
      </c>
      <c r="AI463" s="15" t="n">
        <f aca="false">AA463*N(AF463)</f>
        <v>0</v>
      </c>
      <c r="AJ463" s="15" t="n">
        <f aca="false">AA463*N(R463)</f>
        <v>0</v>
      </c>
      <c r="AK463" s="15" t="n">
        <f aca="false">AB463*N(AD463)</f>
        <v>0</v>
      </c>
      <c r="AL463" s="15" t="n">
        <f aca="false">AB463*N(AE463)</f>
        <v>0</v>
      </c>
      <c r="AM463" s="15" t="n">
        <f aca="false">AB463*N(AF463)</f>
        <v>0</v>
      </c>
      <c r="AN463" s="15" t="n">
        <f aca="false">AB463*N(R463)</f>
        <v>0</v>
      </c>
      <c r="AO463" s="21" t="str">
        <f aca="false">IF(F463&lt;&gt;"Y","n/a",IF(AND(N463&lt;&gt;"",OR(Q463&lt;&gt;"",G463="Other / bench",G463="None"),U463&lt;&gt;""),"OK","Missing"))</f>
        <v>Missing</v>
      </c>
    </row>
    <row r="464" customFormat="false" ht="15" hidden="false" customHeight="false" outlineLevel="0" collapsed="false">
      <c r="A464" s="10" t="s">
        <v>466</v>
      </c>
      <c r="B464" s="10" t="s">
        <v>740</v>
      </c>
      <c r="C464" s="10" t="s">
        <v>437</v>
      </c>
      <c r="D464" s="10" t="s">
        <v>741</v>
      </c>
      <c r="E464" s="21" t="str">
        <f aca="false">IF(A464="","",A464&amp;"|"&amp;D464)</f>
        <v>Ferrous Fumarate|Assay + related substances</v>
      </c>
      <c r="F464" s="16" t="s">
        <v>662</v>
      </c>
      <c r="G464" s="16" t="s">
        <v>147</v>
      </c>
      <c r="H464" s="16" t="s">
        <v>663</v>
      </c>
      <c r="I464" s="16" t="n">
        <v>1</v>
      </c>
      <c r="J464" s="16"/>
      <c r="K464" s="14"/>
      <c r="L464" s="14"/>
      <c r="M464" s="14"/>
      <c r="N464" s="14"/>
      <c r="O464" s="14"/>
      <c r="P464" s="18" t="n">
        <f aca="false">IF(N464="",0,IF(OR(M464="",O464=""),N464,(M464+4*N464+O464)/6))</f>
        <v>0</v>
      </c>
      <c r="Q464" s="14"/>
      <c r="R464" s="14"/>
      <c r="S464" s="14"/>
      <c r="T464" s="14"/>
      <c r="U464" s="16"/>
      <c r="V464" s="13"/>
      <c r="W464" s="16" t="s">
        <v>667</v>
      </c>
      <c r="X464" s="16"/>
      <c r="Y464" s="16"/>
      <c r="Z464" s="16"/>
      <c r="AA464" s="22" t="n">
        <f aca="false">IF(F464&lt;&gt;"Y",0,((SUMIF(Products!$E$5:$E$300,A464,Products!$F$5:$F$300)+SUMIF(RM_Lots!$A$5:$A$400,A464,RM_Lots!$D$5:$D$400))+IF(W464="Y",SUMIF(Products!$E$5:$E$300,A464,Products!$G$5:$G$300),0))*(1+N(V464)))</f>
        <v>0</v>
      </c>
      <c r="AB464" s="22" t="n">
        <f aca="false">IF(F464&lt;&gt;"Y",0,((SUMIF(Products!$E$5:$E$300,A464,Products!$K$5:$K$300)+SUMIF(RM_Lots!$A$5:$A$400,A464,RM_Lots!$F$5:$F$400))+IF(W464="Y",SUMIF(Products!$E$5:$E$300,A464,Products!$L$5:$L$300),0))*(1+N(V464)))</f>
        <v>0</v>
      </c>
      <c r="AC464" s="17" t="n">
        <f aca="false">IF(J464="",1,MAX(1,COUNTIFS($J$5:$J$863,J464,$F$5:$F$863,"Y")))</f>
        <v>1</v>
      </c>
      <c r="AD464" s="18" t="n">
        <f aca="false">(MAX(1,N(I464))*(P464+N(S464))+MAX(1,N(I464))*N(K464)/(MAX(1,N(U464))*AC464))*Settings!$B$9</f>
        <v>0</v>
      </c>
      <c r="AE464" s="18" t="n">
        <f aca="false">(MAX(1,N(I464))*N(Q464)+MAX(1,N(I464))*N(L464)/(MAX(1,N(U464))*AC464))*Settings!$B$8</f>
        <v>0</v>
      </c>
      <c r="AF464" s="18" t="n">
        <f aca="false">MAX(1,N(I464))*N(T464)</f>
        <v>0</v>
      </c>
      <c r="AG464" s="15" t="n">
        <f aca="false">AA464*N(AD464)</f>
        <v>0</v>
      </c>
      <c r="AH464" s="15" t="n">
        <f aca="false">AA464*N(AE464)</f>
        <v>0</v>
      </c>
      <c r="AI464" s="15" t="n">
        <f aca="false">AA464*N(AF464)</f>
        <v>0</v>
      </c>
      <c r="AJ464" s="15" t="n">
        <f aca="false">AA464*N(R464)</f>
        <v>0</v>
      </c>
      <c r="AK464" s="15" t="n">
        <f aca="false">AB464*N(AD464)</f>
        <v>0</v>
      </c>
      <c r="AL464" s="15" t="n">
        <f aca="false">AB464*N(AE464)</f>
        <v>0</v>
      </c>
      <c r="AM464" s="15" t="n">
        <f aca="false">AB464*N(AF464)</f>
        <v>0</v>
      </c>
      <c r="AN464" s="15" t="n">
        <f aca="false">AB464*N(R464)</f>
        <v>0</v>
      </c>
      <c r="AO464" s="21" t="str">
        <f aca="false">IF(F464&lt;&gt;"Y","n/a",IF(AND(N464&lt;&gt;"",OR(Q464&lt;&gt;"",G464="Other / bench",G464="None"),U464&lt;&gt;""),"OK","Missing"))</f>
        <v>Missing</v>
      </c>
    </row>
    <row r="465" customFormat="false" ht="15" hidden="false" customHeight="false" outlineLevel="0" collapsed="false">
      <c r="A465" s="10" t="s">
        <v>466</v>
      </c>
      <c r="B465" s="10" t="s">
        <v>740</v>
      </c>
      <c r="C465" s="10" t="s">
        <v>437</v>
      </c>
      <c r="D465" s="10" t="s">
        <v>742</v>
      </c>
      <c r="E465" s="21" t="str">
        <f aca="false">IF(A465="","",A465&amp;"|"&amp;D465)</f>
        <v>Ferrous Fumarate|Other compendial tests (ID, LOD/KF, heavy metals...)</v>
      </c>
      <c r="F465" s="16" t="s">
        <v>662</v>
      </c>
      <c r="G465" s="16" t="s">
        <v>670</v>
      </c>
      <c r="H465" s="16" t="s">
        <v>672</v>
      </c>
      <c r="I465" s="16" t="n">
        <v>1</v>
      </c>
      <c r="J465" s="16"/>
      <c r="K465" s="14"/>
      <c r="L465" s="14"/>
      <c r="M465" s="14"/>
      <c r="N465" s="14"/>
      <c r="O465" s="14"/>
      <c r="P465" s="18" t="n">
        <f aca="false">IF(N465="",0,IF(OR(M465="",O465=""),N465,(M465+4*N465+O465)/6))</f>
        <v>0</v>
      </c>
      <c r="Q465" s="14"/>
      <c r="R465" s="14"/>
      <c r="S465" s="14"/>
      <c r="T465" s="14"/>
      <c r="U465" s="16"/>
      <c r="V465" s="13"/>
      <c r="W465" s="16" t="s">
        <v>667</v>
      </c>
      <c r="X465" s="16"/>
      <c r="Y465" s="16"/>
      <c r="Z465" s="16"/>
      <c r="AA465" s="22" t="n">
        <f aca="false">IF(F465&lt;&gt;"Y",0,((SUMIF(Products!$E$5:$E$300,A465,Products!$F$5:$F$300)+SUMIF(RM_Lots!$A$5:$A$400,A465,RM_Lots!$D$5:$D$400))+IF(W465="Y",SUMIF(Products!$E$5:$E$300,A465,Products!$G$5:$G$300),0))*(1+N(V465)))</f>
        <v>0</v>
      </c>
      <c r="AB465" s="22" t="n">
        <f aca="false">IF(F465&lt;&gt;"Y",0,((SUMIF(Products!$E$5:$E$300,A465,Products!$K$5:$K$300)+SUMIF(RM_Lots!$A$5:$A$400,A465,RM_Lots!$F$5:$F$400))+IF(W465="Y",SUMIF(Products!$E$5:$E$300,A465,Products!$L$5:$L$300),0))*(1+N(V465)))</f>
        <v>0</v>
      </c>
      <c r="AC465" s="17" t="n">
        <f aca="false">IF(J465="",1,MAX(1,COUNTIFS($J$5:$J$863,J465,$F$5:$F$863,"Y")))</f>
        <v>1</v>
      </c>
      <c r="AD465" s="18" t="n">
        <f aca="false">(MAX(1,N(I465))*(P465+N(S465))+MAX(1,N(I465))*N(K465)/(MAX(1,N(U465))*AC465))*Settings!$B$9</f>
        <v>0</v>
      </c>
      <c r="AE465" s="18" t="n">
        <f aca="false">(MAX(1,N(I465))*N(Q465)+MAX(1,N(I465))*N(L465)/(MAX(1,N(U465))*AC465))*Settings!$B$8</f>
        <v>0</v>
      </c>
      <c r="AF465" s="18" t="n">
        <f aca="false">MAX(1,N(I465))*N(T465)</f>
        <v>0</v>
      </c>
      <c r="AG465" s="15" t="n">
        <f aca="false">AA465*N(AD465)</f>
        <v>0</v>
      </c>
      <c r="AH465" s="15" t="n">
        <f aca="false">AA465*N(AE465)</f>
        <v>0</v>
      </c>
      <c r="AI465" s="15" t="n">
        <f aca="false">AA465*N(AF465)</f>
        <v>0</v>
      </c>
      <c r="AJ465" s="15" t="n">
        <f aca="false">AA465*N(R465)</f>
        <v>0</v>
      </c>
      <c r="AK465" s="15" t="n">
        <f aca="false">AB465*N(AD465)</f>
        <v>0</v>
      </c>
      <c r="AL465" s="15" t="n">
        <f aca="false">AB465*N(AE465)</f>
        <v>0</v>
      </c>
      <c r="AM465" s="15" t="n">
        <f aca="false">AB465*N(AF465)</f>
        <v>0</v>
      </c>
      <c r="AN465" s="15" t="n">
        <f aca="false">AB465*N(R465)</f>
        <v>0</v>
      </c>
      <c r="AO465" s="21" t="str">
        <f aca="false">IF(F465&lt;&gt;"Y","n/a",IF(AND(N465&lt;&gt;"",OR(Q465&lt;&gt;"",G465="Other / bench",G465="None"),U465&lt;&gt;""),"OK","Missing"))</f>
        <v>Missing</v>
      </c>
    </row>
    <row r="466" customFormat="false" ht="15" hidden="false" customHeight="false" outlineLevel="0" collapsed="false">
      <c r="A466" s="10" t="s">
        <v>205</v>
      </c>
      <c r="B466" s="10" t="s">
        <v>740</v>
      </c>
      <c r="C466" s="10" t="s">
        <v>437</v>
      </c>
      <c r="D466" s="10" t="s">
        <v>741</v>
      </c>
      <c r="E466" s="21" t="str">
        <f aca="false">IF(A466="","",A466&amp;"|"&amp;D466)</f>
        <v>Finerenone|Assay + related substances</v>
      </c>
      <c r="F466" s="16" t="s">
        <v>662</v>
      </c>
      <c r="G466" s="16" t="s">
        <v>147</v>
      </c>
      <c r="H466" s="16" t="s">
        <v>663</v>
      </c>
      <c r="I466" s="16" t="n">
        <v>1</v>
      </c>
      <c r="J466" s="16"/>
      <c r="K466" s="14"/>
      <c r="L466" s="14"/>
      <c r="M466" s="14"/>
      <c r="N466" s="14"/>
      <c r="O466" s="14"/>
      <c r="P466" s="18" t="n">
        <f aca="false">IF(N466="",0,IF(OR(M466="",O466=""),N466,(M466+4*N466+O466)/6))</f>
        <v>0</v>
      </c>
      <c r="Q466" s="14"/>
      <c r="R466" s="14"/>
      <c r="S466" s="14"/>
      <c r="T466" s="14"/>
      <c r="U466" s="16"/>
      <c r="V466" s="13"/>
      <c r="W466" s="16" t="s">
        <v>667</v>
      </c>
      <c r="X466" s="16"/>
      <c r="Y466" s="16"/>
      <c r="Z466" s="16"/>
      <c r="AA466" s="22" t="n">
        <f aca="false">IF(F466&lt;&gt;"Y",0,((SUMIF(Products!$E$5:$E$300,A466,Products!$F$5:$F$300)+SUMIF(RM_Lots!$A$5:$A$400,A466,RM_Lots!$D$5:$D$400))+IF(W466="Y",SUMIF(Products!$E$5:$E$300,A466,Products!$G$5:$G$300),0))*(1+N(V466)))</f>
        <v>0</v>
      </c>
      <c r="AB466" s="22" t="n">
        <f aca="false">IF(F466&lt;&gt;"Y",0,((SUMIF(Products!$E$5:$E$300,A466,Products!$K$5:$K$300)+SUMIF(RM_Lots!$A$5:$A$400,A466,RM_Lots!$F$5:$F$400))+IF(W466="Y",SUMIF(Products!$E$5:$E$300,A466,Products!$L$5:$L$300),0))*(1+N(V466)))</f>
        <v>0</v>
      </c>
      <c r="AC466" s="17" t="n">
        <f aca="false">IF(J466="",1,MAX(1,COUNTIFS($J$5:$J$863,J466,$F$5:$F$863,"Y")))</f>
        <v>1</v>
      </c>
      <c r="AD466" s="18" t="n">
        <f aca="false">(MAX(1,N(I466))*(P466+N(S466))+MAX(1,N(I466))*N(K466)/(MAX(1,N(U466))*AC466))*Settings!$B$9</f>
        <v>0</v>
      </c>
      <c r="AE466" s="18" t="n">
        <f aca="false">(MAX(1,N(I466))*N(Q466)+MAX(1,N(I466))*N(L466)/(MAX(1,N(U466))*AC466))*Settings!$B$8</f>
        <v>0</v>
      </c>
      <c r="AF466" s="18" t="n">
        <f aca="false">MAX(1,N(I466))*N(T466)</f>
        <v>0</v>
      </c>
      <c r="AG466" s="15" t="n">
        <f aca="false">AA466*N(AD466)</f>
        <v>0</v>
      </c>
      <c r="AH466" s="15" t="n">
        <f aca="false">AA466*N(AE466)</f>
        <v>0</v>
      </c>
      <c r="AI466" s="15" t="n">
        <f aca="false">AA466*N(AF466)</f>
        <v>0</v>
      </c>
      <c r="AJ466" s="15" t="n">
        <f aca="false">AA466*N(R466)</f>
        <v>0</v>
      </c>
      <c r="AK466" s="15" t="n">
        <f aca="false">AB466*N(AD466)</f>
        <v>0</v>
      </c>
      <c r="AL466" s="15" t="n">
        <f aca="false">AB466*N(AE466)</f>
        <v>0</v>
      </c>
      <c r="AM466" s="15" t="n">
        <f aca="false">AB466*N(AF466)</f>
        <v>0</v>
      </c>
      <c r="AN466" s="15" t="n">
        <f aca="false">AB466*N(R466)</f>
        <v>0</v>
      </c>
      <c r="AO466" s="21" t="str">
        <f aca="false">IF(F466&lt;&gt;"Y","n/a",IF(AND(N466&lt;&gt;"",OR(Q466&lt;&gt;"",G466="Other / bench",G466="None"),U466&lt;&gt;""),"OK","Missing"))</f>
        <v>Missing</v>
      </c>
    </row>
    <row r="467" customFormat="false" ht="15" hidden="false" customHeight="false" outlineLevel="0" collapsed="false">
      <c r="A467" s="10" t="s">
        <v>205</v>
      </c>
      <c r="B467" s="10" t="s">
        <v>740</v>
      </c>
      <c r="C467" s="10" t="s">
        <v>437</v>
      </c>
      <c r="D467" s="10" t="s">
        <v>742</v>
      </c>
      <c r="E467" s="21" t="str">
        <f aca="false">IF(A467="","",A467&amp;"|"&amp;D467)</f>
        <v>Finerenone|Other compendial tests (ID, LOD/KF, heavy metals...)</v>
      </c>
      <c r="F467" s="16" t="s">
        <v>662</v>
      </c>
      <c r="G467" s="16" t="s">
        <v>670</v>
      </c>
      <c r="H467" s="16" t="s">
        <v>672</v>
      </c>
      <c r="I467" s="16" t="n">
        <v>1</v>
      </c>
      <c r="J467" s="16"/>
      <c r="K467" s="14"/>
      <c r="L467" s="14"/>
      <c r="M467" s="14"/>
      <c r="N467" s="14"/>
      <c r="O467" s="14"/>
      <c r="P467" s="18" t="n">
        <f aca="false">IF(N467="",0,IF(OR(M467="",O467=""),N467,(M467+4*N467+O467)/6))</f>
        <v>0</v>
      </c>
      <c r="Q467" s="14"/>
      <c r="R467" s="14"/>
      <c r="S467" s="14"/>
      <c r="T467" s="14"/>
      <c r="U467" s="16"/>
      <c r="V467" s="13"/>
      <c r="W467" s="16" t="s">
        <v>667</v>
      </c>
      <c r="X467" s="16"/>
      <c r="Y467" s="16"/>
      <c r="Z467" s="16"/>
      <c r="AA467" s="22" t="n">
        <f aca="false">IF(F467&lt;&gt;"Y",0,((SUMIF(Products!$E$5:$E$300,A467,Products!$F$5:$F$300)+SUMIF(RM_Lots!$A$5:$A$400,A467,RM_Lots!$D$5:$D$400))+IF(W467="Y",SUMIF(Products!$E$5:$E$300,A467,Products!$G$5:$G$300),0))*(1+N(V467)))</f>
        <v>0</v>
      </c>
      <c r="AB467" s="22" t="n">
        <f aca="false">IF(F467&lt;&gt;"Y",0,((SUMIF(Products!$E$5:$E$300,A467,Products!$K$5:$K$300)+SUMIF(RM_Lots!$A$5:$A$400,A467,RM_Lots!$F$5:$F$400))+IF(W467="Y",SUMIF(Products!$E$5:$E$300,A467,Products!$L$5:$L$300),0))*(1+N(V467)))</f>
        <v>0</v>
      </c>
      <c r="AC467" s="17" t="n">
        <f aca="false">IF(J467="",1,MAX(1,COUNTIFS($J$5:$J$863,J467,$F$5:$F$863,"Y")))</f>
        <v>1</v>
      </c>
      <c r="AD467" s="18" t="n">
        <f aca="false">(MAX(1,N(I467))*(P467+N(S467))+MAX(1,N(I467))*N(K467)/(MAX(1,N(U467))*AC467))*Settings!$B$9</f>
        <v>0</v>
      </c>
      <c r="AE467" s="18" t="n">
        <f aca="false">(MAX(1,N(I467))*N(Q467)+MAX(1,N(I467))*N(L467)/(MAX(1,N(U467))*AC467))*Settings!$B$8</f>
        <v>0</v>
      </c>
      <c r="AF467" s="18" t="n">
        <f aca="false">MAX(1,N(I467))*N(T467)</f>
        <v>0</v>
      </c>
      <c r="AG467" s="15" t="n">
        <f aca="false">AA467*N(AD467)</f>
        <v>0</v>
      </c>
      <c r="AH467" s="15" t="n">
        <f aca="false">AA467*N(AE467)</f>
        <v>0</v>
      </c>
      <c r="AI467" s="15" t="n">
        <f aca="false">AA467*N(AF467)</f>
        <v>0</v>
      </c>
      <c r="AJ467" s="15" t="n">
        <f aca="false">AA467*N(R467)</f>
        <v>0</v>
      </c>
      <c r="AK467" s="15" t="n">
        <f aca="false">AB467*N(AD467)</f>
        <v>0</v>
      </c>
      <c r="AL467" s="15" t="n">
        <f aca="false">AB467*N(AE467)</f>
        <v>0</v>
      </c>
      <c r="AM467" s="15" t="n">
        <f aca="false">AB467*N(AF467)</f>
        <v>0</v>
      </c>
      <c r="AN467" s="15" t="n">
        <f aca="false">AB467*N(R467)</f>
        <v>0</v>
      </c>
      <c r="AO467" s="21" t="str">
        <f aca="false">IF(F467&lt;&gt;"Y","n/a",IF(AND(N467&lt;&gt;"",OR(Q467&lt;&gt;"",G467="Other / bench",G467="None"),U467&lt;&gt;""),"OK","Missing"))</f>
        <v>Missing</v>
      </c>
    </row>
    <row r="468" customFormat="false" ht="15" hidden="false" customHeight="false" outlineLevel="0" collapsed="false">
      <c r="A468" s="10" t="s">
        <v>467</v>
      </c>
      <c r="B468" s="10" t="s">
        <v>740</v>
      </c>
      <c r="C468" s="10" t="s">
        <v>437</v>
      </c>
      <c r="D468" s="10" t="s">
        <v>741</v>
      </c>
      <c r="E468" s="21" t="str">
        <f aca="false">IF(A468="","",A468&amp;"|"&amp;D468)</f>
        <v>Fluticasone Propionate|Assay + related substances</v>
      </c>
      <c r="F468" s="16" t="s">
        <v>662</v>
      </c>
      <c r="G468" s="16" t="s">
        <v>147</v>
      </c>
      <c r="H468" s="16" t="s">
        <v>663</v>
      </c>
      <c r="I468" s="16" t="n">
        <v>1</v>
      </c>
      <c r="J468" s="16"/>
      <c r="K468" s="14"/>
      <c r="L468" s="14"/>
      <c r="M468" s="14"/>
      <c r="N468" s="14"/>
      <c r="O468" s="14"/>
      <c r="P468" s="18" t="n">
        <f aca="false">IF(N468="",0,IF(OR(M468="",O468=""),N468,(M468+4*N468+O468)/6))</f>
        <v>0</v>
      </c>
      <c r="Q468" s="14"/>
      <c r="R468" s="14"/>
      <c r="S468" s="14"/>
      <c r="T468" s="14"/>
      <c r="U468" s="16"/>
      <c r="V468" s="13"/>
      <c r="W468" s="16" t="s">
        <v>667</v>
      </c>
      <c r="X468" s="16"/>
      <c r="Y468" s="16"/>
      <c r="Z468" s="16"/>
      <c r="AA468" s="22" t="n">
        <f aca="false">IF(F468&lt;&gt;"Y",0,((SUMIF(Products!$E$5:$E$300,A468,Products!$F$5:$F$300)+SUMIF(RM_Lots!$A$5:$A$400,A468,RM_Lots!$D$5:$D$400))+IF(W468="Y",SUMIF(Products!$E$5:$E$300,A468,Products!$G$5:$G$300),0))*(1+N(V468)))</f>
        <v>0</v>
      </c>
      <c r="AB468" s="22" t="n">
        <f aca="false">IF(F468&lt;&gt;"Y",0,((SUMIF(Products!$E$5:$E$300,A468,Products!$K$5:$K$300)+SUMIF(RM_Lots!$A$5:$A$400,A468,RM_Lots!$F$5:$F$400))+IF(W468="Y",SUMIF(Products!$E$5:$E$300,A468,Products!$L$5:$L$300),0))*(1+N(V468)))</f>
        <v>0</v>
      </c>
      <c r="AC468" s="17" t="n">
        <f aca="false">IF(J468="",1,MAX(1,COUNTIFS($J$5:$J$863,J468,$F$5:$F$863,"Y")))</f>
        <v>1</v>
      </c>
      <c r="AD468" s="18" t="n">
        <f aca="false">(MAX(1,N(I468))*(P468+N(S468))+MAX(1,N(I468))*N(K468)/(MAX(1,N(U468))*AC468))*Settings!$B$9</f>
        <v>0</v>
      </c>
      <c r="AE468" s="18" t="n">
        <f aca="false">(MAX(1,N(I468))*N(Q468)+MAX(1,N(I468))*N(L468)/(MAX(1,N(U468))*AC468))*Settings!$B$8</f>
        <v>0</v>
      </c>
      <c r="AF468" s="18" t="n">
        <f aca="false">MAX(1,N(I468))*N(T468)</f>
        <v>0</v>
      </c>
      <c r="AG468" s="15" t="n">
        <f aca="false">AA468*N(AD468)</f>
        <v>0</v>
      </c>
      <c r="AH468" s="15" t="n">
        <f aca="false">AA468*N(AE468)</f>
        <v>0</v>
      </c>
      <c r="AI468" s="15" t="n">
        <f aca="false">AA468*N(AF468)</f>
        <v>0</v>
      </c>
      <c r="AJ468" s="15" t="n">
        <f aca="false">AA468*N(R468)</f>
        <v>0</v>
      </c>
      <c r="AK468" s="15" t="n">
        <f aca="false">AB468*N(AD468)</f>
        <v>0</v>
      </c>
      <c r="AL468" s="15" t="n">
        <f aca="false">AB468*N(AE468)</f>
        <v>0</v>
      </c>
      <c r="AM468" s="15" t="n">
        <f aca="false">AB468*N(AF468)</f>
        <v>0</v>
      </c>
      <c r="AN468" s="15" t="n">
        <f aca="false">AB468*N(R468)</f>
        <v>0</v>
      </c>
      <c r="AO468" s="21" t="str">
        <f aca="false">IF(F468&lt;&gt;"Y","n/a",IF(AND(N468&lt;&gt;"",OR(Q468&lt;&gt;"",G468="Other / bench",G468="None"),U468&lt;&gt;""),"OK","Missing"))</f>
        <v>Missing</v>
      </c>
    </row>
    <row r="469" customFormat="false" ht="15" hidden="false" customHeight="false" outlineLevel="0" collapsed="false">
      <c r="A469" s="10" t="s">
        <v>467</v>
      </c>
      <c r="B469" s="10" t="s">
        <v>740</v>
      </c>
      <c r="C469" s="10" t="s">
        <v>437</v>
      </c>
      <c r="D469" s="10" t="s">
        <v>742</v>
      </c>
      <c r="E469" s="21" t="str">
        <f aca="false">IF(A469="","",A469&amp;"|"&amp;D469)</f>
        <v>Fluticasone Propionate|Other compendial tests (ID, LOD/KF, heavy metals...)</v>
      </c>
      <c r="F469" s="16" t="s">
        <v>662</v>
      </c>
      <c r="G469" s="16" t="s">
        <v>670</v>
      </c>
      <c r="H469" s="16" t="s">
        <v>672</v>
      </c>
      <c r="I469" s="16" t="n">
        <v>1</v>
      </c>
      <c r="J469" s="16"/>
      <c r="K469" s="14"/>
      <c r="L469" s="14"/>
      <c r="M469" s="14"/>
      <c r="N469" s="14"/>
      <c r="O469" s="14"/>
      <c r="P469" s="18" t="n">
        <f aca="false">IF(N469="",0,IF(OR(M469="",O469=""),N469,(M469+4*N469+O469)/6))</f>
        <v>0</v>
      </c>
      <c r="Q469" s="14"/>
      <c r="R469" s="14"/>
      <c r="S469" s="14"/>
      <c r="T469" s="14"/>
      <c r="U469" s="16"/>
      <c r="V469" s="13"/>
      <c r="W469" s="16" t="s">
        <v>667</v>
      </c>
      <c r="X469" s="16"/>
      <c r="Y469" s="16"/>
      <c r="Z469" s="16"/>
      <c r="AA469" s="22" t="n">
        <f aca="false">IF(F469&lt;&gt;"Y",0,((SUMIF(Products!$E$5:$E$300,A469,Products!$F$5:$F$300)+SUMIF(RM_Lots!$A$5:$A$400,A469,RM_Lots!$D$5:$D$400))+IF(W469="Y",SUMIF(Products!$E$5:$E$300,A469,Products!$G$5:$G$300),0))*(1+N(V469)))</f>
        <v>0</v>
      </c>
      <c r="AB469" s="22" t="n">
        <f aca="false">IF(F469&lt;&gt;"Y",0,((SUMIF(Products!$E$5:$E$300,A469,Products!$K$5:$K$300)+SUMIF(RM_Lots!$A$5:$A$400,A469,RM_Lots!$F$5:$F$400))+IF(W469="Y",SUMIF(Products!$E$5:$E$300,A469,Products!$L$5:$L$300),0))*(1+N(V469)))</f>
        <v>0</v>
      </c>
      <c r="AC469" s="17" t="n">
        <f aca="false">IF(J469="",1,MAX(1,COUNTIFS($J$5:$J$863,J469,$F$5:$F$863,"Y")))</f>
        <v>1</v>
      </c>
      <c r="AD469" s="18" t="n">
        <f aca="false">(MAX(1,N(I469))*(P469+N(S469))+MAX(1,N(I469))*N(K469)/(MAX(1,N(U469))*AC469))*Settings!$B$9</f>
        <v>0</v>
      </c>
      <c r="AE469" s="18" t="n">
        <f aca="false">(MAX(1,N(I469))*N(Q469)+MAX(1,N(I469))*N(L469)/(MAX(1,N(U469))*AC469))*Settings!$B$8</f>
        <v>0</v>
      </c>
      <c r="AF469" s="18" t="n">
        <f aca="false">MAX(1,N(I469))*N(T469)</f>
        <v>0</v>
      </c>
      <c r="AG469" s="15" t="n">
        <f aca="false">AA469*N(AD469)</f>
        <v>0</v>
      </c>
      <c r="AH469" s="15" t="n">
        <f aca="false">AA469*N(AE469)</f>
        <v>0</v>
      </c>
      <c r="AI469" s="15" t="n">
        <f aca="false">AA469*N(AF469)</f>
        <v>0</v>
      </c>
      <c r="AJ469" s="15" t="n">
        <f aca="false">AA469*N(R469)</f>
        <v>0</v>
      </c>
      <c r="AK469" s="15" t="n">
        <f aca="false">AB469*N(AD469)</f>
        <v>0</v>
      </c>
      <c r="AL469" s="15" t="n">
        <f aca="false">AB469*N(AE469)</f>
        <v>0</v>
      </c>
      <c r="AM469" s="15" t="n">
        <f aca="false">AB469*N(AF469)</f>
        <v>0</v>
      </c>
      <c r="AN469" s="15" t="n">
        <f aca="false">AB469*N(R469)</f>
        <v>0</v>
      </c>
      <c r="AO469" s="21" t="str">
        <f aca="false">IF(F469&lt;&gt;"Y","n/a",IF(AND(N469&lt;&gt;"",OR(Q469&lt;&gt;"",G469="Other / bench",G469="None"),U469&lt;&gt;""),"OK","Missing"))</f>
        <v>Missing</v>
      </c>
    </row>
    <row r="470" customFormat="false" ht="15" hidden="false" customHeight="false" outlineLevel="0" collapsed="false">
      <c r="A470" s="10" t="s">
        <v>468</v>
      </c>
      <c r="B470" s="10" t="s">
        <v>740</v>
      </c>
      <c r="C470" s="10" t="s">
        <v>437</v>
      </c>
      <c r="D470" s="10" t="s">
        <v>741</v>
      </c>
      <c r="E470" s="21" t="str">
        <f aca="false">IF(A470="","",A470&amp;"|"&amp;D470)</f>
        <v>Folic Acid (Vitamin B9)|Assay + related substances</v>
      </c>
      <c r="F470" s="16" t="s">
        <v>662</v>
      </c>
      <c r="G470" s="16" t="s">
        <v>147</v>
      </c>
      <c r="H470" s="16" t="s">
        <v>663</v>
      </c>
      <c r="I470" s="16" t="n">
        <v>1</v>
      </c>
      <c r="J470" s="16"/>
      <c r="K470" s="14"/>
      <c r="L470" s="14"/>
      <c r="M470" s="14"/>
      <c r="N470" s="14"/>
      <c r="O470" s="14"/>
      <c r="P470" s="18" t="n">
        <f aca="false">IF(N470="",0,IF(OR(M470="",O470=""),N470,(M470+4*N470+O470)/6))</f>
        <v>0</v>
      </c>
      <c r="Q470" s="14"/>
      <c r="R470" s="14"/>
      <c r="S470" s="14"/>
      <c r="T470" s="14"/>
      <c r="U470" s="16"/>
      <c r="V470" s="13"/>
      <c r="W470" s="16" t="s">
        <v>667</v>
      </c>
      <c r="X470" s="16"/>
      <c r="Y470" s="16"/>
      <c r="Z470" s="16"/>
      <c r="AA470" s="22" t="n">
        <f aca="false">IF(F470&lt;&gt;"Y",0,((SUMIF(Products!$E$5:$E$300,A470,Products!$F$5:$F$300)+SUMIF(RM_Lots!$A$5:$A$400,A470,RM_Lots!$D$5:$D$400))+IF(W470="Y",SUMIF(Products!$E$5:$E$300,A470,Products!$G$5:$G$300),0))*(1+N(V470)))</f>
        <v>0</v>
      </c>
      <c r="AB470" s="22" t="n">
        <f aca="false">IF(F470&lt;&gt;"Y",0,((SUMIF(Products!$E$5:$E$300,A470,Products!$K$5:$K$300)+SUMIF(RM_Lots!$A$5:$A$400,A470,RM_Lots!$F$5:$F$400))+IF(W470="Y",SUMIF(Products!$E$5:$E$300,A470,Products!$L$5:$L$300),0))*(1+N(V470)))</f>
        <v>0</v>
      </c>
      <c r="AC470" s="17" t="n">
        <f aca="false">IF(J470="",1,MAX(1,COUNTIFS($J$5:$J$863,J470,$F$5:$F$863,"Y")))</f>
        <v>1</v>
      </c>
      <c r="AD470" s="18" t="n">
        <f aca="false">(MAX(1,N(I470))*(P470+N(S470))+MAX(1,N(I470))*N(K470)/(MAX(1,N(U470))*AC470))*Settings!$B$9</f>
        <v>0</v>
      </c>
      <c r="AE470" s="18" t="n">
        <f aca="false">(MAX(1,N(I470))*N(Q470)+MAX(1,N(I470))*N(L470)/(MAX(1,N(U470))*AC470))*Settings!$B$8</f>
        <v>0</v>
      </c>
      <c r="AF470" s="18" t="n">
        <f aca="false">MAX(1,N(I470))*N(T470)</f>
        <v>0</v>
      </c>
      <c r="AG470" s="15" t="n">
        <f aca="false">AA470*N(AD470)</f>
        <v>0</v>
      </c>
      <c r="AH470" s="15" t="n">
        <f aca="false">AA470*N(AE470)</f>
        <v>0</v>
      </c>
      <c r="AI470" s="15" t="n">
        <f aca="false">AA470*N(AF470)</f>
        <v>0</v>
      </c>
      <c r="AJ470" s="15" t="n">
        <f aca="false">AA470*N(R470)</f>
        <v>0</v>
      </c>
      <c r="AK470" s="15" t="n">
        <f aca="false">AB470*N(AD470)</f>
        <v>0</v>
      </c>
      <c r="AL470" s="15" t="n">
        <f aca="false">AB470*N(AE470)</f>
        <v>0</v>
      </c>
      <c r="AM470" s="15" t="n">
        <f aca="false">AB470*N(AF470)</f>
        <v>0</v>
      </c>
      <c r="AN470" s="15" t="n">
        <f aca="false">AB470*N(R470)</f>
        <v>0</v>
      </c>
      <c r="AO470" s="21" t="str">
        <f aca="false">IF(F470&lt;&gt;"Y","n/a",IF(AND(N470&lt;&gt;"",OR(Q470&lt;&gt;"",G470="Other / bench",G470="None"),U470&lt;&gt;""),"OK","Missing"))</f>
        <v>Missing</v>
      </c>
    </row>
    <row r="471" customFormat="false" ht="15" hidden="false" customHeight="false" outlineLevel="0" collapsed="false">
      <c r="A471" s="10" t="s">
        <v>468</v>
      </c>
      <c r="B471" s="10" t="s">
        <v>740</v>
      </c>
      <c r="C471" s="10" t="s">
        <v>437</v>
      </c>
      <c r="D471" s="10" t="s">
        <v>742</v>
      </c>
      <c r="E471" s="21" t="str">
        <f aca="false">IF(A471="","",A471&amp;"|"&amp;D471)</f>
        <v>Folic Acid (Vitamin B9)|Other compendial tests (ID, LOD/KF, heavy metals...)</v>
      </c>
      <c r="F471" s="16" t="s">
        <v>662</v>
      </c>
      <c r="G471" s="16" t="s">
        <v>670</v>
      </c>
      <c r="H471" s="16" t="s">
        <v>672</v>
      </c>
      <c r="I471" s="16" t="n">
        <v>1</v>
      </c>
      <c r="J471" s="16"/>
      <c r="K471" s="14"/>
      <c r="L471" s="14"/>
      <c r="M471" s="14"/>
      <c r="N471" s="14"/>
      <c r="O471" s="14"/>
      <c r="P471" s="18" t="n">
        <f aca="false">IF(N471="",0,IF(OR(M471="",O471=""),N471,(M471+4*N471+O471)/6))</f>
        <v>0</v>
      </c>
      <c r="Q471" s="14"/>
      <c r="R471" s="14"/>
      <c r="S471" s="14"/>
      <c r="T471" s="14"/>
      <c r="U471" s="16"/>
      <c r="V471" s="13"/>
      <c r="W471" s="16" t="s">
        <v>667</v>
      </c>
      <c r="X471" s="16"/>
      <c r="Y471" s="16"/>
      <c r="Z471" s="16"/>
      <c r="AA471" s="22" t="n">
        <f aca="false">IF(F471&lt;&gt;"Y",0,((SUMIF(Products!$E$5:$E$300,A471,Products!$F$5:$F$300)+SUMIF(RM_Lots!$A$5:$A$400,A471,RM_Lots!$D$5:$D$400))+IF(W471="Y",SUMIF(Products!$E$5:$E$300,A471,Products!$G$5:$G$300),0))*(1+N(V471)))</f>
        <v>0</v>
      </c>
      <c r="AB471" s="22" t="n">
        <f aca="false">IF(F471&lt;&gt;"Y",0,((SUMIF(Products!$E$5:$E$300,A471,Products!$K$5:$K$300)+SUMIF(RM_Lots!$A$5:$A$400,A471,RM_Lots!$F$5:$F$400))+IF(W471="Y",SUMIF(Products!$E$5:$E$300,A471,Products!$L$5:$L$300),0))*(1+N(V471)))</f>
        <v>0</v>
      </c>
      <c r="AC471" s="17" t="n">
        <f aca="false">IF(J471="",1,MAX(1,COUNTIFS($J$5:$J$863,J471,$F$5:$F$863,"Y")))</f>
        <v>1</v>
      </c>
      <c r="AD471" s="18" t="n">
        <f aca="false">(MAX(1,N(I471))*(P471+N(S471))+MAX(1,N(I471))*N(K471)/(MAX(1,N(U471))*AC471))*Settings!$B$9</f>
        <v>0</v>
      </c>
      <c r="AE471" s="18" t="n">
        <f aca="false">(MAX(1,N(I471))*N(Q471)+MAX(1,N(I471))*N(L471)/(MAX(1,N(U471))*AC471))*Settings!$B$8</f>
        <v>0</v>
      </c>
      <c r="AF471" s="18" t="n">
        <f aca="false">MAX(1,N(I471))*N(T471)</f>
        <v>0</v>
      </c>
      <c r="AG471" s="15" t="n">
        <f aca="false">AA471*N(AD471)</f>
        <v>0</v>
      </c>
      <c r="AH471" s="15" t="n">
        <f aca="false">AA471*N(AE471)</f>
        <v>0</v>
      </c>
      <c r="AI471" s="15" t="n">
        <f aca="false">AA471*N(AF471)</f>
        <v>0</v>
      </c>
      <c r="AJ471" s="15" t="n">
        <f aca="false">AA471*N(R471)</f>
        <v>0</v>
      </c>
      <c r="AK471" s="15" t="n">
        <f aca="false">AB471*N(AD471)</f>
        <v>0</v>
      </c>
      <c r="AL471" s="15" t="n">
        <f aca="false">AB471*N(AE471)</f>
        <v>0</v>
      </c>
      <c r="AM471" s="15" t="n">
        <f aca="false">AB471*N(AF471)</f>
        <v>0</v>
      </c>
      <c r="AN471" s="15" t="n">
        <f aca="false">AB471*N(R471)</f>
        <v>0</v>
      </c>
      <c r="AO471" s="21" t="str">
        <f aca="false">IF(F471&lt;&gt;"Y","n/a",IF(AND(N471&lt;&gt;"",OR(Q471&lt;&gt;"",G471="Other / bench",G471="None"),U471&lt;&gt;""),"OK","Missing"))</f>
        <v>Missing</v>
      </c>
    </row>
    <row r="472" customFormat="false" ht="15" hidden="false" customHeight="false" outlineLevel="0" collapsed="false">
      <c r="A472" s="10" t="s">
        <v>469</v>
      </c>
      <c r="B472" s="10" t="s">
        <v>740</v>
      </c>
      <c r="C472" s="10" t="s">
        <v>437</v>
      </c>
      <c r="D472" s="10" t="s">
        <v>741</v>
      </c>
      <c r="E472" s="21" t="str">
        <f aca="false">IF(A472="","",A472&amp;"|"&amp;D472)</f>
        <v>Garcinia Cambogia Fruit Dry Extract 6:1|Assay + related substances</v>
      </c>
      <c r="F472" s="16" t="s">
        <v>662</v>
      </c>
      <c r="G472" s="16" t="s">
        <v>147</v>
      </c>
      <c r="H472" s="16" t="s">
        <v>663</v>
      </c>
      <c r="I472" s="16" t="n">
        <v>1</v>
      </c>
      <c r="J472" s="16"/>
      <c r="K472" s="14"/>
      <c r="L472" s="14"/>
      <c r="M472" s="14"/>
      <c r="N472" s="14"/>
      <c r="O472" s="14"/>
      <c r="P472" s="18" t="n">
        <f aca="false">IF(N472="",0,IF(OR(M472="",O472=""),N472,(M472+4*N472+O472)/6))</f>
        <v>0</v>
      </c>
      <c r="Q472" s="14"/>
      <c r="R472" s="14"/>
      <c r="S472" s="14"/>
      <c r="T472" s="14"/>
      <c r="U472" s="16"/>
      <c r="V472" s="13"/>
      <c r="W472" s="16" t="s">
        <v>667</v>
      </c>
      <c r="X472" s="16"/>
      <c r="Y472" s="16"/>
      <c r="Z472" s="16"/>
      <c r="AA472" s="22" t="n">
        <f aca="false">IF(F472&lt;&gt;"Y",0,((SUMIF(Products!$E$5:$E$300,A472,Products!$F$5:$F$300)+SUMIF(RM_Lots!$A$5:$A$400,A472,RM_Lots!$D$5:$D$400))+IF(W472="Y",SUMIF(Products!$E$5:$E$300,A472,Products!$G$5:$G$300),0))*(1+N(V472)))</f>
        <v>0</v>
      </c>
      <c r="AB472" s="22" t="n">
        <f aca="false">IF(F472&lt;&gt;"Y",0,((SUMIF(Products!$E$5:$E$300,A472,Products!$K$5:$K$300)+SUMIF(RM_Lots!$A$5:$A$400,A472,RM_Lots!$F$5:$F$400))+IF(W472="Y",SUMIF(Products!$E$5:$E$300,A472,Products!$L$5:$L$300),0))*(1+N(V472)))</f>
        <v>0</v>
      </c>
      <c r="AC472" s="17" t="n">
        <f aca="false">IF(J472="",1,MAX(1,COUNTIFS($J$5:$J$863,J472,$F$5:$F$863,"Y")))</f>
        <v>1</v>
      </c>
      <c r="AD472" s="18" t="n">
        <f aca="false">(MAX(1,N(I472))*(P472+N(S472))+MAX(1,N(I472))*N(K472)/(MAX(1,N(U472))*AC472))*Settings!$B$9</f>
        <v>0</v>
      </c>
      <c r="AE472" s="18" t="n">
        <f aca="false">(MAX(1,N(I472))*N(Q472)+MAX(1,N(I472))*N(L472)/(MAX(1,N(U472))*AC472))*Settings!$B$8</f>
        <v>0</v>
      </c>
      <c r="AF472" s="18" t="n">
        <f aca="false">MAX(1,N(I472))*N(T472)</f>
        <v>0</v>
      </c>
      <c r="AG472" s="15" t="n">
        <f aca="false">AA472*N(AD472)</f>
        <v>0</v>
      </c>
      <c r="AH472" s="15" t="n">
        <f aca="false">AA472*N(AE472)</f>
        <v>0</v>
      </c>
      <c r="AI472" s="15" t="n">
        <f aca="false">AA472*N(AF472)</f>
        <v>0</v>
      </c>
      <c r="AJ472" s="15" t="n">
        <f aca="false">AA472*N(R472)</f>
        <v>0</v>
      </c>
      <c r="AK472" s="15" t="n">
        <f aca="false">AB472*N(AD472)</f>
        <v>0</v>
      </c>
      <c r="AL472" s="15" t="n">
        <f aca="false">AB472*N(AE472)</f>
        <v>0</v>
      </c>
      <c r="AM472" s="15" t="n">
        <f aca="false">AB472*N(AF472)</f>
        <v>0</v>
      </c>
      <c r="AN472" s="15" t="n">
        <f aca="false">AB472*N(R472)</f>
        <v>0</v>
      </c>
      <c r="AO472" s="21" t="str">
        <f aca="false">IF(F472&lt;&gt;"Y","n/a",IF(AND(N472&lt;&gt;"",OR(Q472&lt;&gt;"",G472="Other / bench",G472="None"),U472&lt;&gt;""),"OK","Missing"))</f>
        <v>Missing</v>
      </c>
    </row>
    <row r="473" customFormat="false" ht="15" hidden="false" customHeight="false" outlineLevel="0" collapsed="false">
      <c r="A473" s="10" t="s">
        <v>469</v>
      </c>
      <c r="B473" s="10" t="s">
        <v>740</v>
      </c>
      <c r="C473" s="10" t="s">
        <v>437</v>
      </c>
      <c r="D473" s="10" t="s">
        <v>742</v>
      </c>
      <c r="E473" s="21" t="str">
        <f aca="false">IF(A473="","",A473&amp;"|"&amp;D473)</f>
        <v>Garcinia Cambogia Fruit Dry Extract 6:1|Other compendial tests (ID, LOD/KF, heavy metals...)</v>
      </c>
      <c r="F473" s="16" t="s">
        <v>662</v>
      </c>
      <c r="G473" s="16" t="s">
        <v>670</v>
      </c>
      <c r="H473" s="16" t="s">
        <v>672</v>
      </c>
      <c r="I473" s="16" t="n">
        <v>1</v>
      </c>
      <c r="J473" s="16"/>
      <c r="K473" s="14"/>
      <c r="L473" s="14"/>
      <c r="M473" s="14"/>
      <c r="N473" s="14"/>
      <c r="O473" s="14"/>
      <c r="P473" s="18" t="n">
        <f aca="false">IF(N473="",0,IF(OR(M473="",O473=""),N473,(M473+4*N473+O473)/6))</f>
        <v>0</v>
      </c>
      <c r="Q473" s="14"/>
      <c r="R473" s="14"/>
      <c r="S473" s="14"/>
      <c r="T473" s="14"/>
      <c r="U473" s="16"/>
      <c r="V473" s="13"/>
      <c r="W473" s="16" t="s">
        <v>667</v>
      </c>
      <c r="X473" s="16"/>
      <c r="Y473" s="16"/>
      <c r="Z473" s="16"/>
      <c r="AA473" s="22" t="n">
        <f aca="false">IF(F473&lt;&gt;"Y",0,((SUMIF(Products!$E$5:$E$300,A473,Products!$F$5:$F$300)+SUMIF(RM_Lots!$A$5:$A$400,A473,RM_Lots!$D$5:$D$400))+IF(W473="Y",SUMIF(Products!$E$5:$E$300,A473,Products!$G$5:$G$300),0))*(1+N(V473)))</f>
        <v>0</v>
      </c>
      <c r="AB473" s="22" t="n">
        <f aca="false">IF(F473&lt;&gt;"Y",0,((SUMIF(Products!$E$5:$E$300,A473,Products!$K$5:$K$300)+SUMIF(RM_Lots!$A$5:$A$400,A473,RM_Lots!$F$5:$F$400))+IF(W473="Y",SUMIF(Products!$E$5:$E$300,A473,Products!$L$5:$L$300),0))*(1+N(V473)))</f>
        <v>0</v>
      </c>
      <c r="AC473" s="17" t="n">
        <f aca="false">IF(J473="",1,MAX(1,COUNTIFS($J$5:$J$863,J473,$F$5:$F$863,"Y")))</f>
        <v>1</v>
      </c>
      <c r="AD473" s="18" t="n">
        <f aca="false">(MAX(1,N(I473))*(P473+N(S473))+MAX(1,N(I473))*N(K473)/(MAX(1,N(U473))*AC473))*Settings!$B$9</f>
        <v>0</v>
      </c>
      <c r="AE473" s="18" t="n">
        <f aca="false">(MAX(1,N(I473))*N(Q473)+MAX(1,N(I473))*N(L473)/(MAX(1,N(U473))*AC473))*Settings!$B$8</f>
        <v>0</v>
      </c>
      <c r="AF473" s="18" t="n">
        <f aca="false">MAX(1,N(I473))*N(T473)</f>
        <v>0</v>
      </c>
      <c r="AG473" s="15" t="n">
        <f aca="false">AA473*N(AD473)</f>
        <v>0</v>
      </c>
      <c r="AH473" s="15" t="n">
        <f aca="false">AA473*N(AE473)</f>
        <v>0</v>
      </c>
      <c r="AI473" s="15" t="n">
        <f aca="false">AA473*N(AF473)</f>
        <v>0</v>
      </c>
      <c r="AJ473" s="15" t="n">
        <f aca="false">AA473*N(R473)</f>
        <v>0</v>
      </c>
      <c r="AK473" s="15" t="n">
        <f aca="false">AB473*N(AD473)</f>
        <v>0</v>
      </c>
      <c r="AL473" s="15" t="n">
        <f aca="false">AB473*N(AE473)</f>
        <v>0</v>
      </c>
      <c r="AM473" s="15" t="n">
        <f aca="false">AB473*N(AF473)</f>
        <v>0</v>
      </c>
      <c r="AN473" s="15" t="n">
        <f aca="false">AB473*N(R473)</f>
        <v>0</v>
      </c>
      <c r="AO473" s="21" t="str">
        <f aca="false">IF(F473&lt;&gt;"Y","n/a",IF(AND(N473&lt;&gt;"",OR(Q473&lt;&gt;"",G473="Other / bench",G473="None"),U473&lt;&gt;""),"OK","Missing"))</f>
        <v>Missing</v>
      </c>
    </row>
    <row r="474" customFormat="false" ht="15" hidden="false" customHeight="false" outlineLevel="0" collapsed="false">
      <c r="A474" s="10" t="s">
        <v>470</v>
      </c>
      <c r="B474" s="10" t="s">
        <v>740</v>
      </c>
      <c r="C474" s="10" t="s">
        <v>437</v>
      </c>
      <c r="D474" s="10" t="s">
        <v>741</v>
      </c>
      <c r="E474" s="21" t="str">
        <f aca="false">IF(A474="","",A474&amp;"|"&amp;D474)</f>
        <v>Gentian Dry Extract 4:1|Assay + related substances</v>
      </c>
      <c r="F474" s="16" t="s">
        <v>662</v>
      </c>
      <c r="G474" s="16" t="s">
        <v>147</v>
      </c>
      <c r="H474" s="16" t="s">
        <v>663</v>
      </c>
      <c r="I474" s="16" t="n">
        <v>1</v>
      </c>
      <c r="J474" s="16"/>
      <c r="K474" s="14"/>
      <c r="L474" s="14"/>
      <c r="M474" s="14"/>
      <c r="N474" s="14"/>
      <c r="O474" s="14"/>
      <c r="P474" s="18" t="n">
        <f aca="false">IF(N474="",0,IF(OR(M474="",O474=""),N474,(M474+4*N474+O474)/6))</f>
        <v>0</v>
      </c>
      <c r="Q474" s="14"/>
      <c r="R474" s="14"/>
      <c r="S474" s="14"/>
      <c r="T474" s="14"/>
      <c r="U474" s="16"/>
      <c r="V474" s="13"/>
      <c r="W474" s="16" t="s">
        <v>667</v>
      </c>
      <c r="X474" s="16"/>
      <c r="Y474" s="16"/>
      <c r="Z474" s="16"/>
      <c r="AA474" s="22" t="n">
        <f aca="false">IF(F474&lt;&gt;"Y",0,((SUMIF(Products!$E$5:$E$300,A474,Products!$F$5:$F$300)+SUMIF(RM_Lots!$A$5:$A$400,A474,RM_Lots!$D$5:$D$400))+IF(W474="Y",SUMIF(Products!$E$5:$E$300,A474,Products!$G$5:$G$300),0))*(1+N(V474)))</f>
        <v>0</v>
      </c>
      <c r="AB474" s="22" t="n">
        <f aca="false">IF(F474&lt;&gt;"Y",0,((SUMIF(Products!$E$5:$E$300,A474,Products!$K$5:$K$300)+SUMIF(RM_Lots!$A$5:$A$400,A474,RM_Lots!$F$5:$F$400))+IF(W474="Y",SUMIF(Products!$E$5:$E$300,A474,Products!$L$5:$L$300),0))*(1+N(V474)))</f>
        <v>0</v>
      </c>
      <c r="AC474" s="17" t="n">
        <f aca="false">IF(J474="",1,MAX(1,COUNTIFS($J$5:$J$863,J474,$F$5:$F$863,"Y")))</f>
        <v>1</v>
      </c>
      <c r="AD474" s="18" t="n">
        <f aca="false">(MAX(1,N(I474))*(P474+N(S474))+MAX(1,N(I474))*N(K474)/(MAX(1,N(U474))*AC474))*Settings!$B$9</f>
        <v>0</v>
      </c>
      <c r="AE474" s="18" t="n">
        <f aca="false">(MAX(1,N(I474))*N(Q474)+MAX(1,N(I474))*N(L474)/(MAX(1,N(U474))*AC474))*Settings!$B$8</f>
        <v>0</v>
      </c>
      <c r="AF474" s="18" t="n">
        <f aca="false">MAX(1,N(I474))*N(T474)</f>
        <v>0</v>
      </c>
      <c r="AG474" s="15" t="n">
        <f aca="false">AA474*N(AD474)</f>
        <v>0</v>
      </c>
      <c r="AH474" s="15" t="n">
        <f aca="false">AA474*N(AE474)</f>
        <v>0</v>
      </c>
      <c r="AI474" s="15" t="n">
        <f aca="false">AA474*N(AF474)</f>
        <v>0</v>
      </c>
      <c r="AJ474" s="15" t="n">
        <f aca="false">AA474*N(R474)</f>
        <v>0</v>
      </c>
      <c r="AK474" s="15" t="n">
        <f aca="false">AB474*N(AD474)</f>
        <v>0</v>
      </c>
      <c r="AL474" s="15" t="n">
        <f aca="false">AB474*N(AE474)</f>
        <v>0</v>
      </c>
      <c r="AM474" s="15" t="n">
        <f aca="false">AB474*N(AF474)</f>
        <v>0</v>
      </c>
      <c r="AN474" s="15" t="n">
        <f aca="false">AB474*N(R474)</f>
        <v>0</v>
      </c>
      <c r="AO474" s="21" t="str">
        <f aca="false">IF(F474&lt;&gt;"Y","n/a",IF(AND(N474&lt;&gt;"",OR(Q474&lt;&gt;"",G474="Other / bench",G474="None"),U474&lt;&gt;""),"OK","Missing"))</f>
        <v>Missing</v>
      </c>
    </row>
    <row r="475" customFormat="false" ht="15" hidden="false" customHeight="false" outlineLevel="0" collapsed="false">
      <c r="A475" s="10" t="s">
        <v>470</v>
      </c>
      <c r="B475" s="10" t="s">
        <v>740</v>
      </c>
      <c r="C475" s="10" t="s">
        <v>437</v>
      </c>
      <c r="D475" s="10" t="s">
        <v>742</v>
      </c>
      <c r="E475" s="21" t="str">
        <f aca="false">IF(A475="","",A475&amp;"|"&amp;D475)</f>
        <v>Gentian Dry Extract 4:1|Other compendial tests (ID, LOD/KF, heavy metals...)</v>
      </c>
      <c r="F475" s="16" t="s">
        <v>662</v>
      </c>
      <c r="G475" s="16" t="s">
        <v>670</v>
      </c>
      <c r="H475" s="16" t="s">
        <v>672</v>
      </c>
      <c r="I475" s="16" t="n">
        <v>1</v>
      </c>
      <c r="J475" s="16"/>
      <c r="K475" s="14"/>
      <c r="L475" s="14"/>
      <c r="M475" s="14"/>
      <c r="N475" s="14"/>
      <c r="O475" s="14"/>
      <c r="P475" s="18" t="n">
        <f aca="false">IF(N475="",0,IF(OR(M475="",O475=""),N475,(M475+4*N475+O475)/6))</f>
        <v>0</v>
      </c>
      <c r="Q475" s="14"/>
      <c r="R475" s="14"/>
      <c r="S475" s="14"/>
      <c r="T475" s="14"/>
      <c r="U475" s="16"/>
      <c r="V475" s="13"/>
      <c r="W475" s="16" t="s">
        <v>667</v>
      </c>
      <c r="X475" s="16"/>
      <c r="Y475" s="16"/>
      <c r="Z475" s="16"/>
      <c r="AA475" s="22" t="n">
        <f aca="false">IF(F475&lt;&gt;"Y",0,((SUMIF(Products!$E$5:$E$300,A475,Products!$F$5:$F$300)+SUMIF(RM_Lots!$A$5:$A$400,A475,RM_Lots!$D$5:$D$400))+IF(W475="Y",SUMIF(Products!$E$5:$E$300,A475,Products!$G$5:$G$300),0))*(1+N(V475)))</f>
        <v>0</v>
      </c>
      <c r="AB475" s="22" t="n">
        <f aca="false">IF(F475&lt;&gt;"Y",0,((SUMIF(Products!$E$5:$E$300,A475,Products!$K$5:$K$300)+SUMIF(RM_Lots!$A$5:$A$400,A475,RM_Lots!$F$5:$F$400))+IF(W475="Y",SUMIF(Products!$E$5:$E$300,A475,Products!$L$5:$L$300),0))*(1+N(V475)))</f>
        <v>0</v>
      </c>
      <c r="AC475" s="17" t="n">
        <f aca="false">IF(J475="",1,MAX(1,COUNTIFS($J$5:$J$863,J475,$F$5:$F$863,"Y")))</f>
        <v>1</v>
      </c>
      <c r="AD475" s="18" t="n">
        <f aca="false">(MAX(1,N(I475))*(P475+N(S475))+MAX(1,N(I475))*N(K475)/(MAX(1,N(U475))*AC475))*Settings!$B$9</f>
        <v>0</v>
      </c>
      <c r="AE475" s="18" t="n">
        <f aca="false">(MAX(1,N(I475))*N(Q475)+MAX(1,N(I475))*N(L475)/(MAX(1,N(U475))*AC475))*Settings!$B$8</f>
        <v>0</v>
      </c>
      <c r="AF475" s="18" t="n">
        <f aca="false">MAX(1,N(I475))*N(T475)</f>
        <v>0</v>
      </c>
      <c r="AG475" s="15" t="n">
        <f aca="false">AA475*N(AD475)</f>
        <v>0</v>
      </c>
      <c r="AH475" s="15" t="n">
        <f aca="false">AA475*N(AE475)</f>
        <v>0</v>
      </c>
      <c r="AI475" s="15" t="n">
        <f aca="false">AA475*N(AF475)</f>
        <v>0</v>
      </c>
      <c r="AJ475" s="15" t="n">
        <f aca="false">AA475*N(R475)</f>
        <v>0</v>
      </c>
      <c r="AK475" s="15" t="n">
        <f aca="false">AB475*N(AD475)</f>
        <v>0</v>
      </c>
      <c r="AL475" s="15" t="n">
        <f aca="false">AB475*N(AE475)</f>
        <v>0</v>
      </c>
      <c r="AM475" s="15" t="n">
        <f aca="false">AB475*N(AF475)</f>
        <v>0</v>
      </c>
      <c r="AN475" s="15" t="n">
        <f aca="false">AB475*N(R475)</f>
        <v>0</v>
      </c>
      <c r="AO475" s="21" t="str">
        <f aca="false">IF(F475&lt;&gt;"Y","n/a",IF(AND(N475&lt;&gt;"",OR(Q475&lt;&gt;"",G475="Other / bench",G475="None"),U475&lt;&gt;""),"OK","Missing"))</f>
        <v>Missing</v>
      </c>
    </row>
    <row r="476" customFormat="false" ht="15" hidden="false" customHeight="false" outlineLevel="0" collapsed="false">
      <c r="A476" s="10" t="s">
        <v>471</v>
      </c>
      <c r="B476" s="10" t="s">
        <v>740</v>
      </c>
      <c r="C476" s="10" t="s">
        <v>437</v>
      </c>
      <c r="D476" s="10" t="s">
        <v>741</v>
      </c>
      <c r="E476" s="21" t="str">
        <f aca="false">IF(A476="","",A476&amp;"|"&amp;D476)</f>
        <v>Ginger Dry Extract 10:1|Assay + related substances</v>
      </c>
      <c r="F476" s="16" t="s">
        <v>662</v>
      </c>
      <c r="G476" s="16" t="s">
        <v>147</v>
      </c>
      <c r="H476" s="16" t="s">
        <v>663</v>
      </c>
      <c r="I476" s="16" t="n">
        <v>1</v>
      </c>
      <c r="J476" s="16"/>
      <c r="K476" s="14"/>
      <c r="L476" s="14"/>
      <c r="M476" s="14"/>
      <c r="N476" s="14"/>
      <c r="O476" s="14"/>
      <c r="P476" s="18" t="n">
        <f aca="false">IF(N476="",0,IF(OR(M476="",O476=""),N476,(M476+4*N476+O476)/6))</f>
        <v>0</v>
      </c>
      <c r="Q476" s="14"/>
      <c r="R476" s="14"/>
      <c r="S476" s="14"/>
      <c r="T476" s="14"/>
      <c r="U476" s="16"/>
      <c r="V476" s="13"/>
      <c r="W476" s="16" t="s">
        <v>667</v>
      </c>
      <c r="X476" s="16"/>
      <c r="Y476" s="16"/>
      <c r="Z476" s="16"/>
      <c r="AA476" s="22" t="n">
        <f aca="false">IF(F476&lt;&gt;"Y",0,((SUMIF(Products!$E$5:$E$300,A476,Products!$F$5:$F$300)+SUMIF(RM_Lots!$A$5:$A$400,A476,RM_Lots!$D$5:$D$400))+IF(W476="Y",SUMIF(Products!$E$5:$E$300,A476,Products!$G$5:$G$300),0))*(1+N(V476)))</f>
        <v>0</v>
      </c>
      <c r="AB476" s="22" t="n">
        <f aca="false">IF(F476&lt;&gt;"Y",0,((SUMIF(Products!$E$5:$E$300,A476,Products!$K$5:$K$300)+SUMIF(RM_Lots!$A$5:$A$400,A476,RM_Lots!$F$5:$F$400))+IF(W476="Y",SUMIF(Products!$E$5:$E$300,A476,Products!$L$5:$L$300),0))*(1+N(V476)))</f>
        <v>0</v>
      </c>
      <c r="AC476" s="17" t="n">
        <f aca="false">IF(J476="",1,MAX(1,COUNTIFS($J$5:$J$863,J476,$F$5:$F$863,"Y")))</f>
        <v>1</v>
      </c>
      <c r="AD476" s="18" t="n">
        <f aca="false">(MAX(1,N(I476))*(P476+N(S476))+MAX(1,N(I476))*N(K476)/(MAX(1,N(U476))*AC476))*Settings!$B$9</f>
        <v>0</v>
      </c>
      <c r="AE476" s="18" t="n">
        <f aca="false">(MAX(1,N(I476))*N(Q476)+MAX(1,N(I476))*N(L476)/(MAX(1,N(U476))*AC476))*Settings!$B$8</f>
        <v>0</v>
      </c>
      <c r="AF476" s="18" t="n">
        <f aca="false">MAX(1,N(I476))*N(T476)</f>
        <v>0</v>
      </c>
      <c r="AG476" s="15" t="n">
        <f aca="false">AA476*N(AD476)</f>
        <v>0</v>
      </c>
      <c r="AH476" s="15" t="n">
        <f aca="false">AA476*N(AE476)</f>
        <v>0</v>
      </c>
      <c r="AI476" s="15" t="n">
        <f aca="false">AA476*N(AF476)</f>
        <v>0</v>
      </c>
      <c r="AJ476" s="15" t="n">
        <f aca="false">AA476*N(R476)</f>
        <v>0</v>
      </c>
      <c r="AK476" s="15" t="n">
        <f aca="false">AB476*N(AD476)</f>
        <v>0</v>
      </c>
      <c r="AL476" s="15" t="n">
        <f aca="false">AB476*N(AE476)</f>
        <v>0</v>
      </c>
      <c r="AM476" s="15" t="n">
        <f aca="false">AB476*N(AF476)</f>
        <v>0</v>
      </c>
      <c r="AN476" s="15" t="n">
        <f aca="false">AB476*N(R476)</f>
        <v>0</v>
      </c>
      <c r="AO476" s="21" t="str">
        <f aca="false">IF(F476&lt;&gt;"Y","n/a",IF(AND(N476&lt;&gt;"",OR(Q476&lt;&gt;"",G476="Other / bench",G476="None"),U476&lt;&gt;""),"OK","Missing"))</f>
        <v>Missing</v>
      </c>
    </row>
    <row r="477" customFormat="false" ht="15" hidden="false" customHeight="false" outlineLevel="0" collapsed="false">
      <c r="A477" s="10" t="s">
        <v>471</v>
      </c>
      <c r="B477" s="10" t="s">
        <v>740</v>
      </c>
      <c r="C477" s="10" t="s">
        <v>437</v>
      </c>
      <c r="D477" s="10" t="s">
        <v>742</v>
      </c>
      <c r="E477" s="21" t="str">
        <f aca="false">IF(A477="","",A477&amp;"|"&amp;D477)</f>
        <v>Ginger Dry Extract 10:1|Other compendial tests (ID, LOD/KF, heavy metals...)</v>
      </c>
      <c r="F477" s="16" t="s">
        <v>662</v>
      </c>
      <c r="G477" s="16" t="s">
        <v>670</v>
      </c>
      <c r="H477" s="16" t="s">
        <v>672</v>
      </c>
      <c r="I477" s="16" t="n">
        <v>1</v>
      </c>
      <c r="J477" s="16"/>
      <c r="K477" s="14"/>
      <c r="L477" s="14"/>
      <c r="M477" s="14"/>
      <c r="N477" s="14"/>
      <c r="O477" s="14"/>
      <c r="P477" s="18" t="n">
        <f aca="false">IF(N477="",0,IF(OR(M477="",O477=""),N477,(M477+4*N477+O477)/6))</f>
        <v>0</v>
      </c>
      <c r="Q477" s="14"/>
      <c r="R477" s="14"/>
      <c r="S477" s="14"/>
      <c r="T477" s="14"/>
      <c r="U477" s="16"/>
      <c r="V477" s="13"/>
      <c r="W477" s="16" t="s">
        <v>667</v>
      </c>
      <c r="X477" s="16"/>
      <c r="Y477" s="16"/>
      <c r="Z477" s="16"/>
      <c r="AA477" s="22" t="n">
        <f aca="false">IF(F477&lt;&gt;"Y",0,((SUMIF(Products!$E$5:$E$300,A477,Products!$F$5:$F$300)+SUMIF(RM_Lots!$A$5:$A$400,A477,RM_Lots!$D$5:$D$400))+IF(W477="Y",SUMIF(Products!$E$5:$E$300,A477,Products!$G$5:$G$300),0))*(1+N(V477)))</f>
        <v>0</v>
      </c>
      <c r="AB477" s="22" t="n">
        <f aca="false">IF(F477&lt;&gt;"Y",0,((SUMIF(Products!$E$5:$E$300,A477,Products!$K$5:$K$300)+SUMIF(RM_Lots!$A$5:$A$400,A477,RM_Lots!$F$5:$F$400))+IF(W477="Y",SUMIF(Products!$E$5:$E$300,A477,Products!$L$5:$L$300),0))*(1+N(V477)))</f>
        <v>0</v>
      </c>
      <c r="AC477" s="17" t="n">
        <f aca="false">IF(J477="",1,MAX(1,COUNTIFS($J$5:$J$863,J477,$F$5:$F$863,"Y")))</f>
        <v>1</v>
      </c>
      <c r="AD477" s="18" t="n">
        <f aca="false">(MAX(1,N(I477))*(P477+N(S477))+MAX(1,N(I477))*N(K477)/(MAX(1,N(U477))*AC477))*Settings!$B$9</f>
        <v>0</v>
      </c>
      <c r="AE477" s="18" t="n">
        <f aca="false">(MAX(1,N(I477))*N(Q477)+MAX(1,N(I477))*N(L477)/(MAX(1,N(U477))*AC477))*Settings!$B$8</f>
        <v>0</v>
      </c>
      <c r="AF477" s="18" t="n">
        <f aca="false">MAX(1,N(I477))*N(T477)</f>
        <v>0</v>
      </c>
      <c r="AG477" s="15" t="n">
        <f aca="false">AA477*N(AD477)</f>
        <v>0</v>
      </c>
      <c r="AH477" s="15" t="n">
        <f aca="false">AA477*N(AE477)</f>
        <v>0</v>
      </c>
      <c r="AI477" s="15" t="n">
        <f aca="false">AA477*N(AF477)</f>
        <v>0</v>
      </c>
      <c r="AJ477" s="15" t="n">
        <f aca="false">AA477*N(R477)</f>
        <v>0</v>
      </c>
      <c r="AK477" s="15" t="n">
        <f aca="false">AB477*N(AD477)</f>
        <v>0</v>
      </c>
      <c r="AL477" s="15" t="n">
        <f aca="false">AB477*N(AE477)</f>
        <v>0</v>
      </c>
      <c r="AM477" s="15" t="n">
        <f aca="false">AB477*N(AF477)</f>
        <v>0</v>
      </c>
      <c r="AN477" s="15" t="n">
        <f aca="false">AB477*N(R477)</f>
        <v>0</v>
      </c>
      <c r="AO477" s="21" t="str">
        <f aca="false">IF(F477&lt;&gt;"Y","n/a",IF(AND(N477&lt;&gt;"",OR(Q477&lt;&gt;"",G477="Other / bench",G477="None"),U477&lt;&gt;""),"OK","Missing"))</f>
        <v>Missing</v>
      </c>
    </row>
    <row r="478" customFormat="false" ht="15" hidden="false" customHeight="false" outlineLevel="0" collapsed="false">
      <c r="A478" s="10" t="s">
        <v>472</v>
      </c>
      <c r="B478" s="10" t="s">
        <v>740</v>
      </c>
      <c r="C478" s="10" t="s">
        <v>437</v>
      </c>
      <c r="D478" s="10" t="s">
        <v>741</v>
      </c>
      <c r="E478" s="21" t="str">
        <f aca="false">IF(A478="","",A478&amp;"|"&amp;D478)</f>
        <v>Ginger Dry Extract 5:1|Assay + related substances</v>
      </c>
      <c r="F478" s="16" t="s">
        <v>662</v>
      </c>
      <c r="G478" s="16" t="s">
        <v>147</v>
      </c>
      <c r="H478" s="16" t="s">
        <v>663</v>
      </c>
      <c r="I478" s="16" t="n">
        <v>1</v>
      </c>
      <c r="J478" s="16"/>
      <c r="K478" s="14"/>
      <c r="L478" s="14"/>
      <c r="M478" s="14"/>
      <c r="N478" s="14"/>
      <c r="O478" s="14"/>
      <c r="P478" s="18" t="n">
        <f aca="false">IF(N478="",0,IF(OR(M478="",O478=""),N478,(M478+4*N478+O478)/6))</f>
        <v>0</v>
      </c>
      <c r="Q478" s="14"/>
      <c r="R478" s="14"/>
      <c r="S478" s="14"/>
      <c r="T478" s="14"/>
      <c r="U478" s="16"/>
      <c r="V478" s="13"/>
      <c r="W478" s="16" t="s">
        <v>667</v>
      </c>
      <c r="X478" s="16"/>
      <c r="Y478" s="16"/>
      <c r="Z478" s="16"/>
      <c r="AA478" s="22" t="n">
        <f aca="false">IF(F478&lt;&gt;"Y",0,((SUMIF(Products!$E$5:$E$300,A478,Products!$F$5:$F$300)+SUMIF(RM_Lots!$A$5:$A$400,A478,RM_Lots!$D$5:$D$400))+IF(W478="Y",SUMIF(Products!$E$5:$E$300,A478,Products!$G$5:$G$300),0))*(1+N(V478)))</f>
        <v>0</v>
      </c>
      <c r="AB478" s="22" t="n">
        <f aca="false">IF(F478&lt;&gt;"Y",0,((SUMIF(Products!$E$5:$E$300,A478,Products!$K$5:$K$300)+SUMIF(RM_Lots!$A$5:$A$400,A478,RM_Lots!$F$5:$F$400))+IF(W478="Y",SUMIF(Products!$E$5:$E$300,A478,Products!$L$5:$L$300),0))*(1+N(V478)))</f>
        <v>0</v>
      </c>
      <c r="AC478" s="17" t="n">
        <f aca="false">IF(J478="",1,MAX(1,COUNTIFS($J$5:$J$863,J478,$F$5:$F$863,"Y")))</f>
        <v>1</v>
      </c>
      <c r="AD478" s="18" t="n">
        <f aca="false">(MAX(1,N(I478))*(P478+N(S478))+MAX(1,N(I478))*N(K478)/(MAX(1,N(U478))*AC478))*Settings!$B$9</f>
        <v>0</v>
      </c>
      <c r="AE478" s="18" t="n">
        <f aca="false">(MAX(1,N(I478))*N(Q478)+MAX(1,N(I478))*N(L478)/(MAX(1,N(U478))*AC478))*Settings!$B$8</f>
        <v>0</v>
      </c>
      <c r="AF478" s="18" t="n">
        <f aca="false">MAX(1,N(I478))*N(T478)</f>
        <v>0</v>
      </c>
      <c r="AG478" s="15" t="n">
        <f aca="false">AA478*N(AD478)</f>
        <v>0</v>
      </c>
      <c r="AH478" s="15" t="n">
        <f aca="false">AA478*N(AE478)</f>
        <v>0</v>
      </c>
      <c r="AI478" s="15" t="n">
        <f aca="false">AA478*N(AF478)</f>
        <v>0</v>
      </c>
      <c r="AJ478" s="15" t="n">
        <f aca="false">AA478*N(R478)</f>
        <v>0</v>
      </c>
      <c r="AK478" s="15" t="n">
        <f aca="false">AB478*N(AD478)</f>
        <v>0</v>
      </c>
      <c r="AL478" s="15" t="n">
        <f aca="false">AB478*N(AE478)</f>
        <v>0</v>
      </c>
      <c r="AM478" s="15" t="n">
        <f aca="false">AB478*N(AF478)</f>
        <v>0</v>
      </c>
      <c r="AN478" s="15" t="n">
        <f aca="false">AB478*N(R478)</f>
        <v>0</v>
      </c>
      <c r="AO478" s="21" t="str">
        <f aca="false">IF(F478&lt;&gt;"Y","n/a",IF(AND(N478&lt;&gt;"",OR(Q478&lt;&gt;"",G478="Other / bench",G478="None"),U478&lt;&gt;""),"OK","Missing"))</f>
        <v>Missing</v>
      </c>
    </row>
    <row r="479" customFormat="false" ht="15" hidden="false" customHeight="false" outlineLevel="0" collapsed="false">
      <c r="A479" s="10" t="s">
        <v>472</v>
      </c>
      <c r="B479" s="10" t="s">
        <v>740</v>
      </c>
      <c r="C479" s="10" t="s">
        <v>437</v>
      </c>
      <c r="D479" s="10" t="s">
        <v>742</v>
      </c>
      <c r="E479" s="21" t="str">
        <f aca="false">IF(A479="","",A479&amp;"|"&amp;D479)</f>
        <v>Ginger Dry Extract 5:1|Other compendial tests (ID, LOD/KF, heavy metals...)</v>
      </c>
      <c r="F479" s="16" t="s">
        <v>662</v>
      </c>
      <c r="G479" s="16" t="s">
        <v>670</v>
      </c>
      <c r="H479" s="16" t="s">
        <v>672</v>
      </c>
      <c r="I479" s="16" t="n">
        <v>1</v>
      </c>
      <c r="J479" s="16"/>
      <c r="K479" s="14"/>
      <c r="L479" s="14"/>
      <c r="M479" s="14"/>
      <c r="N479" s="14"/>
      <c r="O479" s="14"/>
      <c r="P479" s="18" t="n">
        <f aca="false">IF(N479="",0,IF(OR(M479="",O479=""),N479,(M479+4*N479+O479)/6))</f>
        <v>0</v>
      </c>
      <c r="Q479" s="14"/>
      <c r="R479" s="14"/>
      <c r="S479" s="14"/>
      <c r="T479" s="14"/>
      <c r="U479" s="16"/>
      <c r="V479" s="13"/>
      <c r="W479" s="16" t="s">
        <v>667</v>
      </c>
      <c r="X479" s="16"/>
      <c r="Y479" s="16"/>
      <c r="Z479" s="16"/>
      <c r="AA479" s="22" t="n">
        <f aca="false">IF(F479&lt;&gt;"Y",0,((SUMIF(Products!$E$5:$E$300,A479,Products!$F$5:$F$300)+SUMIF(RM_Lots!$A$5:$A$400,A479,RM_Lots!$D$5:$D$400))+IF(W479="Y",SUMIF(Products!$E$5:$E$300,A479,Products!$G$5:$G$300),0))*(1+N(V479)))</f>
        <v>0</v>
      </c>
      <c r="AB479" s="22" t="n">
        <f aca="false">IF(F479&lt;&gt;"Y",0,((SUMIF(Products!$E$5:$E$300,A479,Products!$K$5:$K$300)+SUMIF(RM_Lots!$A$5:$A$400,A479,RM_Lots!$F$5:$F$400))+IF(W479="Y",SUMIF(Products!$E$5:$E$300,A479,Products!$L$5:$L$300),0))*(1+N(V479)))</f>
        <v>0</v>
      </c>
      <c r="AC479" s="17" t="n">
        <f aca="false">IF(J479="",1,MAX(1,COUNTIFS($J$5:$J$863,J479,$F$5:$F$863,"Y")))</f>
        <v>1</v>
      </c>
      <c r="AD479" s="18" t="n">
        <f aca="false">(MAX(1,N(I479))*(P479+N(S479))+MAX(1,N(I479))*N(K479)/(MAX(1,N(U479))*AC479))*Settings!$B$9</f>
        <v>0</v>
      </c>
      <c r="AE479" s="18" t="n">
        <f aca="false">(MAX(1,N(I479))*N(Q479)+MAX(1,N(I479))*N(L479)/(MAX(1,N(U479))*AC479))*Settings!$B$8</f>
        <v>0</v>
      </c>
      <c r="AF479" s="18" t="n">
        <f aca="false">MAX(1,N(I479))*N(T479)</f>
        <v>0</v>
      </c>
      <c r="AG479" s="15" t="n">
        <f aca="false">AA479*N(AD479)</f>
        <v>0</v>
      </c>
      <c r="AH479" s="15" t="n">
        <f aca="false">AA479*N(AE479)</f>
        <v>0</v>
      </c>
      <c r="AI479" s="15" t="n">
        <f aca="false">AA479*N(AF479)</f>
        <v>0</v>
      </c>
      <c r="AJ479" s="15" t="n">
        <f aca="false">AA479*N(R479)</f>
        <v>0</v>
      </c>
      <c r="AK479" s="15" t="n">
        <f aca="false">AB479*N(AD479)</f>
        <v>0</v>
      </c>
      <c r="AL479" s="15" t="n">
        <f aca="false">AB479*N(AE479)</f>
        <v>0</v>
      </c>
      <c r="AM479" s="15" t="n">
        <f aca="false">AB479*N(AF479)</f>
        <v>0</v>
      </c>
      <c r="AN479" s="15" t="n">
        <f aca="false">AB479*N(R479)</f>
        <v>0</v>
      </c>
      <c r="AO479" s="21" t="str">
        <f aca="false">IF(F479&lt;&gt;"Y","n/a",IF(AND(N479&lt;&gt;"",OR(Q479&lt;&gt;"",G479="Other / bench",G479="None"),U479&lt;&gt;""),"OK","Missing"))</f>
        <v>Missing</v>
      </c>
    </row>
    <row r="480" customFormat="false" ht="15" hidden="false" customHeight="false" outlineLevel="0" collapsed="false">
      <c r="A480" s="10" t="s">
        <v>473</v>
      </c>
      <c r="B480" s="10" t="s">
        <v>740</v>
      </c>
      <c r="C480" s="10" t="s">
        <v>437</v>
      </c>
      <c r="D480" s="10" t="s">
        <v>741</v>
      </c>
      <c r="E480" s="21" t="str">
        <f aca="false">IF(A480="","",A480&amp;"|"&amp;D480)</f>
        <v>Ginkgo Biloba Leaf Dry Extract 50:1|Assay + related substances</v>
      </c>
      <c r="F480" s="16" t="s">
        <v>662</v>
      </c>
      <c r="G480" s="16" t="s">
        <v>147</v>
      </c>
      <c r="H480" s="16" t="s">
        <v>663</v>
      </c>
      <c r="I480" s="16" t="n">
        <v>1</v>
      </c>
      <c r="J480" s="16"/>
      <c r="K480" s="14"/>
      <c r="L480" s="14"/>
      <c r="M480" s="14"/>
      <c r="N480" s="14"/>
      <c r="O480" s="14"/>
      <c r="P480" s="18" t="n">
        <f aca="false">IF(N480="",0,IF(OR(M480="",O480=""),N480,(M480+4*N480+O480)/6))</f>
        <v>0</v>
      </c>
      <c r="Q480" s="14"/>
      <c r="R480" s="14"/>
      <c r="S480" s="14"/>
      <c r="T480" s="14"/>
      <c r="U480" s="16"/>
      <c r="V480" s="13"/>
      <c r="W480" s="16" t="s">
        <v>667</v>
      </c>
      <c r="X480" s="16"/>
      <c r="Y480" s="16"/>
      <c r="Z480" s="16"/>
      <c r="AA480" s="22" t="n">
        <f aca="false">IF(F480&lt;&gt;"Y",0,((SUMIF(Products!$E$5:$E$300,A480,Products!$F$5:$F$300)+SUMIF(RM_Lots!$A$5:$A$400,A480,RM_Lots!$D$5:$D$400))+IF(W480="Y",SUMIF(Products!$E$5:$E$300,A480,Products!$G$5:$G$300),0))*(1+N(V480)))</f>
        <v>0</v>
      </c>
      <c r="AB480" s="22" t="n">
        <f aca="false">IF(F480&lt;&gt;"Y",0,((SUMIF(Products!$E$5:$E$300,A480,Products!$K$5:$K$300)+SUMIF(RM_Lots!$A$5:$A$400,A480,RM_Lots!$F$5:$F$400))+IF(W480="Y",SUMIF(Products!$E$5:$E$300,A480,Products!$L$5:$L$300),0))*(1+N(V480)))</f>
        <v>0</v>
      </c>
      <c r="AC480" s="17" t="n">
        <f aca="false">IF(J480="",1,MAX(1,COUNTIFS($J$5:$J$863,J480,$F$5:$F$863,"Y")))</f>
        <v>1</v>
      </c>
      <c r="AD480" s="18" t="n">
        <f aca="false">(MAX(1,N(I480))*(P480+N(S480))+MAX(1,N(I480))*N(K480)/(MAX(1,N(U480))*AC480))*Settings!$B$9</f>
        <v>0</v>
      </c>
      <c r="AE480" s="18" t="n">
        <f aca="false">(MAX(1,N(I480))*N(Q480)+MAX(1,N(I480))*N(L480)/(MAX(1,N(U480))*AC480))*Settings!$B$8</f>
        <v>0</v>
      </c>
      <c r="AF480" s="18" t="n">
        <f aca="false">MAX(1,N(I480))*N(T480)</f>
        <v>0</v>
      </c>
      <c r="AG480" s="15" t="n">
        <f aca="false">AA480*N(AD480)</f>
        <v>0</v>
      </c>
      <c r="AH480" s="15" t="n">
        <f aca="false">AA480*N(AE480)</f>
        <v>0</v>
      </c>
      <c r="AI480" s="15" t="n">
        <f aca="false">AA480*N(AF480)</f>
        <v>0</v>
      </c>
      <c r="AJ480" s="15" t="n">
        <f aca="false">AA480*N(R480)</f>
        <v>0</v>
      </c>
      <c r="AK480" s="15" t="n">
        <f aca="false">AB480*N(AD480)</f>
        <v>0</v>
      </c>
      <c r="AL480" s="15" t="n">
        <f aca="false">AB480*N(AE480)</f>
        <v>0</v>
      </c>
      <c r="AM480" s="15" t="n">
        <f aca="false">AB480*N(AF480)</f>
        <v>0</v>
      </c>
      <c r="AN480" s="15" t="n">
        <f aca="false">AB480*N(R480)</f>
        <v>0</v>
      </c>
      <c r="AO480" s="21" t="str">
        <f aca="false">IF(F480&lt;&gt;"Y","n/a",IF(AND(N480&lt;&gt;"",OR(Q480&lt;&gt;"",G480="Other / bench",G480="None"),U480&lt;&gt;""),"OK","Missing"))</f>
        <v>Missing</v>
      </c>
    </row>
    <row r="481" customFormat="false" ht="15" hidden="false" customHeight="false" outlineLevel="0" collapsed="false">
      <c r="A481" s="10" t="s">
        <v>473</v>
      </c>
      <c r="B481" s="10" t="s">
        <v>740</v>
      </c>
      <c r="C481" s="10" t="s">
        <v>437</v>
      </c>
      <c r="D481" s="10" t="s">
        <v>742</v>
      </c>
      <c r="E481" s="21" t="str">
        <f aca="false">IF(A481="","",A481&amp;"|"&amp;D481)</f>
        <v>Ginkgo Biloba Leaf Dry Extract 50:1|Other compendial tests (ID, LOD/KF, heavy metals...)</v>
      </c>
      <c r="F481" s="16" t="s">
        <v>662</v>
      </c>
      <c r="G481" s="16" t="s">
        <v>670</v>
      </c>
      <c r="H481" s="16" t="s">
        <v>672</v>
      </c>
      <c r="I481" s="16" t="n">
        <v>1</v>
      </c>
      <c r="J481" s="16"/>
      <c r="K481" s="14"/>
      <c r="L481" s="14"/>
      <c r="M481" s="14"/>
      <c r="N481" s="14"/>
      <c r="O481" s="14"/>
      <c r="P481" s="18" t="n">
        <f aca="false">IF(N481="",0,IF(OR(M481="",O481=""),N481,(M481+4*N481+O481)/6))</f>
        <v>0</v>
      </c>
      <c r="Q481" s="14"/>
      <c r="R481" s="14"/>
      <c r="S481" s="14"/>
      <c r="T481" s="14"/>
      <c r="U481" s="16"/>
      <c r="V481" s="13"/>
      <c r="W481" s="16" t="s">
        <v>667</v>
      </c>
      <c r="X481" s="16"/>
      <c r="Y481" s="16"/>
      <c r="Z481" s="16"/>
      <c r="AA481" s="22" t="n">
        <f aca="false">IF(F481&lt;&gt;"Y",0,((SUMIF(Products!$E$5:$E$300,A481,Products!$F$5:$F$300)+SUMIF(RM_Lots!$A$5:$A$400,A481,RM_Lots!$D$5:$D$400))+IF(W481="Y",SUMIF(Products!$E$5:$E$300,A481,Products!$G$5:$G$300),0))*(1+N(V481)))</f>
        <v>0</v>
      </c>
      <c r="AB481" s="22" t="n">
        <f aca="false">IF(F481&lt;&gt;"Y",0,((SUMIF(Products!$E$5:$E$300,A481,Products!$K$5:$K$300)+SUMIF(RM_Lots!$A$5:$A$400,A481,RM_Lots!$F$5:$F$400))+IF(W481="Y",SUMIF(Products!$E$5:$E$300,A481,Products!$L$5:$L$300),0))*(1+N(V481)))</f>
        <v>0</v>
      </c>
      <c r="AC481" s="17" t="n">
        <f aca="false">IF(J481="",1,MAX(1,COUNTIFS($J$5:$J$863,J481,$F$5:$F$863,"Y")))</f>
        <v>1</v>
      </c>
      <c r="AD481" s="18" t="n">
        <f aca="false">(MAX(1,N(I481))*(P481+N(S481))+MAX(1,N(I481))*N(K481)/(MAX(1,N(U481))*AC481))*Settings!$B$9</f>
        <v>0</v>
      </c>
      <c r="AE481" s="18" t="n">
        <f aca="false">(MAX(1,N(I481))*N(Q481)+MAX(1,N(I481))*N(L481)/(MAX(1,N(U481))*AC481))*Settings!$B$8</f>
        <v>0</v>
      </c>
      <c r="AF481" s="18" t="n">
        <f aca="false">MAX(1,N(I481))*N(T481)</f>
        <v>0</v>
      </c>
      <c r="AG481" s="15" t="n">
        <f aca="false">AA481*N(AD481)</f>
        <v>0</v>
      </c>
      <c r="AH481" s="15" t="n">
        <f aca="false">AA481*N(AE481)</f>
        <v>0</v>
      </c>
      <c r="AI481" s="15" t="n">
        <f aca="false">AA481*N(AF481)</f>
        <v>0</v>
      </c>
      <c r="AJ481" s="15" t="n">
        <f aca="false">AA481*N(R481)</f>
        <v>0</v>
      </c>
      <c r="AK481" s="15" t="n">
        <f aca="false">AB481*N(AD481)</f>
        <v>0</v>
      </c>
      <c r="AL481" s="15" t="n">
        <f aca="false">AB481*N(AE481)</f>
        <v>0</v>
      </c>
      <c r="AM481" s="15" t="n">
        <f aca="false">AB481*N(AF481)</f>
        <v>0</v>
      </c>
      <c r="AN481" s="15" t="n">
        <f aca="false">AB481*N(R481)</f>
        <v>0</v>
      </c>
      <c r="AO481" s="21" t="str">
        <f aca="false">IF(F481&lt;&gt;"Y","n/a",IF(AND(N481&lt;&gt;"",OR(Q481&lt;&gt;"",G481="Other / bench",G481="None"),U481&lt;&gt;""),"OK","Missing"))</f>
        <v>Missing</v>
      </c>
    </row>
    <row r="482" customFormat="false" ht="15" hidden="false" customHeight="false" outlineLevel="0" collapsed="false">
      <c r="A482" s="10" t="s">
        <v>474</v>
      </c>
      <c r="B482" s="10" t="s">
        <v>740</v>
      </c>
      <c r="C482" s="10" t="s">
        <v>437</v>
      </c>
      <c r="D482" s="10" t="s">
        <v>741</v>
      </c>
      <c r="E482" s="21" t="str">
        <f aca="false">IF(A482="","",A482&amp;"|"&amp;D482)</f>
        <v>Ginseng Panax|Assay + related substances</v>
      </c>
      <c r="F482" s="16" t="s">
        <v>662</v>
      </c>
      <c r="G482" s="16" t="s">
        <v>147</v>
      </c>
      <c r="H482" s="16" t="s">
        <v>663</v>
      </c>
      <c r="I482" s="16" t="n">
        <v>1</v>
      </c>
      <c r="J482" s="16"/>
      <c r="K482" s="14"/>
      <c r="L482" s="14"/>
      <c r="M482" s="14"/>
      <c r="N482" s="14"/>
      <c r="O482" s="14"/>
      <c r="P482" s="18" t="n">
        <f aca="false">IF(N482="",0,IF(OR(M482="",O482=""),N482,(M482+4*N482+O482)/6))</f>
        <v>0</v>
      </c>
      <c r="Q482" s="14"/>
      <c r="R482" s="14"/>
      <c r="S482" s="14"/>
      <c r="T482" s="14"/>
      <c r="U482" s="16"/>
      <c r="V482" s="13"/>
      <c r="W482" s="16" t="s">
        <v>667</v>
      </c>
      <c r="X482" s="16"/>
      <c r="Y482" s="16"/>
      <c r="Z482" s="16"/>
      <c r="AA482" s="22" t="n">
        <f aca="false">IF(F482&lt;&gt;"Y",0,((SUMIF(Products!$E$5:$E$300,A482,Products!$F$5:$F$300)+SUMIF(RM_Lots!$A$5:$A$400,A482,RM_Lots!$D$5:$D$400))+IF(W482="Y",SUMIF(Products!$E$5:$E$300,A482,Products!$G$5:$G$300),0))*(1+N(V482)))</f>
        <v>0</v>
      </c>
      <c r="AB482" s="22" t="n">
        <f aca="false">IF(F482&lt;&gt;"Y",0,((SUMIF(Products!$E$5:$E$300,A482,Products!$K$5:$K$300)+SUMIF(RM_Lots!$A$5:$A$400,A482,RM_Lots!$F$5:$F$400))+IF(W482="Y",SUMIF(Products!$E$5:$E$300,A482,Products!$L$5:$L$300),0))*(1+N(V482)))</f>
        <v>0</v>
      </c>
      <c r="AC482" s="17" t="n">
        <f aca="false">IF(J482="",1,MAX(1,COUNTIFS($J$5:$J$863,J482,$F$5:$F$863,"Y")))</f>
        <v>1</v>
      </c>
      <c r="AD482" s="18" t="n">
        <f aca="false">(MAX(1,N(I482))*(P482+N(S482))+MAX(1,N(I482))*N(K482)/(MAX(1,N(U482))*AC482))*Settings!$B$9</f>
        <v>0</v>
      </c>
      <c r="AE482" s="18" t="n">
        <f aca="false">(MAX(1,N(I482))*N(Q482)+MAX(1,N(I482))*N(L482)/(MAX(1,N(U482))*AC482))*Settings!$B$8</f>
        <v>0</v>
      </c>
      <c r="AF482" s="18" t="n">
        <f aca="false">MAX(1,N(I482))*N(T482)</f>
        <v>0</v>
      </c>
      <c r="AG482" s="15" t="n">
        <f aca="false">AA482*N(AD482)</f>
        <v>0</v>
      </c>
      <c r="AH482" s="15" t="n">
        <f aca="false">AA482*N(AE482)</f>
        <v>0</v>
      </c>
      <c r="AI482" s="15" t="n">
        <f aca="false">AA482*N(AF482)</f>
        <v>0</v>
      </c>
      <c r="AJ482" s="15" t="n">
        <f aca="false">AA482*N(R482)</f>
        <v>0</v>
      </c>
      <c r="AK482" s="15" t="n">
        <f aca="false">AB482*N(AD482)</f>
        <v>0</v>
      </c>
      <c r="AL482" s="15" t="n">
        <f aca="false">AB482*N(AE482)</f>
        <v>0</v>
      </c>
      <c r="AM482" s="15" t="n">
        <f aca="false">AB482*N(AF482)</f>
        <v>0</v>
      </c>
      <c r="AN482" s="15" t="n">
        <f aca="false">AB482*N(R482)</f>
        <v>0</v>
      </c>
      <c r="AO482" s="21" t="str">
        <f aca="false">IF(F482&lt;&gt;"Y","n/a",IF(AND(N482&lt;&gt;"",OR(Q482&lt;&gt;"",G482="Other / bench",G482="None"),U482&lt;&gt;""),"OK","Missing"))</f>
        <v>Missing</v>
      </c>
    </row>
    <row r="483" customFormat="false" ht="15" hidden="false" customHeight="false" outlineLevel="0" collapsed="false">
      <c r="A483" s="10" t="s">
        <v>474</v>
      </c>
      <c r="B483" s="10" t="s">
        <v>740</v>
      </c>
      <c r="C483" s="10" t="s">
        <v>437</v>
      </c>
      <c r="D483" s="10" t="s">
        <v>742</v>
      </c>
      <c r="E483" s="21" t="str">
        <f aca="false">IF(A483="","",A483&amp;"|"&amp;D483)</f>
        <v>Ginseng Panax|Other compendial tests (ID, LOD/KF, heavy metals...)</v>
      </c>
      <c r="F483" s="16" t="s">
        <v>662</v>
      </c>
      <c r="G483" s="16" t="s">
        <v>670</v>
      </c>
      <c r="H483" s="16" t="s">
        <v>672</v>
      </c>
      <c r="I483" s="16" t="n">
        <v>1</v>
      </c>
      <c r="J483" s="16"/>
      <c r="K483" s="14"/>
      <c r="L483" s="14"/>
      <c r="M483" s="14"/>
      <c r="N483" s="14"/>
      <c r="O483" s="14"/>
      <c r="P483" s="18" t="n">
        <f aca="false">IF(N483="",0,IF(OR(M483="",O483=""),N483,(M483+4*N483+O483)/6))</f>
        <v>0</v>
      </c>
      <c r="Q483" s="14"/>
      <c r="R483" s="14"/>
      <c r="S483" s="14"/>
      <c r="T483" s="14"/>
      <c r="U483" s="16"/>
      <c r="V483" s="13"/>
      <c r="W483" s="16" t="s">
        <v>667</v>
      </c>
      <c r="X483" s="16"/>
      <c r="Y483" s="16"/>
      <c r="Z483" s="16"/>
      <c r="AA483" s="22" t="n">
        <f aca="false">IF(F483&lt;&gt;"Y",0,((SUMIF(Products!$E$5:$E$300,A483,Products!$F$5:$F$300)+SUMIF(RM_Lots!$A$5:$A$400,A483,RM_Lots!$D$5:$D$400))+IF(W483="Y",SUMIF(Products!$E$5:$E$300,A483,Products!$G$5:$G$300),0))*(1+N(V483)))</f>
        <v>0</v>
      </c>
      <c r="AB483" s="22" t="n">
        <f aca="false">IF(F483&lt;&gt;"Y",0,((SUMIF(Products!$E$5:$E$300,A483,Products!$K$5:$K$300)+SUMIF(RM_Lots!$A$5:$A$400,A483,RM_Lots!$F$5:$F$400))+IF(W483="Y",SUMIF(Products!$E$5:$E$300,A483,Products!$L$5:$L$300),0))*(1+N(V483)))</f>
        <v>0</v>
      </c>
      <c r="AC483" s="17" t="n">
        <f aca="false">IF(J483="",1,MAX(1,COUNTIFS($J$5:$J$863,J483,$F$5:$F$863,"Y")))</f>
        <v>1</v>
      </c>
      <c r="AD483" s="18" t="n">
        <f aca="false">(MAX(1,N(I483))*(P483+N(S483))+MAX(1,N(I483))*N(K483)/(MAX(1,N(U483))*AC483))*Settings!$B$9</f>
        <v>0</v>
      </c>
      <c r="AE483" s="18" t="n">
        <f aca="false">(MAX(1,N(I483))*N(Q483)+MAX(1,N(I483))*N(L483)/(MAX(1,N(U483))*AC483))*Settings!$B$8</f>
        <v>0</v>
      </c>
      <c r="AF483" s="18" t="n">
        <f aca="false">MAX(1,N(I483))*N(T483)</f>
        <v>0</v>
      </c>
      <c r="AG483" s="15" t="n">
        <f aca="false">AA483*N(AD483)</f>
        <v>0</v>
      </c>
      <c r="AH483" s="15" t="n">
        <f aca="false">AA483*N(AE483)</f>
        <v>0</v>
      </c>
      <c r="AI483" s="15" t="n">
        <f aca="false">AA483*N(AF483)</f>
        <v>0</v>
      </c>
      <c r="AJ483" s="15" t="n">
        <f aca="false">AA483*N(R483)</f>
        <v>0</v>
      </c>
      <c r="AK483" s="15" t="n">
        <f aca="false">AB483*N(AD483)</f>
        <v>0</v>
      </c>
      <c r="AL483" s="15" t="n">
        <f aca="false">AB483*N(AE483)</f>
        <v>0</v>
      </c>
      <c r="AM483" s="15" t="n">
        <f aca="false">AB483*N(AF483)</f>
        <v>0</v>
      </c>
      <c r="AN483" s="15" t="n">
        <f aca="false">AB483*N(R483)</f>
        <v>0</v>
      </c>
      <c r="AO483" s="21" t="str">
        <f aca="false">IF(F483&lt;&gt;"Y","n/a",IF(AND(N483&lt;&gt;"",OR(Q483&lt;&gt;"",G483="Other / bench",G483="None"),U483&lt;&gt;""),"OK","Missing"))</f>
        <v>Missing</v>
      </c>
    </row>
    <row r="484" customFormat="false" ht="15" hidden="false" customHeight="false" outlineLevel="0" collapsed="false">
      <c r="A484" s="10" t="s">
        <v>475</v>
      </c>
      <c r="B484" s="10" t="s">
        <v>740</v>
      </c>
      <c r="C484" s="10" t="s">
        <v>437</v>
      </c>
      <c r="D484" s="10" t="s">
        <v>741</v>
      </c>
      <c r="E484" s="21" t="str">
        <f aca="false">IF(A484="","",A484&amp;"|"&amp;D484)</f>
        <v>Gymnema Sylvestre Leaf Dry Extract 10:1|Assay + related substances</v>
      </c>
      <c r="F484" s="16" t="s">
        <v>662</v>
      </c>
      <c r="G484" s="16" t="s">
        <v>147</v>
      </c>
      <c r="H484" s="16" t="s">
        <v>663</v>
      </c>
      <c r="I484" s="16" t="n">
        <v>1</v>
      </c>
      <c r="J484" s="16"/>
      <c r="K484" s="14"/>
      <c r="L484" s="14"/>
      <c r="M484" s="14"/>
      <c r="N484" s="14"/>
      <c r="O484" s="14"/>
      <c r="P484" s="18" t="n">
        <f aca="false">IF(N484="",0,IF(OR(M484="",O484=""),N484,(M484+4*N484+O484)/6))</f>
        <v>0</v>
      </c>
      <c r="Q484" s="14"/>
      <c r="R484" s="14"/>
      <c r="S484" s="14"/>
      <c r="T484" s="14"/>
      <c r="U484" s="16"/>
      <c r="V484" s="13"/>
      <c r="W484" s="16" t="s">
        <v>667</v>
      </c>
      <c r="X484" s="16"/>
      <c r="Y484" s="16"/>
      <c r="Z484" s="16"/>
      <c r="AA484" s="22" t="n">
        <f aca="false">IF(F484&lt;&gt;"Y",0,((SUMIF(Products!$E$5:$E$300,A484,Products!$F$5:$F$300)+SUMIF(RM_Lots!$A$5:$A$400,A484,RM_Lots!$D$5:$D$400))+IF(W484="Y",SUMIF(Products!$E$5:$E$300,A484,Products!$G$5:$G$300),0))*(1+N(V484)))</f>
        <v>0</v>
      </c>
      <c r="AB484" s="22" t="n">
        <f aca="false">IF(F484&lt;&gt;"Y",0,((SUMIF(Products!$E$5:$E$300,A484,Products!$K$5:$K$300)+SUMIF(RM_Lots!$A$5:$A$400,A484,RM_Lots!$F$5:$F$400))+IF(W484="Y",SUMIF(Products!$E$5:$E$300,A484,Products!$L$5:$L$300),0))*(1+N(V484)))</f>
        <v>0</v>
      </c>
      <c r="AC484" s="17" t="n">
        <f aca="false">IF(J484="",1,MAX(1,COUNTIFS($J$5:$J$863,J484,$F$5:$F$863,"Y")))</f>
        <v>1</v>
      </c>
      <c r="AD484" s="18" t="n">
        <f aca="false">(MAX(1,N(I484))*(P484+N(S484))+MAX(1,N(I484))*N(K484)/(MAX(1,N(U484))*AC484))*Settings!$B$9</f>
        <v>0</v>
      </c>
      <c r="AE484" s="18" t="n">
        <f aca="false">(MAX(1,N(I484))*N(Q484)+MAX(1,N(I484))*N(L484)/(MAX(1,N(U484))*AC484))*Settings!$B$8</f>
        <v>0</v>
      </c>
      <c r="AF484" s="18" t="n">
        <f aca="false">MAX(1,N(I484))*N(T484)</f>
        <v>0</v>
      </c>
      <c r="AG484" s="15" t="n">
        <f aca="false">AA484*N(AD484)</f>
        <v>0</v>
      </c>
      <c r="AH484" s="15" t="n">
        <f aca="false">AA484*N(AE484)</f>
        <v>0</v>
      </c>
      <c r="AI484" s="15" t="n">
        <f aca="false">AA484*N(AF484)</f>
        <v>0</v>
      </c>
      <c r="AJ484" s="15" t="n">
        <f aca="false">AA484*N(R484)</f>
        <v>0</v>
      </c>
      <c r="AK484" s="15" t="n">
        <f aca="false">AB484*N(AD484)</f>
        <v>0</v>
      </c>
      <c r="AL484" s="15" t="n">
        <f aca="false">AB484*N(AE484)</f>
        <v>0</v>
      </c>
      <c r="AM484" s="15" t="n">
        <f aca="false">AB484*N(AF484)</f>
        <v>0</v>
      </c>
      <c r="AN484" s="15" t="n">
        <f aca="false">AB484*N(R484)</f>
        <v>0</v>
      </c>
      <c r="AO484" s="21" t="str">
        <f aca="false">IF(F484&lt;&gt;"Y","n/a",IF(AND(N484&lt;&gt;"",OR(Q484&lt;&gt;"",G484="Other / bench",G484="None"),U484&lt;&gt;""),"OK","Missing"))</f>
        <v>Missing</v>
      </c>
    </row>
    <row r="485" customFormat="false" ht="15" hidden="false" customHeight="false" outlineLevel="0" collapsed="false">
      <c r="A485" s="10" t="s">
        <v>475</v>
      </c>
      <c r="B485" s="10" t="s">
        <v>740</v>
      </c>
      <c r="C485" s="10" t="s">
        <v>437</v>
      </c>
      <c r="D485" s="10" t="s">
        <v>742</v>
      </c>
      <c r="E485" s="21" t="str">
        <f aca="false">IF(A485="","",A485&amp;"|"&amp;D485)</f>
        <v>Gymnema Sylvestre Leaf Dry Extract 10:1|Other compendial tests (ID, LOD/KF, heavy metals...)</v>
      </c>
      <c r="F485" s="16" t="s">
        <v>662</v>
      </c>
      <c r="G485" s="16" t="s">
        <v>670</v>
      </c>
      <c r="H485" s="16" t="s">
        <v>672</v>
      </c>
      <c r="I485" s="16" t="n">
        <v>1</v>
      </c>
      <c r="J485" s="16"/>
      <c r="K485" s="14"/>
      <c r="L485" s="14"/>
      <c r="M485" s="14"/>
      <c r="N485" s="14"/>
      <c r="O485" s="14"/>
      <c r="P485" s="18" t="n">
        <f aca="false">IF(N485="",0,IF(OR(M485="",O485=""),N485,(M485+4*N485+O485)/6))</f>
        <v>0</v>
      </c>
      <c r="Q485" s="14"/>
      <c r="R485" s="14"/>
      <c r="S485" s="14"/>
      <c r="T485" s="14"/>
      <c r="U485" s="16"/>
      <c r="V485" s="13"/>
      <c r="W485" s="16" t="s">
        <v>667</v>
      </c>
      <c r="X485" s="16"/>
      <c r="Y485" s="16"/>
      <c r="Z485" s="16"/>
      <c r="AA485" s="22" t="n">
        <f aca="false">IF(F485&lt;&gt;"Y",0,((SUMIF(Products!$E$5:$E$300,A485,Products!$F$5:$F$300)+SUMIF(RM_Lots!$A$5:$A$400,A485,RM_Lots!$D$5:$D$400))+IF(W485="Y",SUMIF(Products!$E$5:$E$300,A485,Products!$G$5:$G$300),0))*(1+N(V485)))</f>
        <v>0</v>
      </c>
      <c r="AB485" s="22" t="n">
        <f aca="false">IF(F485&lt;&gt;"Y",0,((SUMIF(Products!$E$5:$E$300,A485,Products!$K$5:$K$300)+SUMIF(RM_Lots!$A$5:$A$400,A485,RM_Lots!$F$5:$F$400))+IF(W485="Y",SUMIF(Products!$E$5:$E$300,A485,Products!$L$5:$L$300),0))*(1+N(V485)))</f>
        <v>0</v>
      </c>
      <c r="AC485" s="17" t="n">
        <f aca="false">IF(J485="",1,MAX(1,COUNTIFS($J$5:$J$863,J485,$F$5:$F$863,"Y")))</f>
        <v>1</v>
      </c>
      <c r="AD485" s="18" t="n">
        <f aca="false">(MAX(1,N(I485))*(P485+N(S485))+MAX(1,N(I485))*N(K485)/(MAX(1,N(U485))*AC485))*Settings!$B$9</f>
        <v>0</v>
      </c>
      <c r="AE485" s="18" t="n">
        <f aca="false">(MAX(1,N(I485))*N(Q485)+MAX(1,N(I485))*N(L485)/(MAX(1,N(U485))*AC485))*Settings!$B$8</f>
        <v>0</v>
      </c>
      <c r="AF485" s="18" t="n">
        <f aca="false">MAX(1,N(I485))*N(T485)</f>
        <v>0</v>
      </c>
      <c r="AG485" s="15" t="n">
        <f aca="false">AA485*N(AD485)</f>
        <v>0</v>
      </c>
      <c r="AH485" s="15" t="n">
        <f aca="false">AA485*N(AE485)</f>
        <v>0</v>
      </c>
      <c r="AI485" s="15" t="n">
        <f aca="false">AA485*N(AF485)</f>
        <v>0</v>
      </c>
      <c r="AJ485" s="15" t="n">
        <f aca="false">AA485*N(R485)</f>
        <v>0</v>
      </c>
      <c r="AK485" s="15" t="n">
        <f aca="false">AB485*N(AD485)</f>
        <v>0</v>
      </c>
      <c r="AL485" s="15" t="n">
        <f aca="false">AB485*N(AE485)</f>
        <v>0</v>
      </c>
      <c r="AM485" s="15" t="n">
        <f aca="false">AB485*N(AF485)</f>
        <v>0</v>
      </c>
      <c r="AN485" s="15" t="n">
        <f aca="false">AB485*N(R485)</f>
        <v>0</v>
      </c>
      <c r="AO485" s="21" t="str">
        <f aca="false">IF(F485&lt;&gt;"Y","n/a",IF(AND(N485&lt;&gt;"",OR(Q485&lt;&gt;"",G485="Other / bench",G485="None"),U485&lt;&gt;""),"OK","Missing"))</f>
        <v>Missing</v>
      </c>
    </row>
    <row r="486" customFormat="false" ht="15" hidden="false" customHeight="false" outlineLevel="0" collapsed="false">
      <c r="A486" s="10" t="s">
        <v>476</v>
      </c>
      <c r="B486" s="10" t="s">
        <v>740</v>
      </c>
      <c r="C486" s="10" t="s">
        <v>437</v>
      </c>
      <c r="D486" s="10" t="s">
        <v>741</v>
      </c>
      <c r="E486" s="21" t="str">
        <f aca="false">IF(A486="","",A486&amp;"|"&amp;D486)</f>
        <v>Hydrochlorothiazide|Assay + related substances</v>
      </c>
      <c r="F486" s="16" t="s">
        <v>662</v>
      </c>
      <c r="G486" s="16" t="s">
        <v>147</v>
      </c>
      <c r="H486" s="16" t="s">
        <v>663</v>
      </c>
      <c r="I486" s="16" t="n">
        <v>1</v>
      </c>
      <c r="J486" s="16"/>
      <c r="K486" s="14"/>
      <c r="L486" s="14"/>
      <c r="M486" s="14"/>
      <c r="N486" s="14"/>
      <c r="O486" s="14"/>
      <c r="P486" s="18" t="n">
        <f aca="false">IF(N486="",0,IF(OR(M486="",O486=""),N486,(M486+4*N486+O486)/6))</f>
        <v>0</v>
      </c>
      <c r="Q486" s="14"/>
      <c r="R486" s="14"/>
      <c r="S486" s="14"/>
      <c r="T486" s="14"/>
      <c r="U486" s="16"/>
      <c r="V486" s="13"/>
      <c r="W486" s="16" t="s">
        <v>667</v>
      </c>
      <c r="X486" s="16"/>
      <c r="Y486" s="16"/>
      <c r="Z486" s="16"/>
      <c r="AA486" s="22" t="n">
        <f aca="false">IF(F486&lt;&gt;"Y",0,((SUMIF(Products!$E$5:$E$300,A486,Products!$F$5:$F$300)+SUMIF(RM_Lots!$A$5:$A$400,A486,RM_Lots!$D$5:$D$400))+IF(W486="Y",SUMIF(Products!$E$5:$E$300,A486,Products!$G$5:$G$300),0))*(1+N(V486)))</f>
        <v>0</v>
      </c>
      <c r="AB486" s="22" t="n">
        <f aca="false">IF(F486&lt;&gt;"Y",0,((SUMIF(Products!$E$5:$E$300,A486,Products!$K$5:$K$300)+SUMIF(RM_Lots!$A$5:$A$400,A486,RM_Lots!$F$5:$F$400))+IF(W486="Y",SUMIF(Products!$E$5:$E$300,A486,Products!$L$5:$L$300),0))*(1+N(V486)))</f>
        <v>0</v>
      </c>
      <c r="AC486" s="17" t="n">
        <f aca="false">IF(J486="",1,MAX(1,COUNTIFS($J$5:$J$863,J486,$F$5:$F$863,"Y")))</f>
        <v>1</v>
      </c>
      <c r="AD486" s="18" t="n">
        <f aca="false">(MAX(1,N(I486))*(P486+N(S486))+MAX(1,N(I486))*N(K486)/(MAX(1,N(U486))*AC486))*Settings!$B$9</f>
        <v>0</v>
      </c>
      <c r="AE486" s="18" t="n">
        <f aca="false">(MAX(1,N(I486))*N(Q486)+MAX(1,N(I486))*N(L486)/(MAX(1,N(U486))*AC486))*Settings!$B$8</f>
        <v>0</v>
      </c>
      <c r="AF486" s="18" t="n">
        <f aca="false">MAX(1,N(I486))*N(T486)</f>
        <v>0</v>
      </c>
      <c r="AG486" s="15" t="n">
        <f aca="false">AA486*N(AD486)</f>
        <v>0</v>
      </c>
      <c r="AH486" s="15" t="n">
        <f aca="false">AA486*N(AE486)</f>
        <v>0</v>
      </c>
      <c r="AI486" s="15" t="n">
        <f aca="false">AA486*N(AF486)</f>
        <v>0</v>
      </c>
      <c r="AJ486" s="15" t="n">
        <f aca="false">AA486*N(R486)</f>
        <v>0</v>
      </c>
      <c r="AK486" s="15" t="n">
        <f aca="false">AB486*N(AD486)</f>
        <v>0</v>
      </c>
      <c r="AL486" s="15" t="n">
        <f aca="false">AB486*N(AE486)</f>
        <v>0</v>
      </c>
      <c r="AM486" s="15" t="n">
        <f aca="false">AB486*N(AF486)</f>
        <v>0</v>
      </c>
      <c r="AN486" s="15" t="n">
        <f aca="false">AB486*N(R486)</f>
        <v>0</v>
      </c>
      <c r="AO486" s="21" t="str">
        <f aca="false">IF(F486&lt;&gt;"Y","n/a",IF(AND(N486&lt;&gt;"",OR(Q486&lt;&gt;"",G486="Other / bench",G486="None"),U486&lt;&gt;""),"OK","Missing"))</f>
        <v>Missing</v>
      </c>
    </row>
    <row r="487" customFormat="false" ht="15" hidden="false" customHeight="false" outlineLevel="0" collapsed="false">
      <c r="A487" s="10" t="s">
        <v>476</v>
      </c>
      <c r="B487" s="10" t="s">
        <v>740</v>
      </c>
      <c r="C487" s="10" t="s">
        <v>437</v>
      </c>
      <c r="D487" s="10" t="s">
        <v>742</v>
      </c>
      <c r="E487" s="21" t="str">
        <f aca="false">IF(A487="","",A487&amp;"|"&amp;D487)</f>
        <v>Hydrochlorothiazide|Other compendial tests (ID, LOD/KF, heavy metals...)</v>
      </c>
      <c r="F487" s="16" t="s">
        <v>662</v>
      </c>
      <c r="G487" s="16" t="s">
        <v>670</v>
      </c>
      <c r="H487" s="16" t="s">
        <v>672</v>
      </c>
      <c r="I487" s="16" t="n">
        <v>1</v>
      </c>
      <c r="J487" s="16"/>
      <c r="K487" s="14"/>
      <c r="L487" s="14"/>
      <c r="M487" s="14"/>
      <c r="N487" s="14"/>
      <c r="O487" s="14"/>
      <c r="P487" s="18" t="n">
        <f aca="false">IF(N487="",0,IF(OR(M487="",O487=""),N487,(M487+4*N487+O487)/6))</f>
        <v>0</v>
      </c>
      <c r="Q487" s="14"/>
      <c r="R487" s="14"/>
      <c r="S487" s="14"/>
      <c r="T487" s="14"/>
      <c r="U487" s="16"/>
      <c r="V487" s="13"/>
      <c r="W487" s="16" t="s">
        <v>667</v>
      </c>
      <c r="X487" s="16"/>
      <c r="Y487" s="16"/>
      <c r="Z487" s="16"/>
      <c r="AA487" s="22" t="n">
        <f aca="false">IF(F487&lt;&gt;"Y",0,((SUMIF(Products!$E$5:$E$300,A487,Products!$F$5:$F$300)+SUMIF(RM_Lots!$A$5:$A$400,A487,RM_Lots!$D$5:$D$400))+IF(W487="Y",SUMIF(Products!$E$5:$E$300,A487,Products!$G$5:$G$300),0))*(1+N(V487)))</f>
        <v>0</v>
      </c>
      <c r="AB487" s="22" t="n">
        <f aca="false">IF(F487&lt;&gt;"Y",0,((SUMIF(Products!$E$5:$E$300,A487,Products!$K$5:$K$300)+SUMIF(RM_Lots!$A$5:$A$400,A487,RM_Lots!$F$5:$F$400))+IF(W487="Y",SUMIF(Products!$E$5:$E$300,A487,Products!$L$5:$L$300),0))*(1+N(V487)))</f>
        <v>0</v>
      </c>
      <c r="AC487" s="17" t="n">
        <f aca="false">IF(J487="",1,MAX(1,COUNTIFS($J$5:$J$863,J487,$F$5:$F$863,"Y")))</f>
        <v>1</v>
      </c>
      <c r="AD487" s="18" t="n">
        <f aca="false">(MAX(1,N(I487))*(P487+N(S487))+MAX(1,N(I487))*N(K487)/(MAX(1,N(U487))*AC487))*Settings!$B$9</f>
        <v>0</v>
      </c>
      <c r="AE487" s="18" t="n">
        <f aca="false">(MAX(1,N(I487))*N(Q487)+MAX(1,N(I487))*N(L487)/(MAX(1,N(U487))*AC487))*Settings!$B$8</f>
        <v>0</v>
      </c>
      <c r="AF487" s="18" t="n">
        <f aca="false">MAX(1,N(I487))*N(T487)</f>
        <v>0</v>
      </c>
      <c r="AG487" s="15" t="n">
        <f aca="false">AA487*N(AD487)</f>
        <v>0</v>
      </c>
      <c r="AH487" s="15" t="n">
        <f aca="false">AA487*N(AE487)</f>
        <v>0</v>
      </c>
      <c r="AI487" s="15" t="n">
        <f aca="false">AA487*N(AF487)</f>
        <v>0</v>
      </c>
      <c r="AJ487" s="15" t="n">
        <f aca="false">AA487*N(R487)</f>
        <v>0</v>
      </c>
      <c r="AK487" s="15" t="n">
        <f aca="false">AB487*N(AD487)</f>
        <v>0</v>
      </c>
      <c r="AL487" s="15" t="n">
        <f aca="false">AB487*N(AE487)</f>
        <v>0</v>
      </c>
      <c r="AM487" s="15" t="n">
        <f aca="false">AB487*N(AF487)</f>
        <v>0</v>
      </c>
      <c r="AN487" s="15" t="n">
        <f aca="false">AB487*N(R487)</f>
        <v>0</v>
      </c>
      <c r="AO487" s="21" t="str">
        <f aca="false">IF(F487&lt;&gt;"Y","n/a",IF(AND(N487&lt;&gt;"",OR(Q487&lt;&gt;"",G487="Other / bench",G487="None"),U487&lt;&gt;""),"OK","Missing"))</f>
        <v>Missing</v>
      </c>
    </row>
    <row r="488" customFormat="false" ht="15" hidden="false" customHeight="false" outlineLevel="0" collapsed="false">
      <c r="A488" s="10" t="s">
        <v>477</v>
      </c>
      <c r="B488" s="10" t="s">
        <v>740</v>
      </c>
      <c r="C488" s="10" t="s">
        <v>437</v>
      </c>
      <c r="D488" s="10" t="s">
        <v>741</v>
      </c>
      <c r="E488" s="21" t="str">
        <f aca="false">IF(A488="","",A488&amp;"|"&amp;D488)</f>
        <v>Inositol (Vitamin B8)|Assay + related substances</v>
      </c>
      <c r="F488" s="16" t="s">
        <v>662</v>
      </c>
      <c r="G488" s="16" t="s">
        <v>147</v>
      </c>
      <c r="H488" s="16" t="s">
        <v>663</v>
      </c>
      <c r="I488" s="16" t="n">
        <v>1</v>
      </c>
      <c r="J488" s="16"/>
      <c r="K488" s="14"/>
      <c r="L488" s="14"/>
      <c r="M488" s="14"/>
      <c r="N488" s="14"/>
      <c r="O488" s="14"/>
      <c r="P488" s="18" t="n">
        <f aca="false">IF(N488="",0,IF(OR(M488="",O488=""),N488,(M488+4*N488+O488)/6))</f>
        <v>0</v>
      </c>
      <c r="Q488" s="14"/>
      <c r="R488" s="14"/>
      <c r="S488" s="14"/>
      <c r="T488" s="14"/>
      <c r="U488" s="16"/>
      <c r="V488" s="13"/>
      <c r="W488" s="16" t="s">
        <v>667</v>
      </c>
      <c r="X488" s="16"/>
      <c r="Y488" s="16"/>
      <c r="Z488" s="16"/>
      <c r="AA488" s="22" t="n">
        <f aca="false">IF(F488&lt;&gt;"Y",0,((SUMIF(Products!$E$5:$E$300,A488,Products!$F$5:$F$300)+SUMIF(RM_Lots!$A$5:$A$400,A488,RM_Lots!$D$5:$D$400))+IF(W488="Y",SUMIF(Products!$E$5:$E$300,A488,Products!$G$5:$G$300),0))*(1+N(V488)))</f>
        <v>0</v>
      </c>
      <c r="AB488" s="22" t="n">
        <f aca="false">IF(F488&lt;&gt;"Y",0,((SUMIF(Products!$E$5:$E$300,A488,Products!$K$5:$K$300)+SUMIF(RM_Lots!$A$5:$A$400,A488,RM_Lots!$F$5:$F$400))+IF(W488="Y",SUMIF(Products!$E$5:$E$300,A488,Products!$L$5:$L$300),0))*(1+N(V488)))</f>
        <v>0</v>
      </c>
      <c r="AC488" s="17" t="n">
        <f aca="false">IF(J488="",1,MAX(1,COUNTIFS($J$5:$J$863,J488,$F$5:$F$863,"Y")))</f>
        <v>1</v>
      </c>
      <c r="AD488" s="18" t="n">
        <f aca="false">(MAX(1,N(I488))*(P488+N(S488))+MAX(1,N(I488))*N(K488)/(MAX(1,N(U488))*AC488))*Settings!$B$9</f>
        <v>0</v>
      </c>
      <c r="AE488" s="18" t="n">
        <f aca="false">(MAX(1,N(I488))*N(Q488)+MAX(1,N(I488))*N(L488)/(MAX(1,N(U488))*AC488))*Settings!$B$8</f>
        <v>0</v>
      </c>
      <c r="AF488" s="18" t="n">
        <f aca="false">MAX(1,N(I488))*N(T488)</f>
        <v>0</v>
      </c>
      <c r="AG488" s="15" t="n">
        <f aca="false">AA488*N(AD488)</f>
        <v>0</v>
      </c>
      <c r="AH488" s="15" t="n">
        <f aca="false">AA488*N(AE488)</f>
        <v>0</v>
      </c>
      <c r="AI488" s="15" t="n">
        <f aca="false">AA488*N(AF488)</f>
        <v>0</v>
      </c>
      <c r="AJ488" s="15" t="n">
        <f aca="false">AA488*N(R488)</f>
        <v>0</v>
      </c>
      <c r="AK488" s="15" t="n">
        <f aca="false">AB488*N(AD488)</f>
        <v>0</v>
      </c>
      <c r="AL488" s="15" t="n">
        <f aca="false">AB488*N(AE488)</f>
        <v>0</v>
      </c>
      <c r="AM488" s="15" t="n">
        <f aca="false">AB488*N(AF488)</f>
        <v>0</v>
      </c>
      <c r="AN488" s="15" t="n">
        <f aca="false">AB488*N(R488)</f>
        <v>0</v>
      </c>
      <c r="AO488" s="21" t="str">
        <f aca="false">IF(F488&lt;&gt;"Y","n/a",IF(AND(N488&lt;&gt;"",OR(Q488&lt;&gt;"",G488="Other / bench",G488="None"),U488&lt;&gt;""),"OK","Missing"))</f>
        <v>Missing</v>
      </c>
    </row>
    <row r="489" customFormat="false" ht="15" hidden="false" customHeight="false" outlineLevel="0" collapsed="false">
      <c r="A489" s="10" t="s">
        <v>477</v>
      </c>
      <c r="B489" s="10" t="s">
        <v>740</v>
      </c>
      <c r="C489" s="10" t="s">
        <v>437</v>
      </c>
      <c r="D489" s="10" t="s">
        <v>742</v>
      </c>
      <c r="E489" s="21" t="str">
        <f aca="false">IF(A489="","",A489&amp;"|"&amp;D489)</f>
        <v>Inositol (Vitamin B8)|Other compendial tests (ID, LOD/KF, heavy metals...)</v>
      </c>
      <c r="F489" s="16" t="s">
        <v>662</v>
      </c>
      <c r="G489" s="16" t="s">
        <v>670</v>
      </c>
      <c r="H489" s="16" t="s">
        <v>672</v>
      </c>
      <c r="I489" s="16" t="n">
        <v>1</v>
      </c>
      <c r="J489" s="16"/>
      <c r="K489" s="14"/>
      <c r="L489" s="14"/>
      <c r="M489" s="14"/>
      <c r="N489" s="14"/>
      <c r="O489" s="14"/>
      <c r="P489" s="18" t="n">
        <f aca="false">IF(N489="",0,IF(OR(M489="",O489=""),N489,(M489+4*N489+O489)/6))</f>
        <v>0</v>
      </c>
      <c r="Q489" s="14"/>
      <c r="R489" s="14"/>
      <c r="S489" s="14"/>
      <c r="T489" s="14"/>
      <c r="U489" s="16"/>
      <c r="V489" s="13"/>
      <c r="W489" s="16" t="s">
        <v>667</v>
      </c>
      <c r="X489" s="16"/>
      <c r="Y489" s="16"/>
      <c r="Z489" s="16"/>
      <c r="AA489" s="22" t="n">
        <f aca="false">IF(F489&lt;&gt;"Y",0,((SUMIF(Products!$E$5:$E$300,A489,Products!$F$5:$F$300)+SUMIF(RM_Lots!$A$5:$A$400,A489,RM_Lots!$D$5:$D$400))+IF(W489="Y",SUMIF(Products!$E$5:$E$300,A489,Products!$G$5:$G$300),0))*(1+N(V489)))</f>
        <v>0</v>
      </c>
      <c r="AB489" s="22" t="n">
        <f aca="false">IF(F489&lt;&gt;"Y",0,((SUMIF(Products!$E$5:$E$300,A489,Products!$K$5:$K$300)+SUMIF(RM_Lots!$A$5:$A$400,A489,RM_Lots!$F$5:$F$400))+IF(W489="Y",SUMIF(Products!$E$5:$E$300,A489,Products!$L$5:$L$300),0))*(1+N(V489)))</f>
        <v>0</v>
      </c>
      <c r="AC489" s="17" t="n">
        <f aca="false">IF(J489="",1,MAX(1,COUNTIFS($J$5:$J$863,J489,$F$5:$F$863,"Y")))</f>
        <v>1</v>
      </c>
      <c r="AD489" s="18" t="n">
        <f aca="false">(MAX(1,N(I489))*(P489+N(S489))+MAX(1,N(I489))*N(K489)/(MAX(1,N(U489))*AC489))*Settings!$B$9</f>
        <v>0</v>
      </c>
      <c r="AE489" s="18" t="n">
        <f aca="false">(MAX(1,N(I489))*N(Q489)+MAX(1,N(I489))*N(L489)/(MAX(1,N(U489))*AC489))*Settings!$B$8</f>
        <v>0</v>
      </c>
      <c r="AF489" s="18" t="n">
        <f aca="false">MAX(1,N(I489))*N(T489)</f>
        <v>0</v>
      </c>
      <c r="AG489" s="15" t="n">
        <f aca="false">AA489*N(AD489)</f>
        <v>0</v>
      </c>
      <c r="AH489" s="15" t="n">
        <f aca="false">AA489*N(AE489)</f>
        <v>0</v>
      </c>
      <c r="AI489" s="15" t="n">
        <f aca="false">AA489*N(AF489)</f>
        <v>0</v>
      </c>
      <c r="AJ489" s="15" t="n">
        <f aca="false">AA489*N(R489)</f>
        <v>0</v>
      </c>
      <c r="AK489" s="15" t="n">
        <f aca="false">AB489*N(AD489)</f>
        <v>0</v>
      </c>
      <c r="AL489" s="15" t="n">
        <f aca="false">AB489*N(AE489)</f>
        <v>0</v>
      </c>
      <c r="AM489" s="15" t="n">
        <f aca="false">AB489*N(AF489)</f>
        <v>0</v>
      </c>
      <c r="AN489" s="15" t="n">
        <f aca="false">AB489*N(R489)</f>
        <v>0</v>
      </c>
      <c r="AO489" s="21" t="str">
        <f aca="false">IF(F489&lt;&gt;"Y","n/a",IF(AND(N489&lt;&gt;"",OR(Q489&lt;&gt;"",G489="Other / bench",G489="None"),U489&lt;&gt;""),"OK","Missing"))</f>
        <v>Missing</v>
      </c>
    </row>
    <row r="490" customFormat="false" ht="15" hidden="false" customHeight="false" outlineLevel="0" collapsed="false">
      <c r="A490" s="10" t="s">
        <v>478</v>
      </c>
      <c r="B490" s="10" t="s">
        <v>740</v>
      </c>
      <c r="C490" s="10" t="s">
        <v>437</v>
      </c>
      <c r="D490" s="10" t="s">
        <v>741</v>
      </c>
      <c r="E490" s="21" t="str">
        <f aca="false">IF(A490="","",A490&amp;"|"&amp;D490)</f>
        <v>Juniper Communis Fruit Dry Extract 2:1|Assay + related substances</v>
      </c>
      <c r="F490" s="16" t="s">
        <v>662</v>
      </c>
      <c r="G490" s="16" t="s">
        <v>147</v>
      </c>
      <c r="H490" s="16" t="s">
        <v>663</v>
      </c>
      <c r="I490" s="16" t="n">
        <v>1</v>
      </c>
      <c r="J490" s="16"/>
      <c r="K490" s="14"/>
      <c r="L490" s="14"/>
      <c r="M490" s="14"/>
      <c r="N490" s="14"/>
      <c r="O490" s="14"/>
      <c r="P490" s="18" t="n">
        <f aca="false">IF(N490="",0,IF(OR(M490="",O490=""),N490,(M490+4*N490+O490)/6))</f>
        <v>0</v>
      </c>
      <c r="Q490" s="14"/>
      <c r="R490" s="14"/>
      <c r="S490" s="14"/>
      <c r="T490" s="14"/>
      <c r="U490" s="16"/>
      <c r="V490" s="13"/>
      <c r="W490" s="16" t="s">
        <v>667</v>
      </c>
      <c r="X490" s="16"/>
      <c r="Y490" s="16"/>
      <c r="Z490" s="16"/>
      <c r="AA490" s="22" t="n">
        <f aca="false">IF(F490&lt;&gt;"Y",0,((SUMIF(Products!$E$5:$E$300,A490,Products!$F$5:$F$300)+SUMIF(RM_Lots!$A$5:$A$400,A490,RM_Lots!$D$5:$D$400))+IF(W490="Y",SUMIF(Products!$E$5:$E$300,A490,Products!$G$5:$G$300),0))*(1+N(V490)))</f>
        <v>0</v>
      </c>
      <c r="AB490" s="22" t="n">
        <f aca="false">IF(F490&lt;&gt;"Y",0,((SUMIF(Products!$E$5:$E$300,A490,Products!$K$5:$K$300)+SUMIF(RM_Lots!$A$5:$A$400,A490,RM_Lots!$F$5:$F$400))+IF(W490="Y",SUMIF(Products!$E$5:$E$300,A490,Products!$L$5:$L$300),0))*(1+N(V490)))</f>
        <v>0</v>
      </c>
      <c r="AC490" s="17" t="n">
        <f aca="false">IF(J490="",1,MAX(1,COUNTIFS($J$5:$J$863,J490,$F$5:$F$863,"Y")))</f>
        <v>1</v>
      </c>
      <c r="AD490" s="18" t="n">
        <f aca="false">(MAX(1,N(I490))*(P490+N(S490))+MAX(1,N(I490))*N(K490)/(MAX(1,N(U490))*AC490))*Settings!$B$9</f>
        <v>0</v>
      </c>
      <c r="AE490" s="18" t="n">
        <f aca="false">(MAX(1,N(I490))*N(Q490)+MAX(1,N(I490))*N(L490)/(MAX(1,N(U490))*AC490))*Settings!$B$8</f>
        <v>0</v>
      </c>
      <c r="AF490" s="18" t="n">
        <f aca="false">MAX(1,N(I490))*N(T490)</f>
        <v>0</v>
      </c>
      <c r="AG490" s="15" t="n">
        <f aca="false">AA490*N(AD490)</f>
        <v>0</v>
      </c>
      <c r="AH490" s="15" t="n">
        <f aca="false">AA490*N(AE490)</f>
        <v>0</v>
      </c>
      <c r="AI490" s="15" t="n">
        <f aca="false">AA490*N(AF490)</f>
        <v>0</v>
      </c>
      <c r="AJ490" s="15" t="n">
        <f aca="false">AA490*N(R490)</f>
        <v>0</v>
      </c>
      <c r="AK490" s="15" t="n">
        <f aca="false">AB490*N(AD490)</f>
        <v>0</v>
      </c>
      <c r="AL490" s="15" t="n">
        <f aca="false">AB490*N(AE490)</f>
        <v>0</v>
      </c>
      <c r="AM490" s="15" t="n">
        <f aca="false">AB490*N(AF490)</f>
        <v>0</v>
      </c>
      <c r="AN490" s="15" t="n">
        <f aca="false">AB490*N(R490)</f>
        <v>0</v>
      </c>
      <c r="AO490" s="21" t="str">
        <f aca="false">IF(F490&lt;&gt;"Y","n/a",IF(AND(N490&lt;&gt;"",OR(Q490&lt;&gt;"",G490="Other / bench",G490="None"),U490&lt;&gt;""),"OK","Missing"))</f>
        <v>Missing</v>
      </c>
    </row>
    <row r="491" customFormat="false" ht="15" hidden="false" customHeight="false" outlineLevel="0" collapsed="false">
      <c r="A491" s="10" t="s">
        <v>478</v>
      </c>
      <c r="B491" s="10" t="s">
        <v>740</v>
      </c>
      <c r="C491" s="10" t="s">
        <v>437</v>
      </c>
      <c r="D491" s="10" t="s">
        <v>742</v>
      </c>
      <c r="E491" s="21" t="str">
        <f aca="false">IF(A491="","",A491&amp;"|"&amp;D491)</f>
        <v>Juniper Communis Fruit Dry Extract 2:1|Other compendial tests (ID, LOD/KF, heavy metals...)</v>
      </c>
      <c r="F491" s="16" t="s">
        <v>662</v>
      </c>
      <c r="G491" s="16" t="s">
        <v>670</v>
      </c>
      <c r="H491" s="16" t="s">
        <v>672</v>
      </c>
      <c r="I491" s="16" t="n">
        <v>1</v>
      </c>
      <c r="J491" s="16"/>
      <c r="K491" s="14"/>
      <c r="L491" s="14"/>
      <c r="M491" s="14"/>
      <c r="N491" s="14"/>
      <c r="O491" s="14"/>
      <c r="P491" s="18" t="n">
        <f aca="false">IF(N491="",0,IF(OR(M491="",O491=""),N491,(M491+4*N491+O491)/6))</f>
        <v>0</v>
      </c>
      <c r="Q491" s="14"/>
      <c r="R491" s="14"/>
      <c r="S491" s="14"/>
      <c r="T491" s="14"/>
      <c r="U491" s="16"/>
      <c r="V491" s="13"/>
      <c r="W491" s="16" t="s">
        <v>667</v>
      </c>
      <c r="X491" s="16"/>
      <c r="Y491" s="16"/>
      <c r="Z491" s="16"/>
      <c r="AA491" s="22" t="n">
        <f aca="false">IF(F491&lt;&gt;"Y",0,((SUMIF(Products!$E$5:$E$300,A491,Products!$F$5:$F$300)+SUMIF(RM_Lots!$A$5:$A$400,A491,RM_Lots!$D$5:$D$400))+IF(W491="Y",SUMIF(Products!$E$5:$E$300,A491,Products!$G$5:$G$300),0))*(1+N(V491)))</f>
        <v>0</v>
      </c>
      <c r="AB491" s="22" t="n">
        <f aca="false">IF(F491&lt;&gt;"Y",0,((SUMIF(Products!$E$5:$E$300,A491,Products!$K$5:$K$300)+SUMIF(RM_Lots!$A$5:$A$400,A491,RM_Lots!$F$5:$F$400))+IF(W491="Y",SUMIF(Products!$E$5:$E$300,A491,Products!$L$5:$L$300),0))*(1+N(V491)))</f>
        <v>0</v>
      </c>
      <c r="AC491" s="17" t="n">
        <f aca="false">IF(J491="",1,MAX(1,COUNTIFS($J$5:$J$863,J491,$F$5:$F$863,"Y")))</f>
        <v>1</v>
      </c>
      <c r="AD491" s="18" t="n">
        <f aca="false">(MAX(1,N(I491))*(P491+N(S491))+MAX(1,N(I491))*N(K491)/(MAX(1,N(U491))*AC491))*Settings!$B$9</f>
        <v>0</v>
      </c>
      <c r="AE491" s="18" t="n">
        <f aca="false">(MAX(1,N(I491))*N(Q491)+MAX(1,N(I491))*N(L491)/(MAX(1,N(U491))*AC491))*Settings!$B$8</f>
        <v>0</v>
      </c>
      <c r="AF491" s="18" t="n">
        <f aca="false">MAX(1,N(I491))*N(T491)</f>
        <v>0</v>
      </c>
      <c r="AG491" s="15" t="n">
        <f aca="false">AA491*N(AD491)</f>
        <v>0</v>
      </c>
      <c r="AH491" s="15" t="n">
        <f aca="false">AA491*N(AE491)</f>
        <v>0</v>
      </c>
      <c r="AI491" s="15" t="n">
        <f aca="false">AA491*N(AF491)</f>
        <v>0</v>
      </c>
      <c r="AJ491" s="15" t="n">
        <f aca="false">AA491*N(R491)</f>
        <v>0</v>
      </c>
      <c r="AK491" s="15" t="n">
        <f aca="false">AB491*N(AD491)</f>
        <v>0</v>
      </c>
      <c r="AL491" s="15" t="n">
        <f aca="false">AB491*N(AE491)</f>
        <v>0</v>
      </c>
      <c r="AM491" s="15" t="n">
        <f aca="false">AB491*N(AF491)</f>
        <v>0</v>
      </c>
      <c r="AN491" s="15" t="n">
        <f aca="false">AB491*N(R491)</f>
        <v>0</v>
      </c>
      <c r="AO491" s="21" t="str">
        <f aca="false">IF(F491&lt;&gt;"Y","n/a",IF(AND(N491&lt;&gt;"",OR(Q491&lt;&gt;"",G491="Other / bench",G491="None"),U491&lt;&gt;""),"OK","Missing"))</f>
        <v>Missing</v>
      </c>
    </row>
    <row r="492" customFormat="false" ht="15" hidden="false" customHeight="false" outlineLevel="0" collapsed="false">
      <c r="A492" s="10" t="s">
        <v>323</v>
      </c>
      <c r="B492" s="10" t="s">
        <v>740</v>
      </c>
      <c r="C492" s="10" t="s">
        <v>437</v>
      </c>
      <c r="D492" s="10" t="s">
        <v>741</v>
      </c>
      <c r="E492" s="21" t="str">
        <f aca="false">IF(A492="","",A492&amp;"|"&amp;D492)</f>
        <v>L-Arginine|Assay + related substances</v>
      </c>
      <c r="F492" s="16" t="s">
        <v>662</v>
      </c>
      <c r="G492" s="16" t="s">
        <v>147</v>
      </c>
      <c r="H492" s="16" t="s">
        <v>663</v>
      </c>
      <c r="I492" s="16" t="n">
        <v>1</v>
      </c>
      <c r="J492" s="16"/>
      <c r="K492" s="14"/>
      <c r="L492" s="14"/>
      <c r="M492" s="14"/>
      <c r="N492" s="14"/>
      <c r="O492" s="14"/>
      <c r="P492" s="18" t="n">
        <f aca="false">IF(N492="",0,IF(OR(M492="",O492=""),N492,(M492+4*N492+O492)/6))</f>
        <v>0</v>
      </c>
      <c r="Q492" s="14"/>
      <c r="R492" s="14"/>
      <c r="S492" s="14"/>
      <c r="T492" s="14"/>
      <c r="U492" s="16"/>
      <c r="V492" s="13"/>
      <c r="W492" s="16" t="s">
        <v>667</v>
      </c>
      <c r="X492" s="16"/>
      <c r="Y492" s="16"/>
      <c r="Z492" s="16"/>
      <c r="AA492" s="22" t="n">
        <f aca="false">IF(F492&lt;&gt;"Y",0,((SUMIF(Products!$E$5:$E$300,A492,Products!$F$5:$F$300)+SUMIF(RM_Lots!$A$5:$A$400,A492,RM_Lots!$D$5:$D$400))+IF(W492="Y",SUMIF(Products!$E$5:$E$300,A492,Products!$G$5:$G$300),0))*(1+N(V492)))</f>
        <v>0</v>
      </c>
      <c r="AB492" s="22" t="n">
        <f aca="false">IF(F492&lt;&gt;"Y",0,((SUMIF(Products!$E$5:$E$300,A492,Products!$K$5:$K$300)+SUMIF(RM_Lots!$A$5:$A$400,A492,RM_Lots!$F$5:$F$400))+IF(W492="Y",SUMIF(Products!$E$5:$E$300,A492,Products!$L$5:$L$300),0))*(1+N(V492)))</f>
        <v>0</v>
      </c>
      <c r="AC492" s="17" t="n">
        <f aca="false">IF(J492="",1,MAX(1,COUNTIFS($J$5:$J$863,J492,$F$5:$F$863,"Y")))</f>
        <v>1</v>
      </c>
      <c r="AD492" s="18" t="n">
        <f aca="false">(MAX(1,N(I492))*(P492+N(S492))+MAX(1,N(I492))*N(K492)/(MAX(1,N(U492))*AC492))*Settings!$B$9</f>
        <v>0</v>
      </c>
      <c r="AE492" s="18" t="n">
        <f aca="false">(MAX(1,N(I492))*N(Q492)+MAX(1,N(I492))*N(L492)/(MAX(1,N(U492))*AC492))*Settings!$B$8</f>
        <v>0</v>
      </c>
      <c r="AF492" s="18" t="n">
        <f aca="false">MAX(1,N(I492))*N(T492)</f>
        <v>0</v>
      </c>
      <c r="AG492" s="15" t="n">
        <f aca="false">AA492*N(AD492)</f>
        <v>0</v>
      </c>
      <c r="AH492" s="15" t="n">
        <f aca="false">AA492*N(AE492)</f>
        <v>0</v>
      </c>
      <c r="AI492" s="15" t="n">
        <f aca="false">AA492*N(AF492)</f>
        <v>0</v>
      </c>
      <c r="AJ492" s="15" t="n">
        <f aca="false">AA492*N(R492)</f>
        <v>0</v>
      </c>
      <c r="AK492" s="15" t="n">
        <f aca="false">AB492*N(AD492)</f>
        <v>0</v>
      </c>
      <c r="AL492" s="15" t="n">
        <f aca="false">AB492*N(AE492)</f>
        <v>0</v>
      </c>
      <c r="AM492" s="15" t="n">
        <f aca="false">AB492*N(AF492)</f>
        <v>0</v>
      </c>
      <c r="AN492" s="15" t="n">
        <f aca="false">AB492*N(R492)</f>
        <v>0</v>
      </c>
      <c r="AO492" s="21" t="str">
        <f aca="false">IF(F492&lt;&gt;"Y","n/a",IF(AND(N492&lt;&gt;"",OR(Q492&lt;&gt;"",G492="Other / bench",G492="None"),U492&lt;&gt;""),"OK","Missing"))</f>
        <v>Missing</v>
      </c>
    </row>
    <row r="493" customFormat="false" ht="15" hidden="false" customHeight="false" outlineLevel="0" collapsed="false">
      <c r="A493" s="10" t="s">
        <v>323</v>
      </c>
      <c r="B493" s="10" t="s">
        <v>740</v>
      </c>
      <c r="C493" s="10" t="s">
        <v>437</v>
      </c>
      <c r="D493" s="10" t="s">
        <v>742</v>
      </c>
      <c r="E493" s="21" t="str">
        <f aca="false">IF(A493="","",A493&amp;"|"&amp;D493)</f>
        <v>L-Arginine|Other compendial tests (ID, LOD/KF, heavy metals...)</v>
      </c>
      <c r="F493" s="16" t="s">
        <v>662</v>
      </c>
      <c r="G493" s="16" t="s">
        <v>670</v>
      </c>
      <c r="H493" s="16" t="s">
        <v>672</v>
      </c>
      <c r="I493" s="16" t="n">
        <v>1</v>
      </c>
      <c r="J493" s="16"/>
      <c r="K493" s="14"/>
      <c r="L493" s="14"/>
      <c r="M493" s="14"/>
      <c r="N493" s="14"/>
      <c r="O493" s="14"/>
      <c r="P493" s="18" t="n">
        <f aca="false">IF(N493="",0,IF(OR(M493="",O493=""),N493,(M493+4*N493+O493)/6))</f>
        <v>0</v>
      </c>
      <c r="Q493" s="14"/>
      <c r="R493" s="14"/>
      <c r="S493" s="14"/>
      <c r="T493" s="14"/>
      <c r="U493" s="16"/>
      <c r="V493" s="13"/>
      <c r="W493" s="16" t="s">
        <v>667</v>
      </c>
      <c r="X493" s="16"/>
      <c r="Y493" s="16"/>
      <c r="Z493" s="16"/>
      <c r="AA493" s="22" t="n">
        <f aca="false">IF(F493&lt;&gt;"Y",0,((SUMIF(Products!$E$5:$E$300,A493,Products!$F$5:$F$300)+SUMIF(RM_Lots!$A$5:$A$400,A493,RM_Lots!$D$5:$D$400))+IF(W493="Y",SUMIF(Products!$E$5:$E$300,A493,Products!$G$5:$G$300),0))*(1+N(V493)))</f>
        <v>0</v>
      </c>
      <c r="AB493" s="22" t="n">
        <f aca="false">IF(F493&lt;&gt;"Y",0,((SUMIF(Products!$E$5:$E$300,A493,Products!$K$5:$K$300)+SUMIF(RM_Lots!$A$5:$A$400,A493,RM_Lots!$F$5:$F$400))+IF(W493="Y",SUMIF(Products!$E$5:$E$300,A493,Products!$L$5:$L$300),0))*(1+N(V493)))</f>
        <v>0</v>
      </c>
      <c r="AC493" s="17" t="n">
        <f aca="false">IF(J493="",1,MAX(1,COUNTIFS($J$5:$J$863,J493,$F$5:$F$863,"Y")))</f>
        <v>1</v>
      </c>
      <c r="AD493" s="18" t="n">
        <f aca="false">(MAX(1,N(I493))*(P493+N(S493))+MAX(1,N(I493))*N(K493)/(MAX(1,N(U493))*AC493))*Settings!$B$9</f>
        <v>0</v>
      </c>
      <c r="AE493" s="18" t="n">
        <f aca="false">(MAX(1,N(I493))*N(Q493)+MAX(1,N(I493))*N(L493)/(MAX(1,N(U493))*AC493))*Settings!$B$8</f>
        <v>0</v>
      </c>
      <c r="AF493" s="18" t="n">
        <f aca="false">MAX(1,N(I493))*N(T493)</f>
        <v>0</v>
      </c>
      <c r="AG493" s="15" t="n">
        <f aca="false">AA493*N(AD493)</f>
        <v>0</v>
      </c>
      <c r="AH493" s="15" t="n">
        <f aca="false">AA493*N(AE493)</f>
        <v>0</v>
      </c>
      <c r="AI493" s="15" t="n">
        <f aca="false">AA493*N(AF493)</f>
        <v>0</v>
      </c>
      <c r="AJ493" s="15" t="n">
        <f aca="false">AA493*N(R493)</f>
        <v>0</v>
      </c>
      <c r="AK493" s="15" t="n">
        <f aca="false">AB493*N(AD493)</f>
        <v>0</v>
      </c>
      <c r="AL493" s="15" t="n">
        <f aca="false">AB493*N(AE493)</f>
        <v>0</v>
      </c>
      <c r="AM493" s="15" t="n">
        <f aca="false">AB493*N(AF493)</f>
        <v>0</v>
      </c>
      <c r="AN493" s="15" t="n">
        <f aca="false">AB493*N(R493)</f>
        <v>0</v>
      </c>
      <c r="AO493" s="21" t="str">
        <f aca="false">IF(F493&lt;&gt;"Y","n/a",IF(AND(N493&lt;&gt;"",OR(Q493&lt;&gt;"",G493="Other / bench",G493="None"),U493&lt;&gt;""),"OK","Missing"))</f>
        <v>Missing</v>
      </c>
    </row>
    <row r="494" customFormat="false" ht="15" hidden="false" customHeight="false" outlineLevel="0" collapsed="false">
      <c r="A494" s="10" t="s">
        <v>327</v>
      </c>
      <c r="B494" s="10" t="s">
        <v>740</v>
      </c>
      <c r="C494" s="10" t="s">
        <v>437</v>
      </c>
      <c r="D494" s="10" t="s">
        <v>741</v>
      </c>
      <c r="E494" s="21" t="str">
        <f aca="false">IF(A494="","",A494&amp;"|"&amp;D494)</f>
        <v>L-Carnitine (Base)|Assay + related substances</v>
      </c>
      <c r="F494" s="16" t="s">
        <v>662</v>
      </c>
      <c r="G494" s="16" t="s">
        <v>147</v>
      </c>
      <c r="H494" s="16" t="s">
        <v>663</v>
      </c>
      <c r="I494" s="16" t="n">
        <v>1</v>
      </c>
      <c r="J494" s="16"/>
      <c r="K494" s="14"/>
      <c r="L494" s="14"/>
      <c r="M494" s="14"/>
      <c r="N494" s="14"/>
      <c r="O494" s="14"/>
      <c r="P494" s="18" t="n">
        <f aca="false">IF(N494="",0,IF(OR(M494="",O494=""),N494,(M494+4*N494+O494)/6))</f>
        <v>0</v>
      </c>
      <c r="Q494" s="14"/>
      <c r="R494" s="14"/>
      <c r="S494" s="14"/>
      <c r="T494" s="14"/>
      <c r="U494" s="16"/>
      <c r="V494" s="13"/>
      <c r="W494" s="16" t="s">
        <v>667</v>
      </c>
      <c r="X494" s="16"/>
      <c r="Y494" s="16"/>
      <c r="Z494" s="16"/>
      <c r="AA494" s="22" t="n">
        <f aca="false">IF(F494&lt;&gt;"Y",0,((SUMIF(Products!$E$5:$E$300,A494,Products!$F$5:$F$300)+SUMIF(RM_Lots!$A$5:$A$400,A494,RM_Lots!$D$5:$D$400))+IF(W494="Y",SUMIF(Products!$E$5:$E$300,A494,Products!$G$5:$G$300),0))*(1+N(V494)))</f>
        <v>0</v>
      </c>
      <c r="AB494" s="22" t="n">
        <f aca="false">IF(F494&lt;&gt;"Y",0,((SUMIF(Products!$E$5:$E$300,A494,Products!$K$5:$K$300)+SUMIF(RM_Lots!$A$5:$A$400,A494,RM_Lots!$F$5:$F$400))+IF(W494="Y",SUMIF(Products!$E$5:$E$300,A494,Products!$L$5:$L$300),0))*(1+N(V494)))</f>
        <v>0</v>
      </c>
      <c r="AC494" s="17" t="n">
        <f aca="false">IF(J494="",1,MAX(1,COUNTIFS($J$5:$J$863,J494,$F$5:$F$863,"Y")))</f>
        <v>1</v>
      </c>
      <c r="AD494" s="18" t="n">
        <f aca="false">(MAX(1,N(I494))*(P494+N(S494))+MAX(1,N(I494))*N(K494)/(MAX(1,N(U494))*AC494))*Settings!$B$9</f>
        <v>0</v>
      </c>
      <c r="AE494" s="18" t="n">
        <f aca="false">(MAX(1,N(I494))*N(Q494)+MAX(1,N(I494))*N(L494)/(MAX(1,N(U494))*AC494))*Settings!$B$8</f>
        <v>0</v>
      </c>
      <c r="AF494" s="18" t="n">
        <f aca="false">MAX(1,N(I494))*N(T494)</f>
        <v>0</v>
      </c>
      <c r="AG494" s="15" t="n">
        <f aca="false">AA494*N(AD494)</f>
        <v>0</v>
      </c>
      <c r="AH494" s="15" t="n">
        <f aca="false">AA494*N(AE494)</f>
        <v>0</v>
      </c>
      <c r="AI494" s="15" t="n">
        <f aca="false">AA494*N(AF494)</f>
        <v>0</v>
      </c>
      <c r="AJ494" s="15" t="n">
        <f aca="false">AA494*N(R494)</f>
        <v>0</v>
      </c>
      <c r="AK494" s="15" t="n">
        <f aca="false">AB494*N(AD494)</f>
        <v>0</v>
      </c>
      <c r="AL494" s="15" t="n">
        <f aca="false">AB494*N(AE494)</f>
        <v>0</v>
      </c>
      <c r="AM494" s="15" t="n">
        <f aca="false">AB494*N(AF494)</f>
        <v>0</v>
      </c>
      <c r="AN494" s="15" t="n">
        <f aca="false">AB494*N(R494)</f>
        <v>0</v>
      </c>
      <c r="AO494" s="21" t="str">
        <f aca="false">IF(F494&lt;&gt;"Y","n/a",IF(AND(N494&lt;&gt;"",OR(Q494&lt;&gt;"",G494="Other / bench",G494="None"),U494&lt;&gt;""),"OK","Missing"))</f>
        <v>Missing</v>
      </c>
    </row>
    <row r="495" customFormat="false" ht="15" hidden="false" customHeight="false" outlineLevel="0" collapsed="false">
      <c r="A495" s="10" t="s">
        <v>327</v>
      </c>
      <c r="B495" s="10" t="s">
        <v>740</v>
      </c>
      <c r="C495" s="10" t="s">
        <v>437</v>
      </c>
      <c r="D495" s="10" t="s">
        <v>742</v>
      </c>
      <c r="E495" s="21" t="str">
        <f aca="false">IF(A495="","",A495&amp;"|"&amp;D495)</f>
        <v>L-Carnitine (Base)|Other compendial tests (ID, LOD/KF, heavy metals...)</v>
      </c>
      <c r="F495" s="16" t="s">
        <v>662</v>
      </c>
      <c r="G495" s="16" t="s">
        <v>670</v>
      </c>
      <c r="H495" s="16" t="s">
        <v>672</v>
      </c>
      <c r="I495" s="16" t="n">
        <v>1</v>
      </c>
      <c r="J495" s="16"/>
      <c r="K495" s="14"/>
      <c r="L495" s="14"/>
      <c r="M495" s="14"/>
      <c r="N495" s="14"/>
      <c r="O495" s="14"/>
      <c r="P495" s="18" t="n">
        <f aca="false">IF(N495="",0,IF(OR(M495="",O495=""),N495,(M495+4*N495+O495)/6))</f>
        <v>0</v>
      </c>
      <c r="Q495" s="14"/>
      <c r="R495" s="14"/>
      <c r="S495" s="14"/>
      <c r="T495" s="14"/>
      <c r="U495" s="16"/>
      <c r="V495" s="13"/>
      <c r="W495" s="16" t="s">
        <v>667</v>
      </c>
      <c r="X495" s="16"/>
      <c r="Y495" s="16"/>
      <c r="Z495" s="16"/>
      <c r="AA495" s="22" t="n">
        <f aca="false">IF(F495&lt;&gt;"Y",0,((SUMIF(Products!$E$5:$E$300,A495,Products!$F$5:$F$300)+SUMIF(RM_Lots!$A$5:$A$400,A495,RM_Lots!$D$5:$D$400))+IF(W495="Y",SUMIF(Products!$E$5:$E$300,A495,Products!$G$5:$G$300),0))*(1+N(V495)))</f>
        <v>0</v>
      </c>
      <c r="AB495" s="22" t="n">
        <f aca="false">IF(F495&lt;&gt;"Y",0,((SUMIF(Products!$E$5:$E$300,A495,Products!$K$5:$K$300)+SUMIF(RM_Lots!$A$5:$A$400,A495,RM_Lots!$F$5:$F$400))+IF(W495="Y",SUMIF(Products!$E$5:$E$300,A495,Products!$L$5:$L$300),0))*(1+N(V495)))</f>
        <v>0</v>
      </c>
      <c r="AC495" s="17" t="n">
        <f aca="false">IF(J495="",1,MAX(1,COUNTIFS($J$5:$J$863,J495,$F$5:$F$863,"Y")))</f>
        <v>1</v>
      </c>
      <c r="AD495" s="18" t="n">
        <f aca="false">(MAX(1,N(I495))*(P495+N(S495))+MAX(1,N(I495))*N(K495)/(MAX(1,N(U495))*AC495))*Settings!$B$9</f>
        <v>0</v>
      </c>
      <c r="AE495" s="18" t="n">
        <f aca="false">(MAX(1,N(I495))*N(Q495)+MAX(1,N(I495))*N(L495)/(MAX(1,N(U495))*AC495))*Settings!$B$8</f>
        <v>0</v>
      </c>
      <c r="AF495" s="18" t="n">
        <f aca="false">MAX(1,N(I495))*N(T495)</f>
        <v>0</v>
      </c>
      <c r="AG495" s="15" t="n">
        <f aca="false">AA495*N(AD495)</f>
        <v>0</v>
      </c>
      <c r="AH495" s="15" t="n">
        <f aca="false">AA495*N(AE495)</f>
        <v>0</v>
      </c>
      <c r="AI495" s="15" t="n">
        <f aca="false">AA495*N(AF495)</f>
        <v>0</v>
      </c>
      <c r="AJ495" s="15" t="n">
        <f aca="false">AA495*N(R495)</f>
        <v>0</v>
      </c>
      <c r="AK495" s="15" t="n">
        <f aca="false">AB495*N(AD495)</f>
        <v>0</v>
      </c>
      <c r="AL495" s="15" t="n">
        <f aca="false">AB495*N(AE495)</f>
        <v>0</v>
      </c>
      <c r="AM495" s="15" t="n">
        <f aca="false">AB495*N(AF495)</f>
        <v>0</v>
      </c>
      <c r="AN495" s="15" t="n">
        <f aca="false">AB495*N(R495)</f>
        <v>0</v>
      </c>
      <c r="AO495" s="21" t="str">
        <f aca="false">IF(F495&lt;&gt;"Y","n/a",IF(AND(N495&lt;&gt;"",OR(Q495&lt;&gt;"",G495="Other / bench",G495="None"),U495&lt;&gt;""),"OK","Missing"))</f>
        <v>Missing</v>
      </c>
    </row>
    <row r="496" customFormat="false" ht="15" hidden="false" customHeight="false" outlineLevel="0" collapsed="false">
      <c r="A496" s="10" t="s">
        <v>479</v>
      </c>
      <c r="B496" s="10" t="s">
        <v>740</v>
      </c>
      <c r="C496" s="10" t="s">
        <v>437</v>
      </c>
      <c r="D496" s="10" t="s">
        <v>741</v>
      </c>
      <c r="E496" s="21" t="str">
        <f aca="false">IF(A496="","",A496&amp;"|"&amp;D496)</f>
        <v>L-Citrulline|Assay + related substances</v>
      </c>
      <c r="F496" s="16" t="s">
        <v>662</v>
      </c>
      <c r="G496" s="16" t="s">
        <v>147</v>
      </c>
      <c r="H496" s="16" t="s">
        <v>663</v>
      </c>
      <c r="I496" s="16" t="n">
        <v>1</v>
      </c>
      <c r="J496" s="16"/>
      <c r="K496" s="14"/>
      <c r="L496" s="14"/>
      <c r="M496" s="14"/>
      <c r="N496" s="14"/>
      <c r="O496" s="14"/>
      <c r="P496" s="18" t="n">
        <f aca="false">IF(N496="",0,IF(OR(M496="",O496=""),N496,(M496+4*N496+O496)/6))</f>
        <v>0</v>
      </c>
      <c r="Q496" s="14"/>
      <c r="R496" s="14"/>
      <c r="S496" s="14"/>
      <c r="T496" s="14"/>
      <c r="U496" s="16"/>
      <c r="V496" s="13"/>
      <c r="W496" s="16" t="s">
        <v>667</v>
      </c>
      <c r="X496" s="16"/>
      <c r="Y496" s="16"/>
      <c r="Z496" s="16"/>
      <c r="AA496" s="22" t="n">
        <f aca="false">IF(F496&lt;&gt;"Y",0,((SUMIF(Products!$E$5:$E$300,A496,Products!$F$5:$F$300)+SUMIF(RM_Lots!$A$5:$A$400,A496,RM_Lots!$D$5:$D$400))+IF(W496="Y",SUMIF(Products!$E$5:$E$300,A496,Products!$G$5:$G$300),0))*(1+N(V496)))</f>
        <v>0</v>
      </c>
      <c r="AB496" s="22" t="n">
        <f aca="false">IF(F496&lt;&gt;"Y",0,((SUMIF(Products!$E$5:$E$300,A496,Products!$K$5:$K$300)+SUMIF(RM_Lots!$A$5:$A$400,A496,RM_Lots!$F$5:$F$400))+IF(W496="Y",SUMIF(Products!$E$5:$E$300,A496,Products!$L$5:$L$300),0))*(1+N(V496)))</f>
        <v>0</v>
      </c>
      <c r="AC496" s="17" t="n">
        <f aca="false">IF(J496="",1,MAX(1,COUNTIFS($J$5:$J$863,J496,$F$5:$F$863,"Y")))</f>
        <v>1</v>
      </c>
      <c r="AD496" s="18" t="n">
        <f aca="false">(MAX(1,N(I496))*(P496+N(S496))+MAX(1,N(I496))*N(K496)/(MAX(1,N(U496))*AC496))*Settings!$B$9</f>
        <v>0</v>
      </c>
      <c r="AE496" s="18" t="n">
        <f aca="false">(MAX(1,N(I496))*N(Q496)+MAX(1,N(I496))*N(L496)/(MAX(1,N(U496))*AC496))*Settings!$B$8</f>
        <v>0</v>
      </c>
      <c r="AF496" s="18" t="n">
        <f aca="false">MAX(1,N(I496))*N(T496)</f>
        <v>0</v>
      </c>
      <c r="AG496" s="15" t="n">
        <f aca="false">AA496*N(AD496)</f>
        <v>0</v>
      </c>
      <c r="AH496" s="15" t="n">
        <f aca="false">AA496*N(AE496)</f>
        <v>0</v>
      </c>
      <c r="AI496" s="15" t="n">
        <f aca="false">AA496*N(AF496)</f>
        <v>0</v>
      </c>
      <c r="AJ496" s="15" t="n">
        <f aca="false">AA496*N(R496)</f>
        <v>0</v>
      </c>
      <c r="AK496" s="15" t="n">
        <f aca="false">AB496*N(AD496)</f>
        <v>0</v>
      </c>
      <c r="AL496" s="15" t="n">
        <f aca="false">AB496*N(AE496)</f>
        <v>0</v>
      </c>
      <c r="AM496" s="15" t="n">
        <f aca="false">AB496*N(AF496)</f>
        <v>0</v>
      </c>
      <c r="AN496" s="15" t="n">
        <f aca="false">AB496*N(R496)</f>
        <v>0</v>
      </c>
      <c r="AO496" s="21" t="str">
        <f aca="false">IF(F496&lt;&gt;"Y","n/a",IF(AND(N496&lt;&gt;"",OR(Q496&lt;&gt;"",G496="Other / bench",G496="None"),U496&lt;&gt;""),"OK","Missing"))</f>
        <v>Missing</v>
      </c>
    </row>
    <row r="497" customFormat="false" ht="15" hidden="false" customHeight="false" outlineLevel="0" collapsed="false">
      <c r="A497" s="10" t="s">
        <v>479</v>
      </c>
      <c r="B497" s="10" t="s">
        <v>740</v>
      </c>
      <c r="C497" s="10" t="s">
        <v>437</v>
      </c>
      <c r="D497" s="10" t="s">
        <v>742</v>
      </c>
      <c r="E497" s="21" t="str">
        <f aca="false">IF(A497="","",A497&amp;"|"&amp;D497)</f>
        <v>L-Citrulline|Other compendial tests (ID, LOD/KF, heavy metals...)</v>
      </c>
      <c r="F497" s="16" t="s">
        <v>662</v>
      </c>
      <c r="G497" s="16" t="s">
        <v>670</v>
      </c>
      <c r="H497" s="16" t="s">
        <v>672</v>
      </c>
      <c r="I497" s="16" t="n">
        <v>1</v>
      </c>
      <c r="J497" s="16"/>
      <c r="K497" s="14"/>
      <c r="L497" s="14"/>
      <c r="M497" s="14"/>
      <c r="N497" s="14"/>
      <c r="O497" s="14"/>
      <c r="P497" s="18" t="n">
        <f aca="false">IF(N497="",0,IF(OR(M497="",O497=""),N497,(M497+4*N497+O497)/6))</f>
        <v>0</v>
      </c>
      <c r="Q497" s="14"/>
      <c r="R497" s="14"/>
      <c r="S497" s="14"/>
      <c r="T497" s="14"/>
      <c r="U497" s="16"/>
      <c r="V497" s="13"/>
      <c r="W497" s="16" t="s">
        <v>667</v>
      </c>
      <c r="X497" s="16"/>
      <c r="Y497" s="16"/>
      <c r="Z497" s="16"/>
      <c r="AA497" s="22" t="n">
        <f aca="false">IF(F497&lt;&gt;"Y",0,((SUMIF(Products!$E$5:$E$300,A497,Products!$F$5:$F$300)+SUMIF(RM_Lots!$A$5:$A$400,A497,RM_Lots!$D$5:$D$400))+IF(W497="Y",SUMIF(Products!$E$5:$E$300,A497,Products!$G$5:$G$300),0))*(1+N(V497)))</f>
        <v>0</v>
      </c>
      <c r="AB497" s="22" t="n">
        <f aca="false">IF(F497&lt;&gt;"Y",0,((SUMIF(Products!$E$5:$E$300,A497,Products!$K$5:$K$300)+SUMIF(RM_Lots!$A$5:$A$400,A497,RM_Lots!$F$5:$F$400))+IF(W497="Y",SUMIF(Products!$E$5:$E$300,A497,Products!$L$5:$L$300),0))*(1+N(V497)))</f>
        <v>0</v>
      </c>
      <c r="AC497" s="17" t="n">
        <f aca="false">IF(J497="",1,MAX(1,COUNTIFS($J$5:$J$863,J497,$F$5:$F$863,"Y")))</f>
        <v>1</v>
      </c>
      <c r="AD497" s="18" t="n">
        <f aca="false">(MAX(1,N(I497))*(P497+N(S497))+MAX(1,N(I497))*N(K497)/(MAX(1,N(U497))*AC497))*Settings!$B$9</f>
        <v>0</v>
      </c>
      <c r="AE497" s="18" t="n">
        <f aca="false">(MAX(1,N(I497))*N(Q497)+MAX(1,N(I497))*N(L497)/(MAX(1,N(U497))*AC497))*Settings!$B$8</f>
        <v>0</v>
      </c>
      <c r="AF497" s="18" t="n">
        <f aca="false">MAX(1,N(I497))*N(T497)</f>
        <v>0</v>
      </c>
      <c r="AG497" s="15" t="n">
        <f aca="false">AA497*N(AD497)</f>
        <v>0</v>
      </c>
      <c r="AH497" s="15" t="n">
        <f aca="false">AA497*N(AE497)</f>
        <v>0</v>
      </c>
      <c r="AI497" s="15" t="n">
        <f aca="false">AA497*N(AF497)</f>
        <v>0</v>
      </c>
      <c r="AJ497" s="15" t="n">
        <f aca="false">AA497*N(R497)</f>
        <v>0</v>
      </c>
      <c r="AK497" s="15" t="n">
        <f aca="false">AB497*N(AD497)</f>
        <v>0</v>
      </c>
      <c r="AL497" s="15" t="n">
        <f aca="false">AB497*N(AE497)</f>
        <v>0</v>
      </c>
      <c r="AM497" s="15" t="n">
        <f aca="false">AB497*N(AF497)</f>
        <v>0</v>
      </c>
      <c r="AN497" s="15" t="n">
        <f aca="false">AB497*N(R497)</f>
        <v>0</v>
      </c>
      <c r="AO497" s="21" t="str">
        <f aca="false">IF(F497&lt;&gt;"Y","n/a",IF(AND(N497&lt;&gt;"",OR(Q497&lt;&gt;"",G497="Other / bench",G497="None"),U497&lt;&gt;""),"OK","Missing"))</f>
        <v>Missing</v>
      </c>
    </row>
    <row r="498" customFormat="false" ht="15" hidden="false" customHeight="false" outlineLevel="0" collapsed="false">
      <c r="A498" s="10" t="s">
        <v>480</v>
      </c>
      <c r="B498" s="10" t="s">
        <v>740</v>
      </c>
      <c r="C498" s="10" t="s">
        <v>437</v>
      </c>
      <c r="D498" s="10" t="s">
        <v>741</v>
      </c>
      <c r="E498" s="21" t="str">
        <f aca="false">IF(A498="","",A498&amp;"|"&amp;D498)</f>
        <v>L-Cystine|Assay + related substances</v>
      </c>
      <c r="F498" s="16" t="s">
        <v>662</v>
      </c>
      <c r="G498" s="16" t="s">
        <v>147</v>
      </c>
      <c r="H498" s="16" t="s">
        <v>663</v>
      </c>
      <c r="I498" s="16" t="n">
        <v>1</v>
      </c>
      <c r="J498" s="16"/>
      <c r="K498" s="14"/>
      <c r="L498" s="14"/>
      <c r="M498" s="14"/>
      <c r="N498" s="14"/>
      <c r="O498" s="14"/>
      <c r="P498" s="18" t="n">
        <f aca="false">IF(N498="",0,IF(OR(M498="",O498=""),N498,(M498+4*N498+O498)/6))</f>
        <v>0</v>
      </c>
      <c r="Q498" s="14"/>
      <c r="R498" s="14"/>
      <c r="S498" s="14"/>
      <c r="T498" s="14"/>
      <c r="U498" s="16"/>
      <c r="V498" s="13"/>
      <c r="W498" s="16" t="s">
        <v>667</v>
      </c>
      <c r="X498" s="16"/>
      <c r="Y498" s="16"/>
      <c r="Z498" s="16"/>
      <c r="AA498" s="22" t="n">
        <f aca="false">IF(F498&lt;&gt;"Y",0,((SUMIF(Products!$E$5:$E$300,A498,Products!$F$5:$F$300)+SUMIF(RM_Lots!$A$5:$A$400,A498,RM_Lots!$D$5:$D$400))+IF(W498="Y",SUMIF(Products!$E$5:$E$300,A498,Products!$G$5:$G$300),0))*(1+N(V498)))</f>
        <v>0</v>
      </c>
      <c r="AB498" s="22" t="n">
        <f aca="false">IF(F498&lt;&gt;"Y",0,((SUMIF(Products!$E$5:$E$300,A498,Products!$K$5:$K$300)+SUMIF(RM_Lots!$A$5:$A$400,A498,RM_Lots!$F$5:$F$400))+IF(W498="Y",SUMIF(Products!$E$5:$E$300,A498,Products!$L$5:$L$300),0))*(1+N(V498)))</f>
        <v>0</v>
      </c>
      <c r="AC498" s="17" t="n">
        <f aca="false">IF(J498="",1,MAX(1,COUNTIFS($J$5:$J$863,J498,$F$5:$F$863,"Y")))</f>
        <v>1</v>
      </c>
      <c r="AD498" s="18" t="n">
        <f aca="false">(MAX(1,N(I498))*(P498+N(S498))+MAX(1,N(I498))*N(K498)/(MAX(1,N(U498))*AC498))*Settings!$B$9</f>
        <v>0</v>
      </c>
      <c r="AE498" s="18" t="n">
        <f aca="false">(MAX(1,N(I498))*N(Q498)+MAX(1,N(I498))*N(L498)/(MAX(1,N(U498))*AC498))*Settings!$B$8</f>
        <v>0</v>
      </c>
      <c r="AF498" s="18" t="n">
        <f aca="false">MAX(1,N(I498))*N(T498)</f>
        <v>0</v>
      </c>
      <c r="AG498" s="15" t="n">
        <f aca="false">AA498*N(AD498)</f>
        <v>0</v>
      </c>
      <c r="AH498" s="15" t="n">
        <f aca="false">AA498*N(AE498)</f>
        <v>0</v>
      </c>
      <c r="AI498" s="15" t="n">
        <f aca="false">AA498*N(AF498)</f>
        <v>0</v>
      </c>
      <c r="AJ498" s="15" t="n">
        <f aca="false">AA498*N(R498)</f>
        <v>0</v>
      </c>
      <c r="AK498" s="15" t="n">
        <f aca="false">AB498*N(AD498)</f>
        <v>0</v>
      </c>
      <c r="AL498" s="15" t="n">
        <f aca="false">AB498*N(AE498)</f>
        <v>0</v>
      </c>
      <c r="AM498" s="15" t="n">
        <f aca="false">AB498*N(AF498)</f>
        <v>0</v>
      </c>
      <c r="AN498" s="15" t="n">
        <f aca="false">AB498*N(R498)</f>
        <v>0</v>
      </c>
      <c r="AO498" s="21" t="str">
        <f aca="false">IF(F498&lt;&gt;"Y","n/a",IF(AND(N498&lt;&gt;"",OR(Q498&lt;&gt;"",G498="Other / bench",G498="None"),U498&lt;&gt;""),"OK","Missing"))</f>
        <v>Missing</v>
      </c>
    </row>
    <row r="499" customFormat="false" ht="15" hidden="false" customHeight="false" outlineLevel="0" collapsed="false">
      <c r="A499" s="10" t="s">
        <v>480</v>
      </c>
      <c r="B499" s="10" t="s">
        <v>740</v>
      </c>
      <c r="C499" s="10" t="s">
        <v>437</v>
      </c>
      <c r="D499" s="10" t="s">
        <v>742</v>
      </c>
      <c r="E499" s="21" t="str">
        <f aca="false">IF(A499="","",A499&amp;"|"&amp;D499)</f>
        <v>L-Cystine|Other compendial tests (ID, LOD/KF, heavy metals...)</v>
      </c>
      <c r="F499" s="16" t="s">
        <v>662</v>
      </c>
      <c r="G499" s="16" t="s">
        <v>670</v>
      </c>
      <c r="H499" s="16" t="s">
        <v>672</v>
      </c>
      <c r="I499" s="16" t="n">
        <v>1</v>
      </c>
      <c r="J499" s="16"/>
      <c r="K499" s="14"/>
      <c r="L499" s="14"/>
      <c r="M499" s="14"/>
      <c r="N499" s="14"/>
      <c r="O499" s="14"/>
      <c r="P499" s="18" t="n">
        <f aca="false">IF(N499="",0,IF(OR(M499="",O499=""),N499,(M499+4*N499+O499)/6))</f>
        <v>0</v>
      </c>
      <c r="Q499" s="14"/>
      <c r="R499" s="14"/>
      <c r="S499" s="14"/>
      <c r="T499" s="14"/>
      <c r="U499" s="16"/>
      <c r="V499" s="13"/>
      <c r="W499" s="16" t="s">
        <v>667</v>
      </c>
      <c r="X499" s="16"/>
      <c r="Y499" s="16"/>
      <c r="Z499" s="16"/>
      <c r="AA499" s="22" t="n">
        <f aca="false">IF(F499&lt;&gt;"Y",0,((SUMIF(Products!$E$5:$E$300,A499,Products!$F$5:$F$300)+SUMIF(RM_Lots!$A$5:$A$400,A499,RM_Lots!$D$5:$D$400))+IF(W499="Y",SUMIF(Products!$E$5:$E$300,A499,Products!$G$5:$G$300),0))*(1+N(V499)))</f>
        <v>0</v>
      </c>
      <c r="AB499" s="22" t="n">
        <f aca="false">IF(F499&lt;&gt;"Y",0,((SUMIF(Products!$E$5:$E$300,A499,Products!$K$5:$K$300)+SUMIF(RM_Lots!$A$5:$A$400,A499,RM_Lots!$F$5:$F$400))+IF(W499="Y",SUMIF(Products!$E$5:$E$300,A499,Products!$L$5:$L$300),0))*(1+N(V499)))</f>
        <v>0</v>
      </c>
      <c r="AC499" s="17" t="n">
        <f aca="false">IF(J499="",1,MAX(1,COUNTIFS($J$5:$J$863,J499,$F$5:$F$863,"Y")))</f>
        <v>1</v>
      </c>
      <c r="AD499" s="18" t="n">
        <f aca="false">(MAX(1,N(I499))*(P499+N(S499))+MAX(1,N(I499))*N(K499)/(MAX(1,N(U499))*AC499))*Settings!$B$9</f>
        <v>0</v>
      </c>
      <c r="AE499" s="18" t="n">
        <f aca="false">(MAX(1,N(I499))*N(Q499)+MAX(1,N(I499))*N(L499)/(MAX(1,N(U499))*AC499))*Settings!$B$8</f>
        <v>0</v>
      </c>
      <c r="AF499" s="18" t="n">
        <f aca="false">MAX(1,N(I499))*N(T499)</f>
        <v>0</v>
      </c>
      <c r="AG499" s="15" t="n">
        <f aca="false">AA499*N(AD499)</f>
        <v>0</v>
      </c>
      <c r="AH499" s="15" t="n">
        <f aca="false">AA499*N(AE499)</f>
        <v>0</v>
      </c>
      <c r="AI499" s="15" t="n">
        <f aca="false">AA499*N(AF499)</f>
        <v>0</v>
      </c>
      <c r="AJ499" s="15" t="n">
        <f aca="false">AA499*N(R499)</f>
        <v>0</v>
      </c>
      <c r="AK499" s="15" t="n">
        <f aca="false">AB499*N(AD499)</f>
        <v>0</v>
      </c>
      <c r="AL499" s="15" t="n">
        <f aca="false">AB499*N(AE499)</f>
        <v>0</v>
      </c>
      <c r="AM499" s="15" t="n">
        <f aca="false">AB499*N(AF499)</f>
        <v>0</v>
      </c>
      <c r="AN499" s="15" t="n">
        <f aca="false">AB499*N(R499)</f>
        <v>0</v>
      </c>
      <c r="AO499" s="21" t="str">
        <f aca="false">IF(F499&lt;&gt;"Y","n/a",IF(AND(N499&lt;&gt;"",OR(Q499&lt;&gt;"",G499="Other / bench",G499="None"),U499&lt;&gt;""),"OK","Missing"))</f>
        <v>Missing</v>
      </c>
    </row>
    <row r="500" customFormat="false" ht="15" hidden="false" customHeight="false" outlineLevel="0" collapsed="false">
      <c r="A500" s="10" t="s">
        <v>258</v>
      </c>
      <c r="B500" s="10" t="s">
        <v>740</v>
      </c>
      <c r="C500" s="10" t="s">
        <v>437</v>
      </c>
      <c r="D500" s="10" t="s">
        <v>741</v>
      </c>
      <c r="E500" s="21" t="str">
        <f aca="false">IF(A500="","",A500&amp;"|"&amp;D500)</f>
        <v>Linagliptin|Assay + related substances</v>
      </c>
      <c r="F500" s="16" t="s">
        <v>662</v>
      </c>
      <c r="G500" s="16" t="s">
        <v>147</v>
      </c>
      <c r="H500" s="16" t="s">
        <v>663</v>
      </c>
      <c r="I500" s="16" t="n">
        <v>1</v>
      </c>
      <c r="J500" s="16"/>
      <c r="K500" s="14"/>
      <c r="L500" s="14"/>
      <c r="M500" s="14"/>
      <c r="N500" s="14"/>
      <c r="O500" s="14"/>
      <c r="P500" s="18" t="n">
        <f aca="false">IF(N500="",0,IF(OR(M500="",O500=""),N500,(M500+4*N500+O500)/6))</f>
        <v>0</v>
      </c>
      <c r="Q500" s="14"/>
      <c r="R500" s="14"/>
      <c r="S500" s="14"/>
      <c r="T500" s="14"/>
      <c r="U500" s="16"/>
      <c r="V500" s="13"/>
      <c r="W500" s="16" t="s">
        <v>667</v>
      </c>
      <c r="X500" s="16"/>
      <c r="Y500" s="16"/>
      <c r="Z500" s="16"/>
      <c r="AA500" s="22" t="n">
        <f aca="false">IF(F500&lt;&gt;"Y",0,((SUMIF(Products!$E$5:$E$300,A500,Products!$F$5:$F$300)+SUMIF(RM_Lots!$A$5:$A$400,A500,RM_Lots!$D$5:$D$400))+IF(W500="Y",SUMIF(Products!$E$5:$E$300,A500,Products!$G$5:$G$300),0))*(1+N(V500)))</f>
        <v>0</v>
      </c>
      <c r="AB500" s="22" t="n">
        <f aca="false">IF(F500&lt;&gt;"Y",0,((SUMIF(Products!$E$5:$E$300,A500,Products!$K$5:$K$300)+SUMIF(RM_Lots!$A$5:$A$400,A500,RM_Lots!$F$5:$F$400))+IF(W500="Y",SUMIF(Products!$E$5:$E$300,A500,Products!$L$5:$L$300),0))*(1+N(V500)))</f>
        <v>0</v>
      </c>
      <c r="AC500" s="17" t="n">
        <f aca="false">IF(J500="",1,MAX(1,COUNTIFS($J$5:$J$863,J500,$F$5:$F$863,"Y")))</f>
        <v>1</v>
      </c>
      <c r="AD500" s="18" t="n">
        <f aca="false">(MAX(1,N(I500))*(P500+N(S500))+MAX(1,N(I500))*N(K500)/(MAX(1,N(U500))*AC500))*Settings!$B$9</f>
        <v>0</v>
      </c>
      <c r="AE500" s="18" t="n">
        <f aca="false">(MAX(1,N(I500))*N(Q500)+MAX(1,N(I500))*N(L500)/(MAX(1,N(U500))*AC500))*Settings!$B$8</f>
        <v>0</v>
      </c>
      <c r="AF500" s="18" t="n">
        <f aca="false">MAX(1,N(I500))*N(T500)</f>
        <v>0</v>
      </c>
      <c r="AG500" s="15" t="n">
        <f aca="false">AA500*N(AD500)</f>
        <v>0</v>
      </c>
      <c r="AH500" s="15" t="n">
        <f aca="false">AA500*N(AE500)</f>
        <v>0</v>
      </c>
      <c r="AI500" s="15" t="n">
        <f aca="false">AA500*N(AF500)</f>
        <v>0</v>
      </c>
      <c r="AJ500" s="15" t="n">
        <f aca="false">AA500*N(R500)</f>
        <v>0</v>
      </c>
      <c r="AK500" s="15" t="n">
        <f aca="false">AB500*N(AD500)</f>
        <v>0</v>
      </c>
      <c r="AL500" s="15" t="n">
        <f aca="false">AB500*N(AE500)</f>
        <v>0</v>
      </c>
      <c r="AM500" s="15" t="n">
        <f aca="false">AB500*N(AF500)</f>
        <v>0</v>
      </c>
      <c r="AN500" s="15" t="n">
        <f aca="false">AB500*N(R500)</f>
        <v>0</v>
      </c>
      <c r="AO500" s="21" t="str">
        <f aca="false">IF(F500&lt;&gt;"Y","n/a",IF(AND(N500&lt;&gt;"",OR(Q500&lt;&gt;"",G500="Other / bench",G500="None"),U500&lt;&gt;""),"OK","Missing"))</f>
        <v>Missing</v>
      </c>
    </row>
    <row r="501" customFormat="false" ht="15" hidden="false" customHeight="false" outlineLevel="0" collapsed="false">
      <c r="A501" s="10" t="s">
        <v>258</v>
      </c>
      <c r="B501" s="10" t="s">
        <v>740</v>
      </c>
      <c r="C501" s="10" t="s">
        <v>437</v>
      </c>
      <c r="D501" s="10" t="s">
        <v>742</v>
      </c>
      <c r="E501" s="21" t="str">
        <f aca="false">IF(A501="","",A501&amp;"|"&amp;D501)</f>
        <v>Linagliptin|Other compendial tests (ID, LOD/KF, heavy metals...)</v>
      </c>
      <c r="F501" s="16" t="s">
        <v>662</v>
      </c>
      <c r="G501" s="16" t="s">
        <v>670</v>
      </c>
      <c r="H501" s="16" t="s">
        <v>672</v>
      </c>
      <c r="I501" s="16" t="n">
        <v>1</v>
      </c>
      <c r="J501" s="16"/>
      <c r="K501" s="14"/>
      <c r="L501" s="14"/>
      <c r="M501" s="14"/>
      <c r="N501" s="14"/>
      <c r="O501" s="14"/>
      <c r="P501" s="18" t="n">
        <f aca="false">IF(N501="",0,IF(OR(M501="",O501=""),N501,(M501+4*N501+O501)/6))</f>
        <v>0</v>
      </c>
      <c r="Q501" s="14"/>
      <c r="R501" s="14"/>
      <c r="S501" s="14"/>
      <c r="T501" s="14"/>
      <c r="U501" s="16"/>
      <c r="V501" s="13"/>
      <c r="W501" s="16" t="s">
        <v>667</v>
      </c>
      <c r="X501" s="16"/>
      <c r="Y501" s="16"/>
      <c r="Z501" s="16"/>
      <c r="AA501" s="22" t="n">
        <f aca="false">IF(F501&lt;&gt;"Y",0,((SUMIF(Products!$E$5:$E$300,A501,Products!$F$5:$F$300)+SUMIF(RM_Lots!$A$5:$A$400,A501,RM_Lots!$D$5:$D$400))+IF(W501="Y",SUMIF(Products!$E$5:$E$300,A501,Products!$G$5:$G$300),0))*(1+N(V501)))</f>
        <v>0</v>
      </c>
      <c r="AB501" s="22" t="n">
        <f aca="false">IF(F501&lt;&gt;"Y",0,((SUMIF(Products!$E$5:$E$300,A501,Products!$K$5:$K$300)+SUMIF(RM_Lots!$A$5:$A$400,A501,RM_Lots!$F$5:$F$400))+IF(W501="Y",SUMIF(Products!$E$5:$E$300,A501,Products!$L$5:$L$300),0))*(1+N(V501)))</f>
        <v>0</v>
      </c>
      <c r="AC501" s="17" t="n">
        <f aca="false">IF(J501="",1,MAX(1,COUNTIFS($J$5:$J$863,J501,$F$5:$F$863,"Y")))</f>
        <v>1</v>
      </c>
      <c r="AD501" s="18" t="n">
        <f aca="false">(MAX(1,N(I501))*(P501+N(S501))+MAX(1,N(I501))*N(K501)/(MAX(1,N(U501))*AC501))*Settings!$B$9</f>
        <v>0</v>
      </c>
      <c r="AE501" s="18" t="n">
        <f aca="false">(MAX(1,N(I501))*N(Q501)+MAX(1,N(I501))*N(L501)/(MAX(1,N(U501))*AC501))*Settings!$B$8</f>
        <v>0</v>
      </c>
      <c r="AF501" s="18" t="n">
        <f aca="false">MAX(1,N(I501))*N(T501)</f>
        <v>0</v>
      </c>
      <c r="AG501" s="15" t="n">
        <f aca="false">AA501*N(AD501)</f>
        <v>0</v>
      </c>
      <c r="AH501" s="15" t="n">
        <f aca="false">AA501*N(AE501)</f>
        <v>0</v>
      </c>
      <c r="AI501" s="15" t="n">
        <f aca="false">AA501*N(AF501)</f>
        <v>0</v>
      </c>
      <c r="AJ501" s="15" t="n">
        <f aca="false">AA501*N(R501)</f>
        <v>0</v>
      </c>
      <c r="AK501" s="15" t="n">
        <f aca="false">AB501*N(AD501)</f>
        <v>0</v>
      </c>
      <c r="AL501" s="15" t="n">
        <f aca="false">AB501*N(AE501)</f>
        <v>0</v>
      </c>
      <c r="AM501" s="15" t="n">
        <f aca="false">AB501*N(AF501)</f>
        <v>0</v>
      </c>
      <c r="AN501" s="15" t="n">
        <f aca="false">AB501*N(R501)</f>
        <v>0</v>
      </c>
      <c r="AO501" s="21" t="str">
        <f aca="false">IF(F501&lt;&gt;"Y","n/a",IF(AND(N501&lt;&gt;"",OR(Q501&lt;&gt;"",G501="Other / bench",G501="None"),U501&lt;&gt;""),"OK","Missing"))</f>
        <v>Missing</v>
      </c>
    </row>
    <row r="502" customFormat="false" ht="15" hidden="false" customHeight="false" outlineLevel="0" collapsed="false">
      <c r="A502" s="10" t="s">
        <v>481</v>
      </c>
      <c r="B502" s="10" t="s">
        <v>740</v>
      </c>
      <c r="C502" s="10" t="s">
        <v>437</v>
      </c>
      <c r="D502" s="10" t="s">
        <v>741</v>
      </c>
      <c r="E502" s="21" t="str">
        <f aca="false">IF(A502="","",A502&amp;"|"&amp;D502)</f>
        <v>Liquorice Dry Extract 8:1|Assay + related substances</v>
      </c>
      <c r="F502" s="16" t="s">
        <v>662</v>
      </c>
      <c r="G502" s="16" t="s">
        <v>147</v>
      </c>
      <c r="H502" s="16" t="s">
        <v>663</v>
      </c>
      <c r="I502" s="16" t="n">
        <v>1</v>
      </c>
      <c r="J502" s="16"/>
      <c r="K502" s="14"/>
      <c r="L502" s="14"/>
      <c r="M502" s="14"/>
      <c r="N502" s="14"/>
      <c r="O502" s="14"/>
      <c r="P502" s="18" t="n">
        <f aca="false">IF(N502="",0,IF(OR(M502="",O502=""),N502,(M502+4*N502+O502)/6))</f>
        <v>0</v>
      </c>
      <c r="Q502" s="14"/>
      <c r="R502" s="14"/>
      <c r="S502" s="14"/>
      <c r="T502" s="14"/>
      <c r="U502" s="16"/>
      <c r="V502" s="13"/>
      <c r="W502" s="16" t="s">
        <v>667</v>
      </c>
      <c r="X502" s="16"/>
      <c r="Y502" s="16"/>
      <c r="Z502" s="16"/>
      <c r="AA502" s="22" t="n">
        <f aca="false">IF(F502&lt;&gt;"Y",0,((SUMIF(Products!$E$5:$E$300,A502,Products!$F$5:$F$300)+SUMIF(RM_Lots!$A$5:$A$400,A502,RM_Lots!$D$5:$D$400))+IF(W502="Y",SUMIF(Products!$E$5:$E$300,A502,Products!$G$5:$G$300),0))*(1+N(V502)))</f>
        <v>0</v>
      </c>
      <c r="AB502" s="22" t="n">
        <f aca="false">IF(F502&lt;&gt;"Y",0,((SUMIF(Products!$E$5:$E$300,A502,Products!$K$5:$K$300)+SUMIF(RM_Lots!$A$5:$A$400,A502,RM_Lots!$F$5:$F$400))+IF(W502="Y",SUMIF(Products!$E$5:$E$300,A502,Products!$L$5:$L$300),0))*(1+N(V502)))</f>
        <v>0</v>
      </c>
      <c r="AC502" s="17" t="n">
        <f aca="false">IF(J502="",1,MAX(1,COUNTIFS($J$5:$J$863,J502,$F$5:$F$863,"Y")))</f>
        <v>1</v>
      </c>
      <c r="AD502" s="18" t="n">
        <f aca="false">(MAX(1,N(I502))*(P502+N(S502))+MAX(1,N(I502))*N(K502)/(MAX(1,N(U502))*AC502))*Settings!$B$9</f>
        <v>0</v>
      </c>
      <c r="AE502" s="18" t="n">
        <f aca="false">(MAX(1,N(I502))*N(Q502)+MAX(1,N(I502))*N(L502)/(MAX(1,N(U502))*AC502))*Settings!$B$8</f>
        <v>0</v>
      </c>
      <c r="AF502" s="18" t="n">
        <f aca="false">MAX(1,N(I502))*N(T502)</f>
        <v>0</v>
      </c>
      <c r="AG502" s="15" t="n">
        <f aca="false">AA502*N(AD502)</f>
        <v>0</v>
      </c>
      <c r="AH502" s="15" t="n">
        <f aca="false">AA502*N(AE502)</f>
        <v>0</v>
      </c>
      <c r="AI502" s="15" t="n">
        <f aca="false">AA502*N(AF502)</f>
        <v>0</v>
      </c>
      <c r="AJ502" s="15" t="n">
        <f aca="false">AA502*N(R502)</f>
        <v>0</v>
      </c>
      <c r="AK502" s="15" t="n">
        <f aca="false">AB502*N(AD502)</f>
        <v>0</v>
      </c>
      <c r="AL502" s="15" t="n">
        <f aca="false">AB502*N(AE502)</f>
        <v>0</v>
      </c>
      <c r="AM502" s="15" t="n">
        <f aca="false">AB502*N(AF502)</f>
        <v>0</v>
      </c>
      <c r="AN502" s="15" t="n">
        <f aca="false">AB502*N(R502)</f>
        <v>0</v>
      </c>
      <c r="AO502" s="21" t="str">
        <f aca="false">IF(F502&lt;&gt;"Y","n/a",IF(AND(N502&lt;&gt;"",OR(Q502&lt;&gt;"",G502="Other / bench",G502="None"),U502&lt;&gt;""),"OK","Missing"))</f>
        <v>Missing</v>
      </c>
    </row>
    <row r="503" customFormat="false" ht="15" hidden="false" customHeight="false" outlineLevel="0" collapsed="false">
      <c r="A503" s="10" t="s">
        <v>481</v>
      </c>
      <c r="B503" s="10" t="s">
        <v>740</v>
      </c>
      <c r="C503" s="10" t="s">
        <v>437</v>
      </c>
      <c r="D503" s="10" t="s">
        <v>742</v>
      </c>
      <c r="E503" s="21" t="str">
        <f aca="false">IF(A503="","",A503&amp;"|"&amp;D503)</f>
        <v>Liquorice Dry Extract 8:1|Other compendial tests (ID, LOD/KF, heavy metals...)</v>
      </c>
      <c r="F503" s="16" t="s">
        <v>662</v>
      </c>
      <c r="G503" s="16" t="s">
        <v>670</v>
      </c>
      <c r="H503" s="16" t="s">
        <v>672</v>
      </c>
      <c r="I503" s="16" t="n">
        <v>1</v>
      </c>
      <c r="J503" s="16"/>
      <c r="K503" s="14"/>
      <c r="L503" s="14"/>
      <c r="M503" s="14"/>
      <c r="N503" s="14"/>
      <c r="O503" s="14"/>
      <c r="P503" s="18" t="n">
        <f aca="false">IF(N503="",0,IF(OR(M503="",O503=""),N503,(M503+4*N503+O503)/6))</f>
        <v>0</v>
      </c>
      <c r="Q503" s="14"/>
      <c r="R503" s="14"/>
      <c r="S503" s="14"/>
      <c r="T503" s="14"/>
      <c r="U503" s="16"/>
      <c r="V503" s="13"/>
      <c r="W503" s="16" t="s">
        <v>667</v>
      </c>
      <c r="X503" s="16"/>
      <c r="Y503" s="16"/>
      <c r="Z503" s="16"/>
      <c r="AA503" s="22" t="n">
        <f aca="false">IF(F503&lt;&gt;"Y",0,((SUMIF(Products!$E$5:$E$300,A503,Products!$F$5:$F$300)+SUMIF(RM_Lots!$A$5:$A$400,A503,RM_Lots!$D$5:$D$400))+IF(W503="Y",SUMIF(Products!$E$5:$E$300,A503,Products!$G$5:$G$300),0))*(1+N(V503)))</f>
        <v>0</v>
      </c>
      <c r="AB503" s="22" t="n">
        <f aca="false">IF(F503&lt;&gt;"Y",0,((SUMIF(Products!$E$5:$E$300,A503,Products!$K$5:$K$300)+SUMIF(RM_Lots!$A$5:$A$400,A503,RM_Lots!$F$5:$F$400))+IF(W503="Y",SUMIF(Products!$E$5:$E$300,A503,Products!$L$5:$L$300),0))*(1+N(V503)))</f>
        <v>0</v>
      </c>
      <c r="AC503" s="17" t="n">
        <f aca="false">IF(J503="",1,MAX(1,COUNTIFS($J$5:$J$863,J503,$F$5:$F$863,"Y")))</f>
        <v>1</v>
      </c>
      <c r="AD503" s="18" t="n">
        <f aca="false">(MAX(1,N(I503))*(P503+N(S503))+MAX(1,N(I503))*N(K503)/(MAX(1,N(U503))*AC503))*Settings!$B$9</f>
        <v>0</v>
      </c>
      <c r="AE503" s="18" t="n">
        <f aca="false">(MAX(1,N(I503))*N(Q503)+MAX(1,N(I503))*N(L503)/(MAX(1,N(U503))*AC503))*Settings!$B$8</f>
        <v>0</v>
      </c>
      <c r="AF503" s="18" t="n">
        <f aca="false">MAX(1,N(I503))*N(T503)</f>
        <v>0</v>
      </c>
      <c r="AG503" s="15" t="n">
        <f aca="false">AA503*N(AD503)</f>
        <v>0</v>
      </c>
      <c r="AH503" s="15" t="n">
        <f aca="false">AA503*N(AE503)</f>
        <v>0</v>
      </c>
      <c r="AI503" s="15" t="n">
        <f aca="false">AA503*N(AF503)</f>
        <v>0</v>
      </c>
      <c r="AJ503" s="15" t="n">
        <f aca="false">AA503*N(R503)</f>
        <v>0</v>
      </c>
      <c r="AK503" s="15" t="n">
        <f aca="false">AB503*N(AD503)</f>
        <v>0</v>
      </c>
      <c r="AL503" s="15" t="n">
        <f aca="false">AB503*N(AE503)</f>
        <v>0</v>
      </c>
      <c r="AM503" s="15" t="n">
        <f aca="false">AB503*N(AF503)</f>
        <v>0</v>
      </c>
      <c r="AN503" s="15" t="n">
        <f aca="false">AB503*N(R503)</f>
        <v>0</v>
      </c>
      <c r="AO503" s="21" t="str">
        <f aca="false">IF(F503&lt;&gt;"Y","n/a",IF(AND(N503&lt;&gt;"",OR(Q503&lt;&gt;"",G503="Other / bench",G503="None"),U503&lt;&gt;""),"OK","Missing"))</f>
        <v>Missing</v>
      </c>
    </row>
    <row r="504" customFormat="false" ht="15" hidden="false" customHeight="false" outlineLevel="0" collapsed="false">
      <c r="A504" s="10" t="s">
        <v>243</v>
      </c>
      <c r="B504" s="10" t="s">
        <v>740</v>
      </c>
      <c r="C504" s="10" t="s">
        <v>437</v>
      </c>
      <c r="D504" s="10" t="s">
        <v>741</v>
      </c>
      <c r="E504" s="21" t="str">
        <f aca="false">IF(A504="","",A504&amp;"|"&amp;D504)</f>
        <v>Loperamide HCl|Assay + related substances</v>
      </c>
      <c r="F504" s="16" t="s">
        <v>662</v>
      </c>
      <c r="G504" s="16" t="s">
        <v>147</v>
      </c>
      <c r="H504" s="16" t="s">
        <v>663</v>
      </c>
      <c r="I504" s="16" t="n">
        <v>1</v>
      </c>
      <c r="J504" s="16"/>
      <c r="K504" s="14"/>
      <c r="L504" s="14"/>
      <c r="M504" s="14"/>
      <c r="N504" s="14"/>
      <c r="O504" s="14"/>
      <c r="P504" s="18" t="n">
        <f aca="false">IF(N504="",0,IF(OR(M504="",O504=""),N504,(M504+4*N504+O504)/6))</f>
        <v>0</v>
      </c>
      <c r="Q504" s="14"/>
      <c r="R504" s="14"/>
      <c r="S504" s="14"/>
      <c r="T504" s="14"/>
      <c r="U504" s="16"/>
      <c r="V504" s="13"/>
      <c r="W504" s="16" t="s">
        <v>667</v>
      </c>
      <c r="X504" s="16"/>
      <c r="Y504" s="16"/>
      <c r="Z504" s="16"/>
      <c r="AA504" s="22" t="n">
        <f aca="false">IF(F504&lt;&gt;"Y",0,((SUMIF(Products!$E$5:$E$300,A504,Products!$F$5:$F$300)+SUMIF(RM_Lots!$A$5:$A$400,A504,RM_Lots!$D$5:$D$400))+IF(W504="Y",SUMIF(Products!$E$5:$E$300,A504,Products!$G$5:$G$300),0))*(1+N(V504)))</f>
        <v>0</v>
      </c>
      <c r="AB504" s="22" t="n">
        <f aca="false">IF(F504&lt;&gt;"Y",0,((SUMIF(Products!$E$5:$E$300,A504,Products!$K$5:$K$300)+SUMIF(RM_Lots!$A$5:$A$400,A504,RM_Lots!$F$5:$F$400))+IF(W504="Y",SUMIF(Products!$E$5:$E$300,A504,Products!$L$5:$L$300),0))*(1+N(V504)))</f>
        <v>0</v>
      </c>
      <c r="AC504" s="17" t="n">
        <f aca="false">IF(J504="",1,MAX(1,COUNTIFS($J$5:$J$863,J504,$F$5:$F$863,"Y")))</f>
        <v>1</v>
      </c>
      <c r="AD504" s="18" t="n">
        <f aca="false">(MAX(1,N(I504))*(P504+N(S504))+MAX(1,N(I504))*N(K504)/(MAX(1,N(U504))*AC504))*Settings!$B$9</f>
        <v>0</v>
      </c>
      <c r="AE504" s="18" t="n">
        <f aca="false">(MAX(1,N(I504))*N(Q504)+MAX(1,N(I504))*N(L504)/(MAX(1,N(U504))*AC504))*Settings!$B$8</f>
        <v>0</v>
      </c>
      <c r="AF504" s="18" t="n">
        <f aca="false">MAX(1,N(I504))*N(T504)</f>
        <v>0</v>
      </c>
      <c r="AG504" s="15" t="n">
        <f aca="false">AA504*N(AD504)</f>
        <v>0</v>
      </c>
      <c r="AH504" s="15" t="n">
        <f aca="false">AA504*N(AE504)</f>
        <v>0</v>
      </c>
      <c r="AI504" s="15" t="n">
        <f aca="false">AA504*N(AF504)</f>
        <v>0</v>
      </c>
      <c r="AJ504" s="15" t="n">
        <f aca="false">AA504*N(R504)</f>
        <v>0</v>
      </c>
      <c r="AK504" s="15" t="n">
        <f aca="false">AB504*N(AD504)</f>
        <v>0</v>
      </c>
      <c r="AL504" s="15" t="n">
        <f aca="false">AB504*N(AE504)</f>
        <v>0</v>
      </c>
      <c r="AM504" s="15" t="n">
        <f aca="false">AB504*N(AF504)</f>
        <v>0</v>
      </c>
      <c r="AN504" s="15" t="n">
        <f aca="false">AB504*N(R504)</f>
        <v>0</v>
      </c>
      <c r="AO504" s="21" t="str">
        <f aca="false">IF(F504&lt;&gt;"Y","n/a",IF(AND(N504&lt;&gt;"",OR(Q504&lt;&gt;"",G504="Other / bench",G504="None"),U504&lt;&gt;""),"OK","Missing"))</f>
        <v>Missing</v>
      </c>
    </row>
    <row r="505" customFormat="false" ht="15" hidden="false" customHeight="false" outlineLevel="0" collapsed="false">
      <c r="A505" s="10" t="s">
        <v>243</v>
      </c>
      <c r="B505" s="10" t="s">
        <v>740</v>
      </c>
      <c r="C505" s="10" t="s">
        <v>437</v>
      </c>
      <c r="D505" s="10" t="s">
        <v>742</v>
      </c>
      <c r="E505" s="21" t="str">
        <f aca="false">IF(A505="","",A505&amp;"|"&amp;D505)</f>
        <v>Loperamide HCl|Other compendial tests (ID, LOD/KF, heavy metals...)</v>
      </c>
      <c r="F505" s="16" t="s">
        <v>662</v>
      </c>
      <c r="G505" s="16" t="s">
        <v>670</v>
      </c>
      <c r="H505" s="16" t="s">
        <v>672</v>
      </c>
      <c r="I505" s="16" t="n">
        <v>1</v>
      </c>
      <c r="J505" s="16"/>
      <c r="K505" s="14"/>
      <c r="L505" s="14"/>
      <c r="M505" s="14"/>
      <c r="N505" s="14"/>
      <c r="O505" s="14"/>
      <c r="P505" s="18" t="n">
        <f aca="false">IF(N505="",0,IF(OR(M505="",O505=""),N505,(M505+4*N505+O505)/6))</f>
        <v>0</v>
      </c>
      <c r="Q505" s="14"/>
      <c r="R505" s="14"/>
      <c r="S505" s="14"/>
      <c r="T505" s="14"/>
      <c r="U505" s="16"/>
      <c r="V505" s="13"/>
      <c r="W505" s="16" t="s">
        <v>667</v>
      </c>
      <c r="X505" s="16"/>
      <c r="Y505" s="16"/>
      <c r="Z505" s="16"/>
      <c r="AA505" s="22" t="n">
        <f aca="false">IF(F505&lt;&gt;"Y",0,((SUMIF(Products!$E$5:$E$300,A505,Products!$F$5:$F$300)+SUMIF(RM_Lots!$A$5:$A$400,A505,RM_Lots!$D$5:$D$400))+IF(W505="Y",SUMIF(Products!$E$5:$E$300,A505,Products!$G$5:$G$300),0))*(1+N(V505)))</f>
        <v>0</v>
      </c>
      <c r="AB505" s="22" t="n">
        <f aca="false">IF(F505&lt;&gt;"Y",0,((SUMIF(Products!$E$5:$E$300,A505,Products!$K$5:$K$300)+SUMIF(RM_Lots!$A$5:$A$400,A505,RM_Lots!$F$5:$F$400))+IF(W505="Y",SUMIF(Products!$E$5:$E$300,A505,Products!$L$5:$L$300),0))*(1+N(V505)))</f>
        <v>0</v>
      </c>
      <c r="AC505" s="17" t="n">
        <f aca="false">IF(J505="",1,MAX(1,COUNTIFS($J$5:$J$863,J505,$F$5:$F$863,"Y")))</f>
        <v>1</v>
      </c>
      <c r="AD505" s="18" t="n">
        <f aca="false">(MAX(1,N(I505))*(P505+N(S505))+MAX(1,N(I505))*N(K505)/(MAX(1,N(U505))*AC505))*Settings!$B$9</f>
        <v>0</v>
      </c>
      <c r="AE505" s="18" t="n">
        <f aca="false">(MAX(1,N(I505))*N(Q505)+MAX(1,N(I505))*N(L505)/(MAX(1,N(U505))*AC505))*Settings!$B$8</f>
        <v>0</v>
      </c>
      <c r="AF505" s="18" t="n">
        <f aca="false">MAX(1,N(I505))*N(T505)</f>
        <v>0</v>
      </c>
      <c r="AG505" s="15" t="n">
        <f aca="false">AA505*N(AD505)</f>
        <v>0</v>
      </c>
      <c r="AH505" s="15" t="n">
        <f aca="false">AA505*N(AE505)</f>
        <v>0</v>
      </c>
      <c r="AI505" s="15" t="n">
        <f aca="false">AA505*N(AF505)</f>
        <v>0</v>
      </c>
      <c r="AJ505" s="15" t="n">
        <f aca="false">AA505*N(R505)</f>
        <v>0</v>
      </c>
      <c r="AK505" s="15" t="n">
        <f aca="false">AB505*N(AD505)</f>
        <v>0</v>
      </c>
      <c r="AL505" s="15" t="n">
        <f aca="false">AB505*N(AE505)</f>
        <v>0</v>
      </c>
      <c r="AM505" s="15" t="n">
        <f aca="false">AB505*N(AF505)</f>
        <v>0</v>
      </c>
      <c r="AN505" s="15" t="n">
        <f aca="false">AB505*N(R505)</f>
        <v>0</v>
      </c>
      <c r="AO505" s="21" t="str">
        <f aca="false">IF(F505&lt;&gt;"Y","n/a",IF(AND(N505&lt;&gt;"",OR(Q505&lt;&gt;"",G505="Other / bench",G505="None"),U505&lt;&gt;""),"OK","Missing"))</f>
        <v>Missing</v>
      </c>
    </row>
    <row r="506" customFormat="false" ht="15" hidden="false" customHeight="false" outlineLevel="0" collapsed="false">
      <c r="A506" s="10" t="s">
        <v>349</v>
      </c>
      <c r="B506" s="10" t="s">
        <v>740</v>
      </c>
      <c r="C506" s="10" t="s">
        <v>437</v>
      </c>
      <c r="D506" s="10" t="s">
        <v>741</v>
      </c>
      <c r="E506" s="21" t="str">
        <f aca="false">IF(A506="","",A506&amp;"|"&amp;D506)</f>
        <v>Magnesium Oxide Heavy|Assay + related substances</v>
      </c>
      <c r="F506" s="16" t="s">
        <v>662</v>
      </c>
      <c r="G506" s="16" t="s">
        <v>147</v>
      </c>
      <c r="H506" s="16" t="s">
        <v>663</v>
      </c>
      <c r="I506" s="16" t="n">
        <v>1</v>
      </c>
      <c r="J506" s="16"/>
      <c r="K506" s="14"/>
      <c r="L506" s="14"/>
      <c r="M506" s="14"/>
      <c r="N506" s="14"/>
      <c r="O506" s="14"/>
      <c r="P506" s="18" t="n">
        <f aca="false">IF(N506="",0,IF(OR(M506="",O506=""),N506,(M506+4*N506+O506)/6))</f>
        <v>0</v>
      </c>
      <c r="Q506" s="14"/>
      <c r="R506" s="14"/>
      <c r="S506" s="14"/>
      <c r="T506" s="14"/>
      <c r="U506" s="16"/>
      <c r="V506" s="13"/>
      <c r="W506" s="16" t="s">
        <v>667</v>
      </c>
      <c r="X506" s="16"/>
      <c r="Y506" s="16"/>
      <c r="Z506" s="16"/>
      <c r="AA506" s="22" t="n">
        <f aca="false">IF(F506&lt;&gt;"Y",0,((SUMIF(Products!$E$5:$E$300,A506,Products!$F$5:$F$300)+SUMIF(RM_Lots!$A$5:$A$400,A506,RM_Lots!$D$5:$D$400))+IF(W506="Y",SUMIF(Products!$E$5:$E$300,A506,Products!$G$5:$G$300),0))*(1+N(V506)))</f>
        <v>0</v>
      </c>
      <c r="AB506" s="22" t="n">
        <f aca="false">IF(F506&lt;&gt;"Y",0,((SUMIF(Products!$E$5:$E$300,A506,Products!$K$5:$K$300)+SUMIF(RM_Lots!$A$5:$A$400,A506,RM_Lots!$F$5:$F$400))+IF(W506="Y",SUMIF(Products!$E$5:$E$300,A506,Products!$L$5:$L$300),0))*(1+N(V506)))</f>
        <v>0</v>
      </c>
      <c r="AC506" s="17" t="n">
        <f aca="false">IF(J506="",1,MAX(1,COUNTIFS($J$5:$J$863,J506,$F$5:$F$863,"Y")))</f>
        <v>1</v>
      </c>
      <c r="AD506" s="18" t="n">
        <f aca="false">(MAX(1,N(I506))*(P506+N(S506))+MAX(1,N(I506))*N(K506)/(MAX(1,N(U506))*AC506))*Settings!$B$9</f>
        <v>0</v>
      </c>
      <c r="AE506" s="18" t="n">
        <f aca="false">(MAX(1,N(I506))*N(Q506)+MAX(1,N(I506))*N(L506)/(MAX(1,N(U506))*AC506))*Settings!$B$8</f>
        <v>0</v>
      </c>
      <c r="AF506" s="18" t="n">
        <f aca="false">MAX(1,N(I506))*N(T506)</f>
        <v>0</v>
      </c>
      <c r="AG506" s="15" t="n">
        <f aca="false">AA506*N(AD506)</f>
        <v>0</v>
      </c>
      <c r="AH506" s="15" t="n">
        <f aca="false">AA506*N(AE506)</f>
        <v>0</v>
      </c>
      <c r="AI506" s="15" t="n">
        <f aca="false">AA506*N(AF506)</f>
        <v>0</v>
      </c>
      <c r="AJ506" s="15" t="n">
        <f aca="false">AA506*N(R506)</f>
        <v>0</v>
      </c>
      <c r="AK506" s="15" t="n">
        <f aca="false">AB506*N(AD506)</f>
        <v>0</v>
      </c>
      <c r="AL506" s="15" t="n">
        <f aca="false">AB506*N(AE506)</f>
        <v>0</v>
      </c>
      <c r="AM506" s="15" t="n">
        <f aca="false">AB506*N(AF506)</f>
        <v>0</v>
      </c>
      <c r="AN506" s="15" t="n">
        <f aca="false">AB506*N(R506)</f>
        <v>0</v>
      </c>
      <c r="AO506" s="21" t="str">
        <f aca="false">IF(F506&lt;&gt;"Y","n/a",IF(AND(N506&lt;&gt;"",OR(Q506&lt;&gt;"",G506="Other / bench",G506="None"),U506&lt;&gt;""),"OK","Missing"))</f>
        <v>Missing</v>
      </c>
    </row>
    <row r="507" customFormat="false" ht="15" hidden="false" customHeight="false" outlineLevel="0" collapsed="false">
      <c r="A507" s="10" t="s">
        <v>349</v>
      </c>
      <c r="B507" s="10" t="s">
        <v>740</v>
      </c>
      <c r="C507" s="10" t="s">
        <v>437</v>
      </c>
      <c r="D507" s="10" t="s">
        <v>742</v>
      </c>
      <c r="E507" s="21" t="str">
        <f aca="false">IF(A507="","",A507&amp;"|"&amp;D507)</f>
        <v>Magnesium Oxide Heavy|Other compendial tests (ID, LOD/KF, heavy metals...)</v>
      </c>
      <c r="F507" s="16" t="s">
        <v>662</v>
      </c>
      <c r="G507" s="16" t="s">
        <v>670</v>
      </c>
      <c r="H507" s="16" t="s">
        <v>672</v>
      </c>
      <c r="I507" s="16" t="n">
        <v>1</v>
      </c>
      <c r="J507" s="16"/>
      <c r="K507" s="14"/>
      <c r="L507" s="14"/>
      <c r="M507" s="14"/>
      <c r="N507" s="14"/>
      <c r="O507" s="14"/>
      <c r="P507" s="18" t="n">
        <f aca="false">IF(N507="",0,IF(OR(M507="",O507=""),N507,(M507+4*N507+O507)/6))</f>
        <v>0</v>
      </c>
      <c r="Q507" s="14"/>
      <c r="R507" s="14"/>
      <c r="S507" s="14"/>
      <c r="T507" s="14"/>
      <c r="U507" s="16"/>
      <c r="V507" s="13"/>
      <c r="W507" s="16" t="s">
        <v>667</v>
      </c>
      <c r="X507" s="16"/>
      <c r="Y507" s="16"/>
      <c r="Z507" s="16"/>
      <c r="AA507" s="22" t="n">
        <f aca="false">IF(F507&lt;&gt;"Y",0,((SUMIF(Products!$E$5:$E$300,A507,Products!$F$5:$F$300)+SUMIF(RM_Lots!$A$5:$A$400,A507,RM_Lots!$D$5:$D$400))+IF(W507="Y",SUMIF(Products!$E$5:$E$300,A507,Products!$G$5:$G$300),0))*(1+N(V507)))</f>
        <v>0</v>
      </c>
      <c r="AB507" s="22" t="n">
        <f aca="false">IF(F507&lt;&gt;"Y",0,((SUMIF(Products!$E$5:$E$300,A507,Products!$K$5:$K$300)+SUMIF(RM_Lots!$A$5:$A$400,A507,RM_Lots!$F$5:$F$400))+IF(W507="Y",SUMIF(Products!$E$5:$E$300,A507,Products!$L$5:$L$300),0))*(1+N(V507)))</f>
        <v>0</v>
      </c>
      <c r="AC507" s="17" t="n">
        <f aca="false">IF(J507="",1,MAX(1,COUNTIFS($J$5:$J$863,J507,$F$5:$F$863,"Y")))</f>
        <v>1</v>
      </c>
      <c r="AD507" s="18" t="n">
        <f aca="false">(MAX(1,N(I507))*(P507+N(S507))+MAX(1,N(I507))*N(K507)/(MAX(1,N(U507))*AC507))*Settings!$B$9</f>
        <v>0</v>
      </c>
      <c r="AE507" s="18" t="n">
        <f aca="false">(MAX(1,N(I507))*N(Q507)+MAX(1,N(I507))*N(L507)/(MAX(1,N(U507))*AC507))*Settings!$B$8</f>
        <v>0</v>
      </c>
      <c r="AF507" s="18" t="n">
        <f aca="false">MAX(1,N(I507))*N(T507)</f>
        <v>0</v>
      </c>
      <c r="AG507" s="15" t="n">
        <f aca="false">AA507*N(AD507)</f>
        <v>0</v>
      </c>
      <c r="AH507" s="15" t="n">
        <f aca="false">AA507*N(AE507)</f>
        <v>0</v>
      </c>
      <c r="AI507" s="15" t="n">
        <f aca="false">AA507*N(AF507)</f>
        <v>0</v>
      </c>
      <c r="AJ507" s="15" t="n">
        <f aca="false">AA507*N(R507)</f>
        <v>0</v>
      </c>
      <c r="AK507" s="15" t="n">
        <f aca="false">AB507*N(AD507)</f>
        <v>0</v>
      </c>
      <c r="AL507" s="15" t="n">
        <f aca="false">AB507*N(AE507)</f>
        <v>0</v>
      </c>
      <c r="AM507" s="15" t="n">
        <f aca="false">AB507*N(AF507)</f>
        <v>0</v>
      </c>
      <c r="AN507" s="15" t="n">
        <f aca="false">AB507*N(R507)</f>
        <v>0</v>
      </c>
      <c r="AO507" s="21" t="str">
        <f aca="false">IF(F507&lt;&gt;"Y","n/a",IF(AND(N507&lt;&gt;"",OR(Q507&lt;&gt;"",G507="Other / bench",G507="None"),U507&lt;&gt;""),"OK","Missing"))</f>
        <v>Missing</v>
      </c>
    </row>
    <row r="508" customFormat="false" ht="15" hidden="false" customHeight="false" outlineLevel="0" collapsed="false">
      <c r="A508" s="10" t="s">
        <v>482</v>
      </c>
      <c r="B508" s="10" t="s">
        <v>740</v>
      </c>
      <c r="C508" s="10" t="s">
        <v>437</v>
      </c>
      <c r="D508" s="10" t="s">
        <v>741</v>
      </c>
      <c r="E508" s="21" t="str">
        <f aca="false">IF(A508="","",A508&amp;"|"&amp;D508)</f>
        <v>Manganese Sulfate Monohydrate|Assay + related substances</v>
      </c>
      <c r="F508" s="16" t="s">
        <v>662</v>
      </c>
      <c r="G508" s="16" t="s">
        <v>147</v>
      </c>
      <c r="H508" s="16" t="s">
        <v>663</v>
      </c>
      <c r="I508" s="16" t="n">
        <v>1</v>
      </c>
      <c r="J508" s="16"/>
      <c r="K508" s="14"/>
      <c r="L508" s="14"/>
      <c r="M508" s="14"/>
      <c r="N508" s="14"/>
      <c r="O508" s="14"/>
      <c r="P508" s="18" t="n">
        <f aca="false">IF(N508="",0,IF(OR(M508="",O508=""),N508,(M508+4*N508+O508)/6))</f>
        <v>0</v>
      </c>
      <c r="Q508" s="14"/>
      <c r="R508" s="14"/>
      <c r="S508" s="14"/>
      <c r="T508" s="14"/>
      <c r="U508" s="16"/>
      <c r="V508" s="13"/>
      <c r="W508" s="16" t="s">
        <v>667</v>
      </c>
      <c r="X508" s="16"/>
      <c r="Y508" s="16"/>
      <c r="Z508" s="16"/>
      <c r="AA508" s="22" t="n">
        <f aca="false">IF(F508&lt;&gt;"Y",0,((SUMIF(Products!$E$5:$E$300,A508,Products!$F$5:$F$300)+SUMIF(RM_Lots!$A$5:$A$400,A508,RM_Lots!$D$5:$D$400))+IF(W508="Y",SUMIF(Products!$E$5:$E$300,A508,Products!$G$5:$G$300),0))*(1+N(V508)))</f>
        <v>0</v>
      </c>
      <c r="AB508" s="22" t="n">
        <f aca="false">IF(F508&lt;&gt;"Y",0,((SUMIF(Products!$E$5:$E$300,A508,Products!$K$5:$K$300)+SUMIF(RM_Lots!$A$5:$A$400,A508,RM_Lots!$F$5:$F$400))+IF(W508="Y",SUMIF(Products!$E$5:$E$300,A508,Products!$L$5:$L$300),0))*(1+N(V508)))</f>
        <v>0</v>
      </c>
      <c r="AC508" s="17" t="n">
        <f aca="false">IF(J508="",1,MAX(1,COUNTIFS($J$5:$J$863,J508,$F$5:$F$863,"Y")))</f>
        <v>1</v>
      </c>
      <c r="AD508" s="18" t="n">
        <f aca="false">(MAX(1,N(I508))*(P508+N(S508))+MAX(1,N(I508))*N(K508)/(MAX(1,N(U508))*AC508))*Settings!$B$9</f>
        <v>0</v>
      </c>
      <c r="AE508" s="18" t="n">
        <f aca="false">(MAX(1,N(I508))*N(Q508)+MAX(1,N(I508))*N(L508)/(MAX(1,N(U508))*AC508))*Settings!$B$8</f>
        <v>0</v>
      </c>
      <c r="AF508" s="18" t="n">
        <f aca="false">MAX(1,N(I508))*N(T508)</f>
        <v>0</v>
      </c>
      <c r="AG508" s="15" t="n">
        <f aca="false">AA508*N(AD508)</f>
        <v>0</v>
      </c>
      <c r="AH508" s="15" t="n">
        <f aca="false">AA508*N(AE508)</f>
        <v>0</v>
      </c>
      <c r="AI508" s="15" t="n">
        <f aca="false">AA508*N(AF508)</f>
        <v>0</v>
      </c>
      <c r="AJ508" s="15" t="n">
        <f aca="false">AA508*N(R508)</f>
        <v>0</v>
      </c>
      <c r="AK508" s="15" t="n">
        <f aca="false">AB508*N(AD508)</f>
        <v>0</v>
      </c>
      <c r="AL508" s="15" t="n">
        <f aca="false">AB508*N(AE508)</f>
        <v>0</v>
      </c>
      <c r="AM508" s="15" t="n">
        <f aca="false">AB508*N(AF508)</f>
        <v>0</v>
      </c>
      <c r="AN508" s="15" t="n">
        <f aca="false">AB508*N(R508)</f>
        <v>0</v>
      </c>
      <c r="AO508" s="21" t="str">
        <f aca="false">IF(F508&lt;&gt;"Y","n/a",IF(AND(N508&lt;&gt;"",OR(Q508&lt;&gt;"",G508="Other / bench",G508="None"),U508&lt;&gt;""),"OK","Missing"))</f>
        <v>Missing</v>
      </c>
    </row>
    <row r="509" customFormat="false" ht="15" hidden="false" customHeight="false" outlineLevel="0" collapsed="false">
      <c r="A509" s="10" t="s">
        <v>482</v>
      </c>
      <c r="B509" s="10" t="s">
        <v>740</v>
      </c>
      <c r="C509" s="10" t="s">
        <v>437</v>
      </c>
      <c r="D509" s="10" t="s">
        <v>742</v>
      </c>
      <c r="E509" s="21" t="str">
        <f aca="false">IF(A509="","",A509&amp;"|"&amp;D509)</f>
        <v>Manganese Sulfate Monohydrate|Other compendial tests (ID, LOD/KF, heavy metals...)</v>
      </c>
      <c r="F509" s="16" t="s">
        <v>662</v>
      </c>
      <c r="G509" s="16" t="s">
        <v>670</v>
      </c>
      <c r="H509" s="16" t="s">
        <v>672</v>
      </c>
      <c r="I509" s="16" t="n">
        <v>1</v>
      </c>
      <c r="J509" s="16"/>
      <c r="K509" s="14"/>
      <c r="L509" s="14"/>
      <c r="M509" s="14"/>
      <c r="N509" s="14"/>
      <c r="O509" s="14"/>
      <c r="P509" s="18" t="n">
        <f aca="false">IF(N509="",0,IF(OR(M509="",O509=""),N509,(M509+4*N509+O509)/6))</f>
        <v>0</v>
      </c>
      <c r="Q509" s="14"/>
      <c r="R509" s="14"/>
      <c r="S509" s="14"/>
      <c r="T509" s="14"/>
      <c r="U509" s="16"/>
      <c r="V509" s="13"/>
      <c r="W509" s="16" t="s">
        <v>667</v>
      </c>
      <c r="X509" s="16"/>
      <c r="Y509" s="16"/>
      <c r="Z509" s="16"/>
      <c r="AA509" s="22" t="n">
        <f aca="false">IF(F509&lt;&gt;"Y",0,((SUMIF(Products!$E$5:$E$300,A509,Products!$F$5:$F$300)+SUMIF(RM_Lots!$A$5:$A$400,A509,RM_Lots!$D$5:$D$400))+IF(W509="Y",SUMIF(Products!$E$5:$E$300,A509,Products!$G$5:$G$300),0))*(1+N(V509)))</f>
        <v>0</v>
      </c>
      <c r="AB509" s="22" t="n">
        <f aca="false">IF(F509&lt;&gt;"Y",0,((SUMIF(Products!$E$5:$E$300,A509,Products!$K$5:$K$300)+SUMIF(RM_Lots!$A$5:$A$400,A509,RM_Lots!$F$5:$F$400))+IF(W509="Y",SUMIF(Products!$E$5:$E$300,A509,Products!$L$5:$L$300),0))*(1+N(V509)))</f>
        <v>0</v>
      </c>
      <c r="AC509" s="17" t="n">
        <f aca="false">IF(J509="",1,MAX(1,COUNTIFS($J$5:$J$863,J509,$F$5:$F$863,"Y")))</f>
        <v>1</v>
      </c>
      <c r="AD509" s="18" t="n">
        <f aca="false">(MAX(1,N(I509))*(P509+N(S509))+MAX(1,N(I509))*N(K509)/(MAX(1,N(U509))*AC509))*Settings!$B$9</f>
        <v>0</v>
      </c>
      <c r="AE509" s="18" t="n">
        <f aca="false">(MAX(1,N(I509))*N(Q509)+MAX(1,N(I509))*N(L509)/(MAX(1,N(U509))*AC509))*Settings!$B$8</f>
        <v>0</v>
      </c>
      <c r="AF509" s="18" t="n">
        <f aca="false">MAX(1,N(I509))*N(T509)</f>
        <v>0</v>
      </c>
      <c r="AG509" s="15" t="n">
        <f aca="false">AA509*N(AD509)</f>
        <v>0</v>
      </c>
      <c r="AH509" s="15" t="n">
        <f aca="false">AA509*N(AE509)</f>
        <v>0</v>
      </c>
      <c r="AI509" s="15" t="n">
        <f aca="false">AA509*N(AF509)</f>
        <v>0</v>
      </c>
      <c r="AJ509" s="15" t="n">
        <f aca="false">AA509*N(R509)</f>
        <v>0</v>
      </c>
      <c r="AK509" s="15" t="n">
        <f aca="false">AB509*N(AD509)</f>
        <v>0</v>
      </c>
      <c r="AL509" s="15" t="n">
        <f aca="false">AB509*N(AE509)</f>
        <v>0</v>
      </c>
      <c r="AM509" s="15" t="n">
        <f aca="false">AB509*N(AF509)</f>
        <v>0</v>
      </c>
      <c r="AN509" s="15" t="n">
        <f aca="false">AB509*N(R509)</f>
        <v>0</v>
      </c>
      <c r="AO509" s="21" t="str">
        <f aca="false">IF(F509&lt;&gt;"Y","n/a",IF(AND(N509&lt;&gt;"",OR(Q509&lt;&gt;"",G509="Other / bench",G509="None"),U509&lt;&gt;""),"OK","Missing"))</f>
        <v>Missing</v>
      </c>
    </row>
    <row r="510" customFormat="false" ht="15" hidden="false" customHeight="false" outlineLevel="0" collapsed="false">
      <c r="A510" s="10" t="s">
        <v>483</v>
      </c>
      <c r="B510" s="10" t="s">
        <v>740</v>
      </c>
      <c r="C510" s="10" t="s">
        <v>437</v>
      </c>
      <c r="D510" s="10" t="s">
        <v>741</v>
      </c>
      <c r="E510" s="21" t="str">
        <f aca="false">IF(A510="","",A510&amp;"|"&amp;D510)</f>
        <v>Marshmallow Dry Extract 3:1|Assay + related substances</v>
      </c>
      <c r="F510" s="16" t="s">
        <v>662</v>
      </c>
      <c r="G510" s="16" t="s">
        <v>147</v>
      </c>
      <c r="H510" s="16" t="s">
        <v>663</v>
      </c>
      <c r="I510" s="16" t="n">
        <v>1</v>
      </c>
      <c r="J510" s="16"/>
      <c r="K510" s="14"/>
      <c r="L510" s="14"/>
      <c r="M510" s="14"/>
      <c r="N510" s="14"/>
      <c r="O510" s="14"/>
      <c r="P510" s="18" t="n">
        <f aca="false">IF(N510="",0,IF(OR(M510="",O510=""),N510,(M510+4*N510+O510)/6))</f>
        <v>0</v>
      </c>
      <c r="Q510" s="14"/>
      <c r="R510" s="14"/>
      <c r="S510" s="14"/>
      <c r="T510" s="14"/>
      <c r="U510" s="16"/>
      <c r="V510" s="13"/>
      <c r="W510" s="16" t="s">
        <v>667</v>
      </c>
      <c r="X510" s="16"/>
      <c r="Y510" s="16"/>
      <c r="Z510" s="16"/>
      <c r="AA510" s="22" t="n">
        <f aca="false">IF(F510&lt;&gt;"Y",0,((SUMIF(Products!$E$5:$E$300,A510,Products!$F$5:$F$300)+SUMIF(RM_Lots!$A$5:$A$400,A510,RM_Lots!$D$5:$D$400))+IF(W510="Y",SUMIF(Products!$E$5:$E$300,A510,Products!$G$5:$G$300),0))*(1+N(V510)))</f>
        <v>0</v>
      </c>
      <c r="AB510" s="22" t="n">
        <f aca="false">IF(F510&lt;&gt;"Y",0,((SUMIF(Products!$E$5:$E$300,A510,Products!$K$5:$K$300)+SUMIF(RM_Lots!$A$5:$A$400,A510,RM_Lots!$F$5:$F$400))+IF(W510="Y",SUMIF(Products!$E$5:$E$300,A510,Products!$L$5:$L$300),0))*(1+N(V510)))</f>
        <v>0</v>
      </c>
      <c r="AC510" s="17" t="n">
        <f aca="false">IF(J510="",1,MAX(1,COUNTIFS($J$5:$J$863,J510,$F$5:$F$863,"Y")))</f>
        <v>1</v>
      </c>
      <c r="AD510" s="18" t="n">
        <f aca="false">(MAX(1,N(I510))*(P510+N(S510))+MAX(1,N(I510))*N(K510)/(MAX(1,N(U510))*AC510))*Settings!$B$9</f>
        <v>0</v>
      </c>
      <c r="AE510" s="18" t="n">
        <f aca="false">(MAX(1,N(I510))*N(Q510)+MAX(1,N(I510))*N(L510)/(MAX(1,N(U510))*AC510))*Settings!$B$8</f>
        <v>0</v>
      </c>
      <c r="AF510" s="18" t="n">
        <f aca="false">MAX(1,N(I510))*N(T510)</f>
        <v>0</v>
      </c>
      <c r="AG510" s="15" t="n">
        <f aca="false">AA510*N(AD510)</f>
        <v>0</v>
      </c>
      <c r="AH510" s="15" t="n">
        <f aca="false">AA510*N(AE510)</f>
        <v>0</v>
      </c>
      <c r="AI510" s="15" t="n">
        <f aca="false">AA510*N(AF510)</f>
        <v>0</v>
      </c>
      <c r="AJ510" s="15" t="n">
        <f aca="false">AA510*N(R510)</f>
        <v>0</v>
      </c>
      <c r="AK510" s="15" t="n">
        <f aca="false">AB510*N(AD510)</f>
        <v>0</v>
      </c>
      <c r="AL510" s="15" t="n">
        <f aca="false">AB510*N(AE510)</f>
        <v>0</v>
      </c>
      <c r="AM510" s="15" t="n">
        <f aca="false">AB510*N(AF510)</f>
        <v>0</v>
      </c>
      <c r="AN510" s="15" t="n">
        <f aca="false">AB510*N(R510)</f>
        <v>0</v>
      </c>
      <c r="AO510" s="21" t="str">
        <f aca="false">IF(F510&lt;&gt;"Y","n/a",IF(AND(N510&lt;&gt;"",OR(Q510&lt;&gt;"",G510="Other / bench",G510="None"),U510&lt;&gt;""),"OK","Missing"))</f>
        <v>Missing</v>
      </c>
    </row>
    <row r="511" customFormat="false" ht="15" hidden="false" customHeight="false" outlineLevel="0" collapsed="false">
      <c r="A511" s="10" t="s">
        <v>483</v>
      </c>
      <c r="B511" s="10" t="s">
        <v>740</v>
      </c>
      <c r="C511" s="10" t="s">
        <v>437</v>
      </c>
      <c r="D511" s="10" t="s">
        <v>742</v>
      </c>
      <c r="E511" s="21" t="str">
        <f aca="false">IF(A511="","",A511&amp;"|"&amp;D511)</f>
        <v>Marshmallow Dry Extract 3:1|Other compendial tests (ID, LOD/KF, heavy metals...)</v>
      </c>
      <c r="F511" s="16" t="s">
        <v>662</v>
      </c>
      <c r="G511" s="16" t="s">
        <v>670</v>
      </c>
      <c r="H511" s="16" t="s">
        <v>672</v>
      </c>
      <c r="I511" s="16" t="n">
        <v>1</v>
      </c>
      <c r="J511" s="16"/>
      <c r="K511" s="14"/>
      <c r="L511" s="14"/>
      <c r="M511" s="14"/>
      <c r="N511" s="14"/>
      <c r="O511" s="14"/>
      <c r="P511" s="18" t="n">
        <f aca="false">IF(N511="",0,IF(OR(M511="",O511=""),N511,(M511+4*N511+O511)/6))</f>
        <v>0</v>
      </c>
      <c r="Q511" s="14"/>
      <c r="R511" s="14"/>
      <c r="S511" s="14"/>
      <c r="T511" s="14"/>
      <c r="U511" s="16"/>
      <c r="V511" s="13"/>
      <c r="W511" s="16" t="s">
        <v>667</v>
      </c>
      <c r="X511" s="16"/>
      <c r="Y511" s="16"/>
      <c r="Z511" s="16"/>
      <c r="AA511" s="22" t="n">
        <f aca="false">IF(F511&lt;&gt;"Y",0,((SUMIF(Products!$E$5:$E$300,A511,Products!$F$5:$F$300)+SUMIF(RM_Lots!$A$5:$A$400,A511,RM_Lots!$D$5:$D$400))+IF(W511="Y",SUMIF(Products!$E$5:$E$300,A511,Products!$G$5:$G$300),0))*(1+N(V511)))</f>
        <v>0</v>
      </c>
      <c r="AB511" s="22" t="n">
        <f aca="false">IF(F511&lt;&gt;"Y",0,((SUMIF(Products!$E$5:$E$300,A511,Products!$K$5:$K$300)+SUMIF(RM_Lots!$A$5:$A$400,A511,RM_Lots!$F$5:$F$400))+IF(W511="Y",SUMIF(Products!$E$5:$E$300,A511,Products!$L$5:$L$300),0))*(1+N(V511)))</f>
        <v>0</v>
      </c>
      <c r="AC511" s="17" t="n">
        <f aca="false">IF(J511="",1,MAX(1,COUNTIFS($J$5:$J$863,J511,$F$5:$F$863,"Y")))</f>
        <v>1</v>
      </c>
      <c r="AD511" s="18" t="n">
        <f aca="false">(MAX(1,N(I511))*(P511+N(S511))+MAX(1,N(I511))*N(K511)/(MAX(1,N(U511))*AC511))*Settings!$B$9</f>
        <v>0</v>
      </c>
      <c r="AE511" s="18" t="n">
        <f aca="false">(MAX(1,N(I511))*N(Q511)+MAX(1,N(I511))*N(L511)/(MAX(1,N(U511))*AC511))*Settings!$B$8</f>
        <v>0</v>
      </c>
      <c r="AF511" s="18" t="n">
        <f aca="false">MAX(1,N(I511))*N(T511)</f>
        <v>0</v>
      </c>
      <c r="AG511" s="15" t="n">
        <f aca="false">AA511*N(AD511)</f>
        <v>0</v>
      </c>
      <c r="AH511" s="15" t="n">
        <f aca="false">AA511*N(AE511)</f>
        <v>0</v>
      </c>
      <c r="AI511" s="15" t="n">
        <f aca="false">AA511*N(AF511)</f>
        <v>0</v>
      </c>
      <c r="AJ511" s="15" t="n">
        <f aca="false">AA511*N(R511)</f>
        <v>0</v>
      </c>
      <c r="AK511" s="15" t="n">
        <f aca="false">AB511*N(AD511)</f>
        <v>0</v>
      </c>
      <c r="AL511" s="15" t="n">
        <f aca="false">AB511*N(AE511)</f>
        <v>0</v>
      </c>
      <c r="AM511" s="15" t="n">
        <f aca="false">AB511*N(AF511)</f>
        <v>0</v>
      </c>
      <c r="AN511" s="15" t="n">
        <f aca="false">AB511*N(R511)</f>
        <v>0</v>
      </c>
      <c r="AO511" s="21" t="str">
        <f aca="false">IF(F511&lt;&gt;"Y","n/a",IF(AND(N511&lt;&gt;"",OR(Q511&lt;&gt;"",G511="Other / bench",G511="None"),U511&lt;&gt;""),"OK","Missing"))</f>
        <v>Missing</v>
      </c>
    </row>
    <row r="512" customFormat="false" ht="15" hidden="false" customHeight="false" outlineLevel="0" collapsed="false">
      <c r="A512" s="10" t="s">
        <v>484</v>
      </c>
      <c r="B512" s="10" t="s">
        <v>740</v>
      </c>
      <c r="C512" s="10" t="s">
        <v>437</v>
      </c>
      <c r="D512" s="10" t="s">
        <v>741</v>
      </c>
      <c r="E512" s="21" t="str">
        <f aca="false">IF(A512="","",A512&amp;"|"&amp;D512)</f>
        <v>Metformin Hydrochloride|Assay + related substances</v>
      </c>
      <c r="F512" s="16" t="s">
        <v>662</v>
      </c>
      <c r="G512" s="16" t="s">
        <v>147</v>
      </c>
      <c r="H512" s="16" t="s">
        <v>663</v>
      </c>
      <c r="I512" s="16" t="n">
        <v>1</v>
      </c>
      <c r="J512" s="16"/>
      <c r="K512" s="14"/>
      <c r="L512" s="14"/>
      <c r="M512" s="14"/>
      <c r="N512" s="14"/>
      <c r="O512" s="14"/>
      <c r="P512" s="18" t="n">
        <f aca="false">IF(N512="",0,IF(OR(M512="",O512=""),N512,(M512+4*N512+O512)/6))</f>
        <v>0</v>
      </c>
      <c r="Q512" s="14"/>
      <c r="R512" s="14"/>
      <c r="S512" s="14"/>
      <c r="T512" s="14"/>
      <c r="U512" s="16"/>
      <c r="V512" s="13"/>
      <c r="W512" s="16" t="s">
        <v>667</v>
      </c>
      <c r="X512" s="16"/>
      <c r="Y512" s="16"/>
      <c r="Z512" s="16"/>
      <c r="AA512" s="22" t="n">
        <f aca="false">IF(F512&lt;&gt;"Y",0,((SUMIF(Products!$E$5:$E$300,A512,Products!$F$5:$F$300)+SUMIF(RM_Lots!$A$5:$A$400,A512,RM_Lots!$D$5:$D$400))+IF(W512="Y",SUMIF(Products!$E$5:$E$300,A512,Products!$G$5:$G$300),0))*(1+N(V512)))</f>
        <v>0</v>
      </c>
      <c r="AB512" s="22" t="n">
        <f aca="false">IF(F512&lt;&gt;"Y",0,((SUMIF(Products!$E$5:$E$300,A512,Products!$K$5:$K$300)+SUMIF(RM_Lots!$A$5:$A$400,A512,RM_Lots!$F$5:$F$400))+IF(W512="Y",SUMIF(Products!$E$5:$E$300,A512,Products!$L$5:$L$300),0))*(1+N(V512)))</f>
        <v>0</v>
      </c>
      <c r="AC512" s="17" t="n">
        <f aca="false">IF(J512="",1,MAX(1,COUNTIFS($J$5:$J$863,J512,$F$5:$F$863,"Y")))</f>
        <v>1</v>
      </c>
      <c r="AD512" s="18" t="n">
        <f aca="false">(MAX(1,N(I512))*(P512+N(S512))+MAX(1,N(I512))*N(K512)/(MAX(1,N(U512))*AC512))*Settings!$B$9</f>
        <v>0</v>
      </c>
      <c r="AE512" s="18" t="n">
        <f aca="false">(MAX(1,N(I512))*N(Q512)+MAX(1,N(I512))*N(L512)/(MAX(1,N(U512))*AC512))*Settings!$B$8</f>
        <v>0</v>
      </c>
      <c r="AF512" s="18" t="n">
        <f aca="false">MAX(1,N(I512))*N(T512)</f>
        <v>0</v>
      </c>
      <c r="AG512" s="15" t="n">
        <f aca="false">AA512*N(AD512)</f>
        <v>0</v>
      </c>
      <c r="AH512" s="15" t="n">
        <f aca="false">AA512*N(AE512)</f>
        <v>0</v>
      </c>
      <c r="AI512" s="15" t="n">
        <f aca="false">AA512*N(AF512)</f>
        <v>0</v>
      </c>
      <c r="AJ512" s="15" t="n">
        <f aca="false">AA512*N(R512)</f>
        <v>0</v>
      </c>
      <c r="AK512" s="15" t="n">
        <f aca="false">AB512*N(AD512)</f>
        <v>0</v>
      </c>
      <c r="AL512" s="15" t="n">
        <f aca="false">AB512*N(AE512)</f>
        <v>0</v>
      </c>
      <c r="AM512" s="15" t="n">
        <f aca="false">AB512*N(AF512)</f>
        <v>0</v>
      </c>
      <c r="AN512" s="15" t="n">
        <f aca="false">AB512*N(R512)</f>
        <v>0</v>
      </c>
      <c r="AO512" s="21" t="str">
        <f aca="false">IF(F512&lt;&gt;"Y","n/a",IF(AND(N512&lt;&gt;"",OR(Q512&lt;&gt;"",G512="Other / bench",G512="None"),U512&lt;&gt;""),"OK","Missing"))</f>
        <v>Missing</v>
      </c>
    </row>
    <row r="513" customFormat="false" ht="15" hidden="false" customHeight="false" outlineLevel="0" collapsed="false">
      <c r="A513" s="10" t="s">
        <v>484</v>
      </c>
      <c r="B513" s="10" t="s">
        <v>740</v>
      </c>
      <c r="C513" s="10" t="s">
        <v>437</v>
      </c>
      <c r="D513" s="10" t="s">
        <v>742</v>
      </c>
      <c r="E513" s="21" t="str">
        <f aca="false">IF(A513="","",A513&amp;"|"&amp;D513)</f>
        <v>Metformin Hydrochloride|Other compendial tests (ID, LOD/KF, heavy metals...)</v>
      </c>
      <c r="F513" s="16" t="s">
        <v>662</v>
      </c>
      <c r="G513" s="16" t="s">
        <v>670</v>
      </c>
      <c r="H513" s="16" t="s">
        <v>672</v>
      </c>
      <c r="I513" s="16" t="n">
        <v>1</v>
      </c>
      <c r="J513" s="16"/>
      <c r="K513" s="14"/>
      <c r="L513" s="14"/>
      <c r="M513" s="14"/>
      <c r="N513" s="14"/>
      <c r="O513" s="14"/>
      <c r="P513" s="18" t="n">
        <f aca="false">IF(N513="",0,IF(OR(M513="",O513=""),N513,(M513+4*N513+O513)/6))</f>
        <v>0</v>
      </c>
      <c r="Q513" s="14"/>
      <c r="R513" s="14"/>
      <c r="S513" s="14"/>
      <c r="T513" s="14"/>
      <c r="U513" s="16"/>
      <c r="V513" s="13"/>
      <c r="W513" s="16" t="s">
        <v>667</v>
      </c>
      <c r="X513" s="16"/>
      <c r="Y513" s="16"/>
      <c r="Z513" s="16"/>
      <c r="AA513" s="22" t="n">
        <f aca="false">IF(F513&lt;&gt;"Y",0,((SUMIF(Products!$E$5:$E$300,A513,Products!$F$5:$F$300)+SUMIF(RM_Lots!$A$5:$A$400,A513,RM_Lots!$D$5:$D$400))+IF(W513="Y",SUMIF(Products!$E$5:$E$300,A513,Products!$G$5:$G$300),0))*(1+N(V513)))</f>
        <v>0</v>
      </c>
      <c r="AB513" s="22" t="n">
        <f aca="false">IF(F513&lt;&gt;"Y",0,((SUMIF(Products!$E$5:$E$300,A513,Products!$K$5:$K$300)+SUMIF(RM_Lots!$A$5:$A$400,A513,RM_Lots!$F$5:$F$400))+IF(W513="Y",SUMIF(Products!$E$5:$E$300,A513,Products!$L$5:$L$300),0))*(1+N(V513)))</f>
        <v>0</v>
      </c>
      <c r="AC513" s="17" t="n">
        <f aca="false">IF(J513="",1,MAX(1,COUNTIFS($J$5:$J$863,J513,$F$5:$F$863,"Y")))</f>
        <v>1</v>
      </c>
      <c r="AD513" s="18" t="n">
        <f aca="false">(MAX(1,N(I513))*(P513+N(S513))+MAX(1,N(I513))*N(K513)/(MAX(1,N(U513))*AC513))*Settings!$B$9</f>
        <v>0</v>
      </c>
      <c r="AE513" s="18" t="n">
        <f aca="false">(MAX(1,N(I513))*N(Q513)+MAX(1,N(I513))*N(L513)/(MAX(1,N(U513))*AC513))*Settings!$B$8</f>
        <v>0</v>
      </c>
      <c r="AF513" s="18" t="n">
        <f aca="false">MAX(1,N(I513))*N(T513)</f>
        <v>0</v>
      </c>
      <c r="AG513" s="15" t="n">
        <f aca="false">AA513*N(AD513)</f>
        <v>0</v>
      </c>
      <c r="AH513" s="15" t="n">
        <f aca="false">AA513*N(AE513)</f>
        <v>0</v>
      </c>
      <c r="AI513" s="15" t="n">
        <f aca="false">AA513*N(AF513)</f>
        <v>0</v>
      </c>
      <c r="AJ513" s="15" t="n">
        <f aca="false">AA513*N(R513)</f>
        <v>0</v>
      </c>
      <c r="AK513" s="15" t="n">
        <f aca="false">AB513*N(AD513)</f>
        <v>0</v>
      </c>
      <c r="AL513" s="15" t="n">
        <f aca="false">AB513*N(AE513)</f>
        <v>0</v>
      </c>
      <c r="AM513" s="15" t="n">
        <f aca="false">AB513*N(AF513)</f>
        <v>0</v>
      </c>
      <c r="AN513" s="15" t="n">
        <f aca="false">AB513*N(R513)</f>
        <v>0</v>
      </c>
      <c r="AO513" s="21" t="str">
        <f aca="false">IF(F513&lt;&gt;"Y","n/a",IF(AND(N513&lt;&gt;"",OR(Q513&lt;&gt;"",G513="Other / bench",G513="None"),U513&lt;&gt;""),"OK","Missing"))</f>
        <v>Missing</v>
      </c>
    </row>
    <row r="514" customFormat="false" ht="15" hidden="false" customHeight="false" outlineLevel="0" collapsed="false">
      <c r="A514" s="10" t="s">
        <v>485</v>
      </c>
      <c r="B514" s="10" t="s">
        <v>740</v>
      </c>
      <c r="C514" s="10" t="s">
        <v>437</v>
      </c>
      <c r="D514" s="10" t="s">
        <v>741</v>
      </c>
      <c r="E514" s="21" t="str">
        <f aca="false">IF(A514="","",A514&amp;"|"&amp;D514)</f>
        <v>Methionine|Assay + related substances</v>
      </c>
      <c r="F514" s="16" t="s">
        <v>662</v>
      </c>
      <c r="G514" s="16" t="s">
        <v>147</v>
      </c>
      <c r="H514" s="16" t="s">
        <v>663</v>
      </c>
      <c r="I514" s="16" t="n">
        <v>1</v>
      </c>
      <c r="J514" s="16"/>
      <c r="K514" s="14"/>
      <c r="L514" s="14"/>
      <c r="M514" s="14"/>
      <c r="N514" s="14"/>
      <c r="O514" s="14"/>
      <c r="P514" s="18" t="n">
        <f aca="false">IF(N514="",0,IF(OR(M514="",O514=""),N514,(M514+4*N514+O514)/6))</f>
        <v>0</v>
      </c>
      <c r="Q514" s="14"/>
      <c r="R514" s="14"/>
      <c r="S514" s="14"/>
      <c r="T514" s="14"/>
      <c r="U514" s="16"/>
      <c r="V514" s="13"/>
      <c r="W514" s="16" t="s">
        <v>667</v>
      </c>
      <c r="X514" s="16"/>
      <c r="Y514" s="16"/>
      <c r="Z514" s="16"/>
      <c r="AA514" s="22" t="n">
        <f aca="false">IF(F514&lt;&gt;"Y",0,((SUMIF(Products!$E$5:$E$300,A514,Products!$F$5:$F$300)+SUMIF(RM_Lots!$A$5:$A$400,A514,RM_Lots!$D$5:$D$400))+IF(W514="Y",SUMIF(Products!$E$5:$E$300,A514,Products!$G$5:$G$300),0))*(1+N(V514)))</f>
        <v>0</v>
      </c>
      <c r="AB514" s="22" t="n">
        <f aca="false">IF(F514&lt;&gt;"Y",0,((SUMIF(Products!$E$5:$E$300,A514,Products!$K$5:$K$300)+SUMIF(RM_Lots!$A$5:$A$400,A514,RM_Lots!$F$5:$F$400))+IF(W514="Y",SUMIF(Products!$E$5:$E$300,A514,Products!$L$5:$L$300),0))*(1+N(V514)))</f>
        <v>0</v>
      </c>
      <c r="AC514" s="17" t="n">
        <f aca="false">IF(J514="",1,MAX(1,COUNTIFS($J$5:$J$863,J514,$F$5:$F$863,"Y")))</f>
        <v>1</v>
      </c>
      <c r="AD514" s="18" t="n">
        <f aca="false">(MAX(1,N(I514))*(P514+N(S514))+MAX(1,N(I514))*N(K514)/(MAX(1,N(U514))*AC514))*Settings!$B$9</f>
        <v>0</v>
      </c>
      <c r="AE514" s="18" t="n">
        <f aca="false">(MAX(1,N(I514))*N(Q514)+MAX(1,N(I514))*N(L514)/(MAX(1,N(U514))*AC514))*Settings!$B$8</f>
        <v>0</v>
      </c>
      <c r="AF514" s="18" t="n">
        <f aca="false">MAX(1,N(I514))*N(T514)</f>
        <v>0</v>
      </c>
      <c r="AG514" s="15" t="n">
        <f aca="false">AA514*N(AD514)</f>
        <v>0</v>
      </c>
      <c r="AH514" s="15" t="n">
        <f aca="false">AA514*N(AE514)</f>
        <v>0</v>
      </c>
      <c r="AI514" s="15" t="n">
        <f aca="false">AA514*N(AF514)</f>
        <v>0</v>
      </c>
      <c r="AJ514" s="15" t="n">
        <f aca="false">AA514*N(R514)</f>
        <v>0</v>
      </c>
      <c r="AK514" s="15" t="n">
        <f aca="false">AB514*N(AD514)</f>
        <v>0</v>
      </c>
      <c r="AL514" s="15" t="n">
        <f aca="false">AB514*N(AE514)</f>
        <v>0</v>
      </c>
      <c r="AM514" s="15" t="n">
        <f aca="false">AB514*N(AF514)</f>
        <v>0</v>
      </c>
      <c r="AN514" s="15" t="n">
        <f aca="false">AB514*N(R514)</f>
        <v>0</v>
      </c>
      <c r="AO514" s="21" t="str">
        <f aca="false">IF(F514&lt;&gt;"Y","n/a",IF(AND(N514&lt;&gt;"",OR(Q514&lt;&gt;"",G514="Other / bench",G514="None"),U514&lt;&gt;""),"OK","Missing"))</f>
        <v>Missing</v>
      </c>
    </row>
    <row r="515" customFormat="false" ht="15" hidden="false" customHeight="false" outlineLevel="0" collapsed="false">
      <c r="A515" s="10" t="s">
        <v>485</v>
      </c>
      <c r="B515" s="10" t="s">
        <v>740</v>
      </c>
      <c r="C515" s="10" t="s">
        <v>437</v>
      </c>
      <c r="D515" s="10" t="s">
        <v>742</v>
      </c>
      <c r="E515" s="21" t="str">
        <f aca="false">IF(A515="","",A515&amp;"|"&amp;D515)</f>
        <v>Methionine|Other compendial tests (ID, LOD/KF, heavy metals...)</v>
      </c>
      <c r="F515" s="16" t="s">
        <v>662</v>
      </c>
      <c r="G515" s="16" t="s">
        <v>670</v>
      </c>
      <c r="H515" s="16" t="s">
        <v>672</v>
      </c>
      <c r="I515" s="16" t="n">
        <v>1</v>
      </c>
      <c r="J515" s="16"/>
      <c r="K515" s="14"/>
      <c r="L515" s="14"/>
      <c r="M515" s="14"/>
      <c r="N515" s="14"/>
      <c r="O515" s="14"/>
      <c r="P515" s="18" t="n">
        <f aca="false">IF(N515="",0,IF(OR(M515="",O515=""),N515,(M515+4*N515+O515)/6))</f>
        <v>0</v>
      </c>
      <c r="Q515" s="14"/>
      <c r="R515" s="14"/>
      <c r="S515" s="14"/>
      <c r="T515" s="14"/>
      <c r="U515" s="16"/>
      <c r="V515" s="13"/>
      <c r="W515" s="16" t="s">
        <v>667</v>
      </c>
      <c r="X515" s="16"/>
      <c r="Y515" s="16"/>
      <c r="Z515" s="16"/>
      <c r="AA515" s="22" t="n">
        <f aca="false">IF(F515&lt;&gt;"Y",0,((SUMIF(Products!$E$5:$E$300,A515,Products!$F$5:$F$300)+SUMIF(RM_Lots!$A$5:$A$400,A515,RM_Lots!$D$5:$D$400))+IF(W515="Y",SUMIF(Products!$E$5:$E$300,A515,Products!$G$5:$G$300),0))*(1+N(V515)))</f>
        <v>0</v>
      </c>
      <c r="AB515" s="22" t="n">
        <f aca="false">IF(F515&lt;&gt;"Y",0,((SUMIF(Products!$E$5:$E$300,A515,Products!$K$5:$K$300)+SUMIF(RM_Lots!$A$5:$A$400,A515,RM_Lots!$F$5:$F$400))+IF(W515="Y",SUMIF(Products!$E$5:$E$300,A515,Products!$L$5:$L$300),0))*(1+N(V515)))</f>
        <v>0</v>
      </c>
      <c r="AC515" s="17" t="n">
        <f aca="false">IF(J515="",1,MAX(1,COUNTIFS($J$5:$J$863,J515,$F$5:$F$863,"Y")))</f>
        <v>1</v>
      </c>
      <c r="AD515" s="18" t="n">
        <f aca="false">(MAX(1,N(I515))*(P515+N(S515))+MAX(1,N(I515))*N(K515)/(MAX(1,N(U515))*AC515))*Settings!$B$9</f>
        <v>0</v>
      </c>
      <c r="AE515" s="18" t="n">
        <f aca="false">(MAX(1,N(I515))*N(Q515)+MAX(1,N(I515))*N(L515)/(MAX(1,N(U515))*AC515))*Settings!$B$8</f>
        <v>0</v>
      </c>
      <c r="AF515" s="18" t="n">
        <f aca="false">MAX(1,N(I515))*N(T515)</f>
        <v>0</v>
      </c>
      <c r="AG515" s="15" t="n">
        <f aca="false">AA515*N(AD515)</f>
        <v>0</v>
      </c>
      <c r="AH515" s="15" t="n">
        <f aca="false">AA515*N(AE515)</f>
        <v>0</v>
      </c>
      <c r="AI515" s="15" t="n">
        <f aca="false">AA515*N(AF515)</f>
        <v>0</v>
      </c>
      <c r="AJ515" s="15" t="n">
        <f aca="false">AA515*N(R515)</f>
        <v>0</v>
      </c>
      <c r="AK515" s="15" t="n">
        <f aca="false">AB515*N(AD515)</f>
        <v>0</v>
      </c>
      <c r="AL515" s="15" t="n">
        <f aca="false">AB515*N(AE515)</f>
        <v>0</v>
      </c>
      <c r="AM515" s="15" t="n">
        <f aca="false">AB515*N(AF515)</f>
        <v>0</v>
      </c>
      <c r="AN515" s="15" t="n">
        <f aca="false">AB515*N(R515)</f>
        <v>0</v>
      </c>
      <c r="AO515" s="21" t="str">
        <f aca="false">IF(F515&lt;&gt;"Y","n/a",IF(AND(N515&lt;&gt;"",OR(Q515&lt;&gt;"",G515="Other / bench",G515="None"),U515&lt;&gt;""),"OK","Missing"))</f>
        <v>Missing</v>
      </c>
    </row>
    <row r="516" customFormat="false" ht="15" hidden="false" customHeight="false" outlineLevel="0" collapsed="false">
      <c r="A516" s="10" t="s">
        <v>486</v>
      </c>
      <c r="B516" s="10" t="s">
        <v>740</v>
      </c>
      <c r="C516" s="10" t="s">
        <v>437</v>
      </c>
      <c r="D516" s="10" t="s">
        <v>741</v>
      </c>
      <c r="E516" s="21" t="str">
        <f aca="false">IF(A516="","",A516&amp;"|"&amp;D516)</f>
        <v>Methyl Sulphonyl Methane (MSM)|Assay + related substances</v>
      </c>
      <c r="F516" s="16" t="s">
        <v>662</v>
      </c>
      <c r="G516" s="16" t="s">
        <v>147</v>
      </c>
      <c r="H516" s="16" t="s">
        <v>663</v>
      </c>
      <c r="I516" s="16" t="n">
        <v>1</v>
      </c>
      <c r="J516" s="16"/>
      <c r="K516" s="14"/>
      <c r="L516" s="14"/>
      <c r="M516" s="14"/>
      <c r="N516" s="14"/>
      <c r="O516" s="14"/>
      <c r="P516" s="18" t="n">
        <f aca="false">IF(N516="",0,IF(OR(M516="",O516=""),N516,(M516+4*N516+O516)/6))</f>
        <v>0</v>
      </c>
      <c r="Q516" s="14"/>
      <c r="R516" s="14"/>
      <c r="S516" s="14"/>
      <c r="T516" s="14"/>
      <c r="U516" s="16"/>
      <c r="V516" s="13"/>
      <c r="W516" s="16" t="s">
        <v>667</v>
      </c>
      <c r="X516" s="16"/>
      <c r="Y516" s="16"/>
      <c r="Z516" s="16"/>
      <c r="AA516" s="22" t="n">
        <f aca="false">IF(F516&lt;&gt;"Y",0,((SUMIF(Products!$E$5:$E$300,A516,Products!$F$5:$F$300)+SUMIF(RM_Lots!$A$5:$A$400,A516,RM_Lots!$D$5:$D$400))+IF(W516="Y",SUMIF(Products!$E$5:$E$300,A516,Products!$G$5:$G$300),0))*(1+N(V516)))</f>
        <v>0</v>
      </c>
      <c r="AB516" s="22" t="n">
        <f aca="false">IF(F516&lt;&gt;"Y",0,((SUMIF(Products!$E$5:$E$300,A516,Products!$K$5:$K$300)+SUMIF(RM_Lots!$A$5:$A$400,A516,RM_Lots!$F$5:$F$400))+IF(W516="Y",SUMIF(Products!$E$5:$E$300,A516,Products!$L$5:$L$300),0))*(1+N(V516)))</f>
        <v>0</v>
      </c>
      <c r="AC516" s="17" t="n">
        <f aca="false">IF(J516="",1,MAX(1,COUNTIFS($J$5:$J$863,J516,$F$5:$F$863,"Y")))</f>
        <v>1</v>
      </c>
      <c r="AD516" s="18" t="n">
        <f aca="false">(MAX(1,N(I516))*(P516+N(S516))+MAX(1,N(I516))*N(K516)/(MAX(1,N(U516))*AC516))*Settings!$B$9</f>
        <v>0</v>
      </c>
      <c r="AE516" s="18" t="n">
        <f aca="false">(MAX(1,N(I516))*N(Q516)+MAX(1,N(I516))*N(L516)/(MAX(1,N(U516))*AC516))*Settings!$B$8</f>
        <v>0</v>
      </c>
      <c r="AF516" s="18" t="n">
        <f aca="false">MAX(1,N(I516))*N(T516)</f>
        <v>0</v>
      </c>
      <c r="AG516" s="15" t="n">
        <f aca="false">AA516*N(AD516)</f>
        <v>0</v>
      </c>
      <c r="AH516" s="15" t="n">
        <f aca="false">AA516*N(AE516)</f>
        <v>0</v>
      </c>
      <c r="AI516" s="15" t="n">
        <f aca="false">AA516*N(AF516)</f>
        <v>0</v>
      </c>
      <c r="AJ516" s="15" t="n">
        <f aca="false">AA516*N(R516)</f>
        <v>0</v>
      </c>
      <c r="AK516" s="15" t="n">
        <f aca="false">AB516*N(AD516)</f>
        <v>0</v>
      </c>
      <c r="AL516" s="15" t="n">
        <f aca="false">AB516*N(AE516)</f>
        <v>0</v>
      </c>
      <c r="AM516" s="15" t="n">
        <f aca="false">AB516*N(AF516)</f>
        <v>0</v>
      </c>
      <c r="AN516" s="15" t="n">
        <f aca="false">AB516*N(R516)</f>
        <v>0</v>
      </c>
      <c r="AO516" s="21" t="str">
        <f aca="false">IF(F516&lt;&gt;"Y","n/a",IF(AND(N516&lt;&gt;"",OR(Q516&lt;&gt;"",G516="Other / bench",G516="None"),U516&lt;&gt;""),"OK","Missing"))</f>
        <v>Missing</v>
      </c>
    </row>
    <row r="517" customFormat="false" ht="15" hidden="false" customHeight="false" outlineLevel="0" collapsed="false">
      <c r="A517" s="10" t="s">
        <v>486</v>
      </c>
      <c r="B517" s="10" t="s">
        <v>740</v>
      </c>
      <c r="C517" s="10" t="s">
        <v>437</v>
      </c>
      <c r="D517" s="10" t="s">
        <v>742</v>
      </c>
      <c r="E517" s="21" t="str">
        <f aca="false">IF(A517="","",A517&amp;"|"&amp;D517)</f>
        <v>Methyl Sulphonyl Methane (MSM)|Other compendial tests (ID, LOD/KF, heavy metals...)</v>
      </c>
      <c r="F517" s="16" t="s">
        <v>662</v>
      </c>
      <c r="G517" s="16" t="s">
        <v>670</v>
      </c>
      <c r="H517" s="16" t="s">
        <v>672</v>
      </c>
      <c r="I517" s="16" t="n">
        <v>1</v>
      </c>
      <c r="J517" s="16"/>
      <c r="K517" s="14"/>
      <c r="L517" s="14"/>
      <c r="M517" s="14"/>
      <c r="N517" s="14"/>
      <c r="O517" s="14"/>
      <c r="P517" s="18" t="n">
        <f aca="false">IF(N517="",0,IF(OR(M517="",O517=""),N517,(M517+4*N517+O517)/6))</f>
        <v>0</v>
      </c>
      <c r="Q517" s="14"/>
      <c r="R517" s="14"/>
      <c r="S517" s="14"/>
      <c r="T517" s="14"/>
      <c r="U517" s="16"/>
      <c r="V517" s="13"/>
      <c r="W517" s="16" t="s">
        <v>667</v>
      </c>
      <c r="X517" s="16"/>
      <c r="Y517" s="16"/>
      <c r="Z517" s="16"/>
      <c r="AA517" s="22" t="n">
        <f aca="false">IF(F517&lt;&gt;"Y",0,((SUMIF(Products!$E$5:$E$300,A517,Products!$F$5:$F$300)+SUMIF(RM_Lots!$A$5:$A$400,A517,RM_Lots!$D$5:$D$400))+IF(W517="Y",SUMIF(Products!$E$5:$E$300,A517,Products!$G$5:$G$300),0))*(1+N(V517)))</f>
        <v>0</v>
      </c>
      <c r="AB517" s="22" t="n">
        <f aca="false">IF(F517&lt;&gt;"Y",0,((SUMIF(Products!$E$5:$E$300,A517,Products!$K$5:$K$300)+SUMIF(RM_Lots!$A$5:$A$400,A517,RM_Lots!$F$5:$F$400))+IF(W517="Y",SUMIF(Products!$E$5:$E$300,A517,Products!$L$5:$L$300),0))*(1+N(V517)))</f>
        <v>0</v>
      </c>
      <c r="AC517" s="17" t="n">
        <f aca="false">IF(J517="",1,MAX(1,COUNTIFS($J$5:$J$863,J517,$F$5:$F$863,"Y")))</f>
        <v>1</v>
      </c>
      <c r="AD517" s="18" t="n">
        <f aca="false">(MAX(1,N(I517))*(P517+N(S517))+MAX(1,N(I517))*N(K517)/(MAX(1,N(U517))*AC517))*Settings!$B$9</f>
        <v>0</v>
      </c>
      <c r="AE517" s="18" t="n">
        <f aca="false">(MAX(1,N(I517))*N(Q517)+MAX(1,N(I517))*N(L517)/(MAX(1,N(U517))*AC517))*Settings!$B$8</f>
        <v>0</v>
      </c>
      <c r="AF517" s="18" t="n">
        <f aca="false">MAX(1,N(I517))*N(T517)</f>
        <v>0</v>
      </c>
      <c r="AG517" s="15" t="n">
        <f aca="false">AA517*N(AD517)</f>
        <v>0</v>
      </c>
      <c r="AH517" s="15" t="n">
        <f aca="false">AA517*N(AE517)</f>
        <v>0</v>
      </c>
      <c r="AI517" s="15" t="n">
        <f aca="false">AA517*N(AF517)</f>
        <v>0</v>
      </c>
      <c r="AJ517" s="15" t="n">
        <f aca="false">AA517*N(R517)</f>
        <v>0</v>
      </c>
      <c r="AK517" s="15" t="n">
        <f aca="false">AB517*N(AD517)</f>
        <v>0</v>
      </c>
      <c r="AL517" s="15" t="n">
        <f aca="false">AB517*N(AE517)</f>
        <v>0</v>
      </c>
      <c r="AM517" s="15" t="n">
        <f aca="false">AB517*N(AF517)</f>
        <v>0</v>
      </c>
      <c r="AN517" s="15" t="n">
        <f aca="false">AB517*N(R517)</f>
        <v>0</v>
      </c>
      <c r="AO517" s="21" t="str">
        <f aca="false">IF(F517&lt;&gt;"Y","n/a",IF(AND(N517&lt;&gt;"",OR(Q517&lt;&gt;"",G517="Other / bench",G517="None"),U517&lt;&gt;""),"OK","Missing"))</f>
        <v>Missing</v>
      </c>
    </row>
    <row r="518" customFormat="false" ht="15" hidden="false" customHeight="false" outlineLevel="0" collapsed="false">
      <c r="A518" s="10" t="s">
        <v>487</v>
      </c>
      <c r="B518" s="10" t="s">
        <v>740</v>
      </c>
      <c r="C518" s="10" t="s">
        <v>437</v>
      </c>
      <c r="D518" s="10" t="s">
        <v>741</v>
      </c>
      <c r="E518" s="21" t="str">
        <f aca="false">IF(A518="","",A518&amp;"|"&amp;D518)</f>
        <v>Milk Thistle Dry Extract 70:1|Assay + related substances</v>
      </c>
      <c r="F518" s="16" t="s">
        <v>662</v>
      </c>
      <c r="G518" s="16" t="s">
        <v>147</v>
      </c>
      <c r="H518" s="16" t="s">
        <v>663</v>
      </c>
      <c r="I518" s="16" t="n">
        <v>1</v>
      </c>
      <c r="J518" s="16"/>
      <c r="K518" s="14"/>
      <c r="L518" s="14"/>
      <c r="M518" s="14"/>
      <c r="N518" s="14"/>
      <c r="O518" s="14"/>
      <c r="P518" s="18" t="n">
        <f aca="false">IF(N518="",0,IF(OR(M518="",O518=""),N518,(M518+4*N518+O518)/6))</f>
        <v>0</v>
      </c>
      <c r="Q518" s="14"/>
      <c r="R518" s="14"/>
      <c r="S518" s="14"/>
      <c r="T518" s="14"/>
      <c r="U518" s="16"/>
      <c r="V518" s="13"/>
      <c r="W518" s="16" t="s">
        <v>667</v>
      </c>
      <c r="X518" s="16"/>
      <c r="Y518" s="16"/>
      <c r="Z518" s="16"/>
      <c r="AA518" s="22" t="n">
        <f aca="false">IF(F518&lt;&gt;"Y",0,((SUMIF(Products!$E$5:$E$300,A518,Products!$F$5:$F$300)+SUMIF(RM_Lots!$A$5:$A$400,A518,RM_Lots!$D$5:$D$400))+IF(W518="Y",SUMIF(Products!$E$5:$E$300,A518,Products!$G$5:$G$300),0))*(1+N(V518)))</f>
        <v>0</v>
      </c>
      <c r="AB518" s="22" t="n">
        <f aca="false">IF(F518&lt;&gt;"Y",0,((SUMIF(Products!$E$5:$E$300,A518,Products!$K$5:$K$300)+SUMIF(RM_Lots!$A$5:$A$400,A518,RM_Lots!$F$5:$F$400))+IF(W518="Y",SUMIF(Products!$E$5:$E$300,A518,Products!$L$5:$L$300),0))*(1+N(V518)))</f>
        <v>0</v>
      </c>
      <c r="AC518" s="17" t="n">
        <f aca="false">IF(J518="",1,MAX(1,COUNTIFS($J$5:$J$863,J518,$F$5:$F$863,"Y")))</f>
        <v>1</v>
      </c>
      <c r="AD518" s="18" t="n">
        <f aca="false">(MAX(1,N(I518))*(P518+N(S518))+MAX(1,N(I518))*N(K518)/(MAX(1,N(U518))*AC518))*Settings!$B$9</f>
        <v>0</v>
      </c>
      <c r="AE518" s="18" t="n">
        <f aca="false">(MAX(1,N(I518))*N(Q518)+MAX(1,N(I518))*N(L518)/(MAX(1,N(U518))*AC518))*Settings!$B$8</f>
        <v>0</v>
      </c>
      <c r="AF518" s="18" t="n">
        <f aca="false">MAX(1,N(I518))*N(T518)</f>
        <v>0</v>
      </c>
      <c r="AG518" s="15" t="n">
        <f aca="false">AA518*N(AD518)</f>
        <v>0</v>
      </c>
      <c r="AH518" s="15" t="n">
        <f aca="false">AA518*N(AE518)</f>
        <v>0</v>
      </c>
      <c r="AI518" s="15" t="n">
        <f aca="false">AA518*N(AF518)</f>
        <v>0</v>
      </c>
      <c r="AJ518" s="15" t="n">
        <f aca="false">AA518*N(R518)</f>
        <v>0</v>
      </c>
      <c r="AK518" s="15" t="n">
        <f aca="false">AB518*N(AD518)</f>
        <v>0</v>
      </c>
      <c r="AL518" s="15" t="n">
        <f aca="false">AB518*N(AE518)</f>
        <v>0</v>
      </c>
      <c r="AM518" s="15" t="n">
        <f aca="false">AB518*N(AF518)</f>
        <v>0</v>
      </c>
      <c r="AN518" s="15" t="n">
        <f aca="false">AB518*N(R518)</f>
        <v>0</v>
      </c>
      <c r="AO518" s="21" t="str">
        <f aca="false">IF(F518&lt;&gt;"Y","n/a",IF(AND(N518&lt;&gt;"",OR(Q518&lt;&gt;"",G518="Other / bench",G518="None"),U518&lt;&gt;""),"OK","Missing"))</f>
        <v>Missing</v>
      </c>
    </row>
    <row r="519" customFormat="false" ht="15" hidden="false" customHeight="false" outlineLevel="0" collapsed="false">
      <c r="A519" s="10" t="s">
        <v>487</v>
      </c>
      <c r="B519" s="10" t="s">
        <v>740</v>
      </c>
      <c r="C519" s="10" t="s">
        <v>437</v>
      </c>
      <c r="D519" s="10" t="s">
        <v>742</v>
      </c>
      <c r="E519" s="21" t="str">
        <f aca="false">IF(A519="","",A519&amp;"|"&amp;D519)</f>
        <v>Milk Thistle Dry Extract 70:1|Other compendial tests (ID, LOD/KF, heavy metals...)</v>
      </c>
      <c r="F519" s="16" t="s">
        <v>662</v>
      </c>
      <c r="G519" s="16" t="s">
        <v>670</v>
      </c>
      <c r="H519" s="16" t="s">
        <v>672</v>
      </c>
      <c r="I519" s="16" t="n">
        <v>1</v>
      </c>
      <c r="J519" s="16"/>
      <c r="K519" s="14"/>
      <c r="L519" s="14"/>
      <c r="M519" s="14"/>
      <c r="N519" s="14"/>
      <c r="O519" s="14"/>
      <c r="P519" s="18" t="n">
        <f aca="false">IF(N519="",0,IF(OR(M519="",O519=""),N519,(M519+4*N519+O519)/6))</f>
        <v>0</v>
      </c>
      <c r="Q519" s="14"/>
      <c r="R519" s="14"/>
      <c r="S519" s="14"/>
      <c r="T519" s="14"/>
      <c r="U519" s="16"/>
      <c r="V519" s="13"/>
      <c r="W519" s="16" t="s">
        <v>667</v>
      </c>
      <c r="X519" s="16"/>
      <c r="Y519" s="16"/>
      <c r="Z519" s="16"/>
      <c r="AA519" s="22" t="n">
        <f aca="false">IF(F519&lt;&gt;"Y",0,((SUMIF(Products!$E$5:$E$300,A519,Products!$F$5:$F$300)+SUMIF(RM_Lots!$A$5:$A$400,A519,RM_Lots!$D$5:$D$400))+IF(W519="Y",SUMIF(Products!$E$5:$E$300,A519,Products!$G$5:$G$300),0))*(1+N(V519)))</f>
        <v>0</v>
      </c>
      <c r="AB519" s="22" t="n">
        <f aca="false">IF(F519&lt;&gt;"Y",0,((SUMIF(Products!$E$5:$E$300,A519,Products!$K$5:$K$300)+SUMIF(RM_Lots!$A$5:$A$400,A519,RM_Lots!$F$5:$F$400))+IF(W519="Y",SUMIF(Products!$E$5:$E$300,A519,Products!$L$5:$L$300),0))*(1+N(V519)))</f>
        <v>0</v>
      </c>
      <c r="AC519" s="17" t="n">
        <f aca="false">IF(J519="",1,MAX(1,COUNTIFS($J$5:$J$863,J519,$F$5:$F$863,"Y")))</f>
        <v>1</v>
      </c>
      <c r="AD519" s="18" t="n">
        <f aca="false">(MAX(1,N(I519))*(P519+N(S519))+MAX(1,N(I519))*N(K519)/(MAX(1,N(U519))*AC519))*Settings!$B$9</f>
        <v>0</v>
      </c>
      <c r="AE519" s="18" t="n">
        <f aca="false">(MAX(1,N(I519))*N(Q519)+MAX(1,N(I519))*N(L519)/(MAX(1,N(U519))*AC519))*Settings!$B$8</f>
        <v>0</v>
      </c>
      <c r="AF519" s="18" t="n">
        <f aca="false">MAX(1,N(I519))*N(T519)</f>
        <v>0</v>
      </c>
      <c r="AG519" s="15" t="n">
        <f aca="false">AA519*N(AD519)</f>
        <v>0</v>
      </c>
      <c r="AH519" s="15" t="n">
        <f aca="false">AA519*N(AE519)</f>
        <v>0</v>
      </c>
      <c r="AI519" s="15" t="n">
        <f aca="false">AA519*N(AF519)</f>
        <v>0</v>
      </c>
      <c r="AJ519" s="15" t="n">
        <f aca="false">AA519*N(R519)</f>
        <v>0</v>
      </c>
      <c r="AK519" s="15" t="n">
        <f aca="false">AB519*N(AD519)</f>
        <v>0</v>
      </c>
      <c r="AL519" s="15" t="n">
        <f aca="false">AB519*N(AE519)</f>
        <v>0</v>
      </c>
      <c r="AM519" s="15" t="n">
        <f aca="false">AB519*N(AF519)</f>
        <v>0</v>
      </c>
      <c r="AN519" s="15" t="n">
        <f aca="false">AB519*N(R519)</f>
        <v>0</v>
      </c>
      <c r="AO519" s="21" t="str">
        <f aca="false">IF(F519&lt;&gt;"Y","n/a",IF(AND(N519&lt;&gt;"",OR(Q519&lt;&gt;"",G519="Other / bench",G519="None"),U519&lt;&gt;""),"OK","Missing"))</f>
        <v>Missing</v>
      </c>
    </row>
    <row r="520" customFormat="false" ht="15" hidden="false" customHeight="false" outlineLevel="0" collapsed="false">
      <c r="A520" s="10" t="s">
        <v>246</v>
      </c>
      <c r="B520" s="10" t="s">
        <v>740</v>
      </c>
      <c r="C520" s="10" t="s">
        <v>437</v>
      </c>
      <c r="D520" s="10" t="s">
        <v>741</v>
      </c>
      <c r="E520" s="21" t="str">
        <f aca="false">IF(A520="","",A520&amp;"|"&amp;D520)</f>
        <v>Naproxen|Assay + related substances</v>
      </c>
      <c r="F520" s="16" t="s">
        <v>662</v>
      </c>
      <c r="G520" s="16" t="s">
        <v>147</v>
      </c>
      <c r="H520" s="16" t="s">
        <v>663</v>
      </c>
      <c r="I520" s="16" t="n">
        <v>1</v>
      </c>
      <c r="J520" s="16"/>
      <c r="K520" s="14"/>
      <c r="L520" s="14"/>
      <c r="M520" s="14"/>
      <c r="N520" s="14"/>
      <c r="O520" s="14"/>
      <c r="P520" s="18" t="n">
        <f aca="false">IF(N520="",0,IF(OR(M520="",O520=""),N520,(M520+4*N520+O520)/6))</f>
        <v>0</v>
      </c>
      <c r="Q520" s="14"/>
      <c r="R520" s="14"/>
      <c r="S520" s="14"/>
      <c r="T520" s="14"/>
      <c r="U520" s="16"/>
      <c r="V520" s="13"/>
      <c r="W520" s="16" t="s">
        <v>667</v>
      </c>
      <c r="X520" s="16"/>
      <c r="Y520" s="16"/>
      <c r="Z520" s="16"/>
      <c r="AA520" s="22" t="n">
        <f aca="false">IF(F520&lt;&gt;"Y",0,((SUMIF(Products!$E$5:$E$300,A520,Products!$F$5:$F$300)+SUMIF(RM_Lots!$A$5:$A$400,A520,RM_Lots!$D$5:$D$400))+IF(W520="Y",SUMIF(Products!$E$5:$E$300,A520,Products!$G$5:$G$300),0))*(1+N(V520)))</f>
        <v>0</v>
      </c>
      <c r="AB520" s="22" t="n">
        <f aca="false">IF(F520&lt;&gt;"Y",0,((SUMIF(Products!$E$5:$E$300,A520,Products!$K$5:$K$300)+SUMIF(RM_Lots!$A$5:$A$400,A520,RM_Lots!$F$5:$F$400))+IF(W520="Y",SUMIF(Products!$E$5:$E$300,A520,Products!$L$5:$L$300),0))*(1+N(V520)))</f>
        <v>0</v>
      </c>
      <c r="AC520" s="17" t="n">
        <f aca="false">IF(J520="",1,MAX(1,COUNTIFS($J$5:$J$863,J520,$F$5:$F$863,"Y")))</f>
        <v>1</v>
      </c>
      <c r="AD520" s="18" t="n">
        <f aca="false">(MAX(1,N(I520))*(P520+N(S520))+MAX(1,N(I520))*N(K520)/(MAX(1,N(U520))*AC520))*Settings!$B$9</f>
        <v>0</v>
      </c>
      <c r="AE520" s="18" t="n">
        <f aca="false">(MAX(1,N(I520))*N(Q520)+MAX(1,N(I520))*N(L520)/(MAX(1,N(U520))*AC520))*Settings!$B$8</f>
        <v>0</v>
      </c>
      <c r="AF520" s="18" t="n">
        <f aca="false">MAX(1,N(I520))*N(T520)</f>
        <v>0</v>
      </c>
      <c r="AG520" s="15" t="n">
        <f aca="false">AA520*N(AD520)</f>
        <v>0</v>
      </c>
      <c r="AH520" s="15" t="n">
        <f aca="false">AA520*N(AE520)</f>
        <v>0</v>
      </c>
      <c r="AI520" s="15" t="n">
        <f aca="false">AA520*N(AF520)</f>
        <v>0</v>
      </c>
      <c r="AJ520" s="15" t="n">
        <f aca="false">AA520*N(R520)</f>
        <v>0</v>
      </c>
      <c r="AK520" s="15" t="n">
        <f aca="false">AB520*N(AD520)</f>
        <v>0</v>
      </c>
      <c r="AL520" s="15" t="n">
        <f aca="false">AB520*N(AE520)</f>
        <v>0</v>
      </c>
      <c r="AM520" s="15" t="n">
        <f aca="false">AB520*N(AF520)</f>
        <v>0</v>
      </c>
      <c r="AN520" s="15" t="n">
        <f aca="false">AB520*N(R520)</f>
        <v>0</v>
      </c>
      <c r="AO520" s="21" t="str">
        <f aca="false">IF(F520&lt;&gt;"Y","n/a",IF(AND(N520&lt;&gt;"",OR(Q520&lt;&gt;"",G520="Other / bench",G520="None"),U520&lt;&gt;""),"OK","Missing"))</f>
        <v>Missing</v>
      </c>
    </row>
    <row r="521" customFormat="false" ht="15" hidden="false" customHeight="false" outlineLevel="0" collapsed="false">
      <c r="A521" s="10" t="s">
        <v>246</v>
      </c>
      <c r="B521" s="10" t="s">
        <v>740</v>
      </c>
      <c r="C521" s="10" t="s">
        <v>437</v>
      </c>
      <c r="D521" s="10" t="s">
        <v>742</v>
      </c>
      <c r="E521" s="21" t="str">
        <f aca="false">IF(A521="","",A521&amp;"|"&amp;D521)</f>
        <v>Naproxen|Other compendial tests (ID, LOD/KF, heavy metals...)</v>
      </c>
      <c r="F521" s="16" t="s">
        <v>662</v>
      </c>
      <c r="G521" s="16" t="s">
        <v>670</v>
      </c>
      <c r="H521" s="16" t="s">
        <v>672</v>
      </c>
      <c r="I521" s="16" t="n">
        <v>1</v>
      </c>
      <c r="J521" s="16"/>
      <c r="K521" s="14"/>
      <c r="L521" s="14"/>
      <c r="M521" s="14"/>
      <c r="N521" s="14"/>
      <c r="O521" s="14"/>
      <c r="P521" s="18" t="n">
        <f aca="false">IF(N521="",0,IF(OR(M521="",O521=""),N521,(M521+4*N521+O521)/6))</f>
        <v>0</v>
      </c>
      <c r="Q521" s="14"/>
      <c r="R521" s="14"/>
      <c r="S521" s="14"/>
      <c r="T521" s="14"/>
      <c r="U521" s="16"/>
      <c r="V521" s="13"/>
      <c r="W521" s="16" t="s">
        <v>667</v>
      </c>
      <c r="X521" s="16"/>
      <c r="Y521" s="16"/>
      <c r="Z521" s="16"/>
      <c r="AA521" s="22" t="n">
        <f aca="false">IF(F521&lt;&gt;"Y",0,((SUMIF(Products!$E$5:$E$300,A521,Products!$F$5:$F$300)+SUMIF(RM_Lots!$A$5:$A$400,A521,RM_Lots!$D$5:$D$400))+IF(W521="Y",SUMIF(Products!$E$5:$E$300,A521,Products!$G$5:$G$300),0))*(1+N(V521)))</f>
        <v>0</v>
      </c>
      <c r="AB521" s="22" t="n">
        <f aca="false">IF(F521&lt;&gt;"Y",0,((SUMIF(Products!$E$5:$E$300,A521,Products!$K$5:$K$300)+SUMIF(RM_Lots!$A$5:$A$400,A521,RM_Lots!$F$5:$F$400))+IF(W521="Y",SUMIF(Products!$E$5:$E$300,A521,Products!$L$5:$L$300),0))*(1+N(V521)))</f>
        <v>0</v>
      </c>
      <c r="AC521" s="17" t="n">
        <f aca="false">IF(J521="",1,MAX(1,COUNTIFS($J$5:$J$863,J521,$F$5:$F$863,"Y")))</f>
        <v>1</v>
      </c>
      <c r="AD521" s="18" t="n">
        <f aca="false">(MAX(1,N(I521))*(P521+N(S521))+MAX(1,N(I521))*N(K521)/(MAX(1,N(U521))*AC521))*Settings!$B$9</f>
        <v>0</v>
      </c>
      <c r="AE521" s="18" t="n">
        <f aca="false">(MAX(1,N(I521))*N(Q521)+MAX(1,N(I521))*N(L521)/(MAX(1,N(U521))*AC521))*Settings!$B$8</f>
        <v>0</v>
      </c>
      <c r="AF521" s="18" t="n">
        <f aca="false">MAX(1,N(I521))*N(T521)</f>
        <v>0</v>
      </c>
      <c r="AG521" s="15" t="n">
        <f aca="false">AA521*N(AD521)</f>
        <v>0</v>
      </c>
      <c r="AH521" s="15" t="n">
        <f aca="false">AA521*N(AE521)</f>
        <v>0</v>
      </c>
      <c r="AI521" s="15" t="n">
        <f aca="false">AA521*N(AF521)</f>
        <v>0</v>
      </c>
      <c r="AJ521" s="15" t="n">
        <f aca="false">AA521*N(R521)</f>
        <v>0</v>
      </c>
      <c r="AK521" s="15" t="n">
        <f aca="false">AB521*N(AD521)</f>
        <v>0</v>
      </c>
      <c r="AL521" s="15" t="n">
        <f aca="false">AB521*N(AE521)</f>
        <v>0</v>
      </c>
      <c r="AM521" s="15" t="n">
        <f aca="false">AB521*N(AF521)</f>
        <v>0</v>
      </c>
      <c r="AN521" s="15" t="n">
        <f aca="false">AB521*N(R521)</f>
        <v>0</v>
      </c>
      <c r="AO521" s="21" t="str">
        <f aca="false">IF(F521&lt;&gt;"Y","n/a",IF(AND(N521&lt;&gt;"",OR(Q521&lt;&gt;"",G521="Other / bench",G521="None"),U521&lt;&gt;""),"OK","Missing"))</f>
        <v>Missing</v>
      </c>
    </row>
    <row r="522" customFormat="false" ht="15" hidden="false" customHeight="false" outlineLevel="0" collapsed="false">
      <c r="A522" s="10" t="s">
        <v>488</v>
      </c>
      <c r="B522" s="10" t="s">
        <v>740</v>
      </c>
      <c r="C522" s="10" t="s">
        <v>437</v>
      </c>
      <c r="D522" s="10" t="s">
        <v>741</v>
      </c>
      <c r="E522" s="21" t="str">
        <f aca="false">IF(A522="","",A522&amp;"|"&amp;D522)</f>
        <v>Nicotinamide (Vitamin B3)|Assay + related substances</v>
      </c>
      <c r="F522" s="16" t="s">
        <v>662</v>
      </c>
      <c r="G522" s="16" t="s">
        <v>147</v>
      </c>
      <c r="H522" s="16" t="s">
        <v>663</v>
      </c>
      <c r="I522" s="16" t="n">
        <v>1</v>
      </c>
      <c r="J522" s="16"/>
      <c r="K522" s="14"/>
      <c r="L522" s="14"/>
      <c r="M522" s="14"/>
      <c r="N522" s="14"/>
      <c r="O522" s="14"/>
      <c r="P522" s="18" t="n">
        <f aca="false">IF(N522="",0,IF(OR(M522="",O522=""),N522,(M522+4*N522+O522)/6))</f>
        <v>0</v>
      </c>
      <c r="Q522" s="14"/>
      <c r="R522" s="14"/>
      <c r="S522" s="14"/>
      <c r="T522" s="14"/>
      <c r="U522" s="16"/>
      <c r="V522" s="13"/>
      <c r="W522" s="16" t="s">
        <v>667</v>
      </c>
      <c r="X522" s="16"/>
      <c r="Y522" s="16"/>
      <c r="Z522" s="16"/>
      <c r="AA522" s="22" t="n">
        <f aca="false">IF(F522&lt;&gt;"Y",0,((SUMIF(Products!$E$5:$E$300,A522,Products!$F$5:$F$300)+SUMIF(RM_Lots!$A$5:$A$400,A522,RM_Lots!$D$5:$D$400))+IF(W522="Y",SUMIF(Products!$E$5:$E$300,A522,Products!$G$5:$G$300),0))*(1+N(V522)))</f>
        <v>0</v>
      </c>
      <c r="AB522" s="22" t="n">
        <f aca="false">IF(F522&lt;&gt;"Y",0,((SUMIF(Products!$E$5:$E$300,A522,Products!$K$5:$K$300)+SUMIF(RM_Lots!$A$5:$A$400,A522,RM_Lots!$F$5:$F$400))+IF(W522="Y",SUMIF(Products!$E$5:$E$300,A522,Products!$L$5:$L$300),0))*(1+N(V522)))</f>
        <v>0</v>
      </c>
      <c r="AC522" s="17" t="n">
        <f aca="false">IF(J522="",1,MAX(1,COUNTIFS($J$5:$J$863,J522,$F$5:$F$863,"Y")))</f>
        <v>1</v>
      </c>
      <c r="AD522" s="18" t="n">
        <f aca="false">(MAX(1,N(I522))*(P522+N(S522))+MAX(1,N(I522))*N(K522)/(MAX(1,N(U522))*AC522))*Settings!$B$9</f>
        <v>0</v>
      </c>
      <c r="AE522" s="18" t="n">
        <f aca="false">(MAX(1,N(I522))*N(Q522)+MAX(1,N(I522))*N(L522)/(MAX(1,N(U522))*AC522))*Settings!$B$8</f>
        <v>0</v>
      </c>
      <c r="AF522" s="18" t="n">
        <f aca="false">MAX(1,N(I522))*N(T522)</f>
        <v>0</v>
      </c>
      <c r="AG522" s="15" t="n">
        <f aca="false">AA522*N(AD522)</f>
        <v>0</v>
      </c>
      <c r="AH522" s="15" t="n">
        <f aca="false">AA522*N(AE522)</f>
        <v>0</v>
      </c>
      <c r="AI522" s="15" t="n">
        <f aca="false">AA522*N(AF522)</f>
        <v>0</v>
      </c>
      <c r="AJ522" s="15" t="n">
        <f aca="false">AA522*N(R522)</f>
        <v>0</v>
      </c>
      <c r="AK522" s="15" t="n">
        <f aca="false">AB522*N(AD522)</f>
        <v>0</v>
      </c>
      <c r="AL522" s="15" t="n">
        <f aca="false">AB522*N(AE522)</f>
        <v>0</v>
      </c>
      <c r="AM522" s="15" t="n">
        <f aca="false">AB522*N(AF522)</f>
        <v>0</v>
      </c>
      <c r="AN522" s="15" t="n">
        <f aca="false">AB522*N(R522)</f>
        <v>0</v>
      </c>
      <c r="AO522" s="21" t="str">
        <f aca="false">IF(F522&lt;&gt;"Y","n/a",IF(AND(N522&lt;&gt;"",OR(Q522&lt;&gt;"",G522="Other / bench",G522="None"),U522&lt;&gt;""),"OK","Missing"))</f>
        <v>Missing</v>
      </c>
    </row>
    <row r="523" customFormat="false" ht="15" hidden="false" customHeight="false" outlineLevel="0" collapsed="false">
      <c r="A523" s="10" t="s">
        <v>488</v>
      </c>
      <c r="B523" s="10" t="s">
        <v>740</v>
      </c>
      <c r="C523" s="10" t="s">
        <v>437</v>
      </c>
      <c r="D523" s="10" t="s">
        <v>742</v>
      </c>
      <c r="E523" s="21" t="str">
        <f aca="false">IF(A523="","",A523&amp;"|"&amp;D523)</f>
        <v>Nicotinamide (Vitamin B3)|Other compendial tests (ID, LOD/KF, heavy metals...)</v>
      </c>
      <c r="F523" s="16" t="s">
        <v>662</v>
      </c>
      <c r="G523" s="16" t="s">
        <v>670</v>
      </c>
      <c r="H523" s="16" t="s">
        <v>672</v>
      </c>
      <c r="I523" s="16" t="n">
        <v>1</v>
      </c>
      <c r="J523" s="16"/>
      <c r="K523" s="14"/>
      <c r="L523" s="14"/>
      <c r="M523" s="14"/>
      <c r="N523" s="14"/>
      <c r="O523" s="14"/>
      <c r="P523" s="18" t="n">
        <f aca="false">IF(N523="",0,IF(OR(M523="",O523=""),N523,(M523+4*N523+O523)/6))</f>
        <v>0</v>
      </c>
      <c r="Q523" s="14"/>
      <c r="R523" s="14"/>
      <c r="S523" s="14"/>
      <c r="T523" s="14"/>
      <c r="U523" s="16"/>
      <c r="V523" s="13"/>
      <c r="W523" s="16" t="s">
        <v>667</v>
      </c>
      <c r="X523" s="16"/>
      <c r="Y523" s="16"/>
      <c r="Z523" s="16"/>
      <c r="AA523" s="22" t="n">
        <f aca="false">IF(F523&lt;&gt;"Y",0,((SUMIF(Products!$E$5:$E$300,A523,Products!$F$5:$F$300)+SUMIF(RM_Lots!$A$5:$A$400,A523,RM_Lots!$D$5:$D$400))+IF(W523="Y",SUMIF(Products!$E$5:$E$300,A523,Products!$G$5:$G$300),0))*(1+N(V523)))</f>
        <v>0</v>
      </c>
      <c r="AB523" s="22" t="n">
        <f aca="false">IF(F523&lt;&gt;"Y",0,((SUMIF(Products!$E$5:$E$300,A523,Products!$K$5:$K$300)+SUMIF(RM_Lots!$A$5:$A$400,A523,RM_Lots!$F$5:$F$400))+IF(W523="Y",SUMIF(Products!$E$5:$E$300,A523,Products!$L$5:$L$300),0))*(1+N(V523)))</f>
        <v>0</v>
      </c>
      <c r="AC523" s="17" t="n">
        <f aca="false">IF(J523="",1,MAX(1,COUNTIFS($J$5:$J$863,J523,$F$5:$F$863,"Y")))</f>
        <v>1</v>
      </c>
      <c r="AD523" s="18" t="n">
        <f aca="false">(MAX(1,N(I523))*(P523+N(S523))+MAX(1,N(I523))*N(K523)/(MAX(1,N(U523))*AC523))*Settings!$B$9</f>
        <v>0</v>
      </c>
      <c r="AE523" s="18" t="n">
        <f aca="false">(MAX(1,N(I523))*N(Q523)+MAX(1,N(I523))*N(L523)/(MAX(1,N(U523))*AC523))*Settings!$B$8</f>
        <v>0</v>
      </c>
      <c r="AF523" s="18" t="n">
        <f aca="false">MAX(1,N(I523))*N(T523)</f>
        <v>0</v>
      </c>
      <c r="AG523" s="15" t="n">
        <f aca="false">AA523*N(AD523)</f>
        <v>0</v>
      </c>
      <c r="AH523" s="15" t="n">
        <f aca="false">AA523*N(AE523)</f>
        <v>0</v>
      </c>
      <c r="AI523" s="15" t="n">
        <f aca="false">AA523*N(AF523)</f>
        <v>0</v>
      </c>
      <c r="AJ523" s="15" t="n">
        <f aca="false">AA523*N(R523)</f>
        <v>0</v>
      </c>
      <c r="AK523" s="15" t="n">
        <f aca="false">AB523*N(AD523)</f>
        <v>0</v>
      </c>
      <c r="AL523" s="15" t="n">
        <f aca="false">AB523*N(AE523)</f>
        <v>0</v>
      </c>
      <c r="AM523" s="15" t="n">
        <f aca="false">AB523*N(AF523)</f>
        <v>0</v>
      </c>
      <c r="AN523" s="15" t="n">
        <f aca="false">AB523*N(R523)</f>
        <v>0</v>
      </c>
      <c r="AO523" s="21" t="str">
        <f aca="false">IF(F523&lt;&gt;"Y","n/a",IF(AND(N523&lt;&gt;"",OR(Q523&lt;&gt;"",G523="Other / bench",G523="None"),U523&lt;&gt;""),"OK","Missing"))</f>
        <v>Missing</v>
      </c>
    </row>
    <row r="524" customFormat="false" ht="15" hidden="false" customHeight="false" outlineLevel="0" collapsed="false">
      <c r="A524" s="10" t="s">
        <v>320</v>
      </c>
      <c r="B524" s="10" t="s">
        <v>740</v>
      </c>
      <c r="C524" s="10" t="s">
        <v>437</v>
      </c>
      <c r="D524" s="10" t="s">
        <v>741</v>
      </c>
      <c r="E524" s="21" t="str">
        <f aca="false">IF(A524="","",A524&amp;"|"&amp;D524)</f>
        <v>Nicotinamide Mononucleotide (NMN) Granule|Assay + related substances</v>
      </c>
      <c r="F524" s="16" t="s">
        <v>662</v>
      </c>
      <c r="G524" s="16" t="s">
        <v>147</v>
      </c>
      <c r="H524" s="16" t="s">
        <v>663</v>
      </c>
      <c r="I524" s="16" t="n">
        <v>1</v>
      </c>
      <c r="J524" s="16"/>
      <c r="K524" s="14"/>
      <c r="L524" s="14"/>
      <c r="M524" s="14"/>
      <c r="N524" s="14"/>
      <c r="O524" s="14"/>
      <c r="P524" s="18" t="n">
        <f aca="false">IF(N524="",0,IF(OR(M524="",O524=""),N524,(M524+4*N524+O524)/6))</f>
        <v>0</v>
      </c>
      <c r="Q524" s="14"/>
      <c r="R524" s="14"/>
      <c r="S524" s="14"/>
      <c r="T524" s="14"/>
      <c r="U524" s="16"/>
      <c r="V524" s="13"/>
      <c r="W524" s="16" t="s">
        <v>667</v>
      </c>
      <c r="X524" s="16"/>
      <c r="Y524" s="16"/>
      <c r="Z524" s="16"/>
      <c r="AA524" s="22" t="n">
        <f aca="false">IF(F524&lt;&gt;"Y",0,((SUMIF(Products!$E$5:$E$300,A524,Products!$F$5:$F$300)+SUMIF(RM_Lots!$A$5:$A$400,A524,RM_Lots!$D$5:$D$400))+IF(W524="Y",SUMIF(Products!$E$5:$E$300,A524,Products!$G$5:$G$300),0))*(1+N(V524)))</f>
        <v>0</v>
      </c>
      <c r="AB524" s="22" t="n">
        <f aca="false">IF(F524&lt;&gt;"Y",0,((SUMIF(Products!$E$5:$E$300,A524,Products!$K$5:$K$300)+SUMIF(RM_Lots!$A$5:$A$400,A524,RM_Lots!$F$5:$F$400))+IF(W524="Y",SUMIF(Products!$E$5:$E$300,A524,Products!$L$5:$L$300),0))*(1+N(V524)))</f>
        <v>0</v>
      </c>
      <c r="AC524" s="17" t="n">
        <f aca="false">IF(J524="",1,MAX(1,COUNTIFS($J$5:$J$863,J524,$F$5:$F$863,"Y")))</f>
        <v>1</v>
      </c>
      <c r="AD524" s="18" t="n">
        <f aca="false">(MAX(1,N(I524))*(P524+N(S524))+MAX(1,N(I524))*N(K524)/(MAX(1,N(U524))*AC524))*Settings!$B$9</f>
        <v>0</v>
      </c>
      <c r="AE524" s="18" t="n">
        <f aca="false">(MAX(1,N(I524))*N(Q524)+MAX(1,N(I524))*N(L524)/(MAX(1,N(U524))*AC524))*Settings!$B$8</f>
        <v>0</v>
      </c>
      <c r="AF524" s="18" t="n">
        <f aca="false">MAX(1,N(I524))*N(T524)</f>
        <v>0</v>
      </c>
      <c r="AG524" s="15" t="n">
        <f aca="false">AA524*N(AD524)</f>
        <v>0</v>
      </c>
      <c r="AH524" s="15" t="n">
        <f aca="false">AA524*N(AE524)</f>
        <v>0</v>
      </c>
      <c r="AI524" s="15" t="n">
        <f aca="false">AA524*N(AF524)</f>
        <v>0</v>
      </c>
      <c r="AJ524" s="15" t="n">
        <f aca="false">AA524*N(R524)</f>
        <v>0</v>
      </c>
      <c r="AK524" s="15" t="n">
        <f aca="false">AB524*N(AD524)</f>
        <v>0</v>
      </c>
      <c r="AL524" s="15" t="n">
        <f aca="false">AB524*N(AE524)</f>
        <v>0</v>
      </c>
      <c r="AM524" s="15" t="n">
        <f aca="false">AB524*N(AF524)</f>
        <v>0</v>
      </c>
      <c r="AN524" s="15" t="n">
        <f aca="false">AB524*N(R524)</f>
        <v>0</v>
      </c>
      <c r="AO524" s="21" t="str">
        <f aca="false">IF(F524&lt;&gt;"Y","n/a",IF(AND(N524&lt;&gt;"",OR(Q524&lt;&gt;"",G524="Other / bench",G524="None"),U524&lt;&gt;""),"OK","Missing"))</f>
        <v>Missing</v>
      </c>
    </row>
    <row r="525" customFormat="false" ht="15" hidden="false" customHeight="false" outlineLevel="0" collapsed="false">
      <c r="A525" s="10" t="s">
        <v>320</v>
      </c>
      <c r="B525" s="10" t="s">
        <v>740</v>
      </c>
      <c r="C525" s="10" t="s">
        <v>437</v>
      </c>
      <c r="D525" s="10" t="s">
        <v>742</v>
      </c>
      <c r="E525" s="21" t="str">
        <f aca="false">IF(A525="","",A525&amp;"|"&amp;D525)</f>
        <v>Nicotinamide Mononucleotide (NMN) Granule|Other compendial tests (ID, LOD/KF, heavy metals...)</v>
      </c>
      <c r="F525" s="16" t="s">
        <v>662</v>
      </c>
      <c r="G525" s="16" t="s">
        <v>670</v>
      </c>
      <c r="H525" s="16" t="s">
        <v>672</v>
      </c>
      <c r="I525" s="16" t="n">
        <v>1</v>
      </c>
      <c r="J525" s="16"/>
      <c r="K525" s="14"/>
      <c r="L525" s="14"/>
      <c r="M525" s="14"/>
      <c r="N525" s="14"/>
      <c r="O525" s="14"/>
      <c r="P525" s="18" t="n">
        <f aca="false">IF(N525="",0,IF(OR(M525="",O525=""),N525,(M525+4*N525+O525)/6))</f>
        <v>0</v>
      </c>
      <c r="Q525" s="14"/>
      <c r="R525" s="14"/>
      <c r="S525" s="14"/>
      <c r="T525" s="14"/>
      <c r="U525" s="16"/>
      <c r="V525" s="13"/>
      <c r="W525" s="16" t="s">
        <v>667</v>
      </c>
      <c r="X525" s="16"/>
      <c r="Y525" s="16"/>
      <c r="Z525" s="16"/>
      <c r="AA525" s="22" t="n">
        <f aca="false">IF(F525&lt;&gt;"Y",0,((SUMIF(Products!$E$5:$E$300,A525,Products!$F$5:$F$300)+SUMIF(RM_Lots!$A$5:$A$400,A525,RM_Lots!$D$5:$D$400))+IF(W525="Y",SUMIF(Products!$E$5:$E$300,A525,Products!$G$5:$G$300),0))*(1+N(V525)))</f>
        <v>0</v>
      </c>
      <c r="AB525" s="22" t="n">
        <f aca="false">IF(F525&lt;&gt;"Y",0,((SUMIF(Products!$E$5:$E$300,A525,Products!$K$5:$K$300)+SUMIF(RM_Lots!$A$5:$A$400,A525,RM_Lots!$F$5:$F$400))+IF(W525="Y",SUMIF(Products!$E$5:$E$300,A525,Products!$L$5:$L$300),0))*(1+N(V525)))</f>
        <v>0</v>
      </c>
      <c r="AC525" s="17" t="n">
        <f aca="false">IF(J525="",1,MAX(1,COUNTIFS($J$5:$J$863,J525,$F$5:$F$863,"Y")))</f>
        <v>1</v>
      </c>
      <c r="AD525" s="18" t="n">
        <f aca="false">(MAX(1,N(I525))*(P525+N(S525))+MAX(1,N(I525))*N(K525)/(MAX(1,N(U525))*AC525))*Settings!$B$9</f>
        <v>0</v>
      </c>
      <c r="AE525" s="18" t="n">
        <f aca="false">(MAX(1,N(I525))*N(Q525)+MAX(1,N(I525))*N(L525)/(MAX(1,N(U525))*AC525))*Settings!$B$8</f>
        <v>0</v>
      </c>
      <c r="AF525" s="18" t="n">
        <f aca="false">MAX(1,N(I525))*N(T525)</f>
        <v>0</v>
      </c>
      <c r="AG525" s="15" t="n">
        <f aca="false">AA525*N(AD525)</f>
        <v>0</v>
      </c>
      <c r="AH525" s="15" t="n">
        <f aca="false">AA525*N(AE525)</f>
        <v>0</v>
      </c>
      <c r="AI525" s="15" t="n">
        <f aca="false">AA525*N(AF525)</f>
        <v>0</v>
      </c>
      <c r="AJ525" s="15" t="n">
        <f aca="false">AA525*N(R525)</f>
        <v>0</v>
      </c>
      <c r="AK525" s="15" t="n">
        <f aca="false">AB525*N(AD525)</f>
        <v>0</v>
      </c>
      <c r="AL525" s="15" t="n">
        <f aca="false">AB525*N(AE525)</f>
        <v>0</v>
      </c>
      <c r="AM525" s="15" t="n">
        <f aca="false">AB525*N(AF525)</f>
        <v>0</v>
      </c>
      <c r="AN525" s="15" t="n">
        <f aca="false">AB525*N(R525)</f>
        <v>0</v>
      </c>
      <c r="AO525" s="21" t="str">
        <f aca="false">IF(F525&lt;&gt;"Y","n/a",IF(AND(N525&lt;&gt;"",OR(Q525&lt;&gt;"",G525="Other / bench",G525="None"),U525&lt;&gt;""),"OK","Missing"))</f>
        <v>Missing</v>
      </c>
    </row>
    <row r="526" customFormat="false" ht="15" hidden="false" customHeight="false" outlineLevel="0" collapsed="false">
      <c r="A526" s="10" t="s">
        <v>489</v>
      </c>
      <c r="B526" s="10" t="s">
        <v>740</v>
      </c>
      <c r="C526" s="10" t="s">
        <v>437</v>
      </c>
      <c r="D526" s="10" t="s">
        <v>741</v>
      </c>
      <c r="E526" s="21" t="str">
        <f aca="false">IF(A526="","",A526&amp;"|"&amp;D526)</f>
        <v>Omega 3 Powder (from Flax Seed Dry Extract)|Assay + related substances</v>
      </c>
      <c r="F526" s="16" t="s">
        <v>662</v>
      </c>
      <c r="G526" s="16" t="s">
        <v>147</v>
      </c>
      <c r="H526" s="16" t="s">
        <v>663</v>
      </c>
      <c r="I526" s="16" t="n">
        <v>1</v>
      </c>
      <c r="J526" s="16"/>
      <c r="K526" s="14"/>
      <c r="L526" s="14"/>
      <c r="M526" s="14"/>
      <c r="N526" s="14"/>
      <c r="O526" s="14"/>
      <c r="P526" s="18" t="n">
        <f aca="false">IF(N526="",0,IF(OR(M526="",O526=""),N526,(M526+4*N526+O526)/6))</f>
        <v>0</v>
      </c>
      <c r="Q526" s="14"/>
      <c r="R526" s="14"/>
      <c r="S526" s="14"/>
      <c r="T526" s="14"/>
      <c r="U526" s="16"/>
      <c r="V526" s="13"/>
      <c r="W526" s="16" t="s">
        <v>667</v>
      </c>
      <c r="X526" s="16"/>
      <c r="Y526" s="16"/>
      <c r="Z526" s="16"/>
      <c r="AA526" s="22" t="n">
        <f aca="false">IF(F526&lt;&gt;"Y",0,((SUMIF(Products!$E$5:$E$300,A526,Products!$F$5:$F$300)+SUMIF(RM_Lots!$A$5:$A$400,A526,RM_Lots!$D$5:$D$400))+IF(W526="Y",SUMIF(Products!$E$5:$E$300,A526,Products!$G$5:$G$300),0))*(1+N(V526)))</f>
        <v>0</v>
      </c>
      <c r="AB526" s="22" t="n">
        <f aca="false">IF(F526&lt;&gt;"Y",0,((SUMIF(Products!$E$5:$E$300,A526,Products!$K$5:$K$300)+SUMIF(RM_Lots!$A$5:$A$400,A526,RM_Lots!$F$5:$F$400))+IF(W526="Y",SUMIF(Products!$E$5:$E$300,A526,Products!$L$5:$L$300),0))*(1+N(V526)))</f>
        <v>0</v>
      </c>
      <c r="AC526" s="17" t="n">
        <f aca="false">IF(J526="",1,MAX(1,COUNTIFS($J$5:$J$863,J526,$F$5:$F$863,"Y")))</f>
        <v>1</v>
      </c>
      <c r="AD526" s="18" t="n">
        <f aca="false">(MAX(1,N(I526))*(P526+N(S526))+MAX(1,N(I526))*N(K526)/(MAX(1,N(U526))*AC526))*Settings!$B$9</f>
        <v>0</v>
      </c>
      <c r="AE526" s="18" t="n">
        <f aca="false">(MAX(1,N(I526))*N(Q526)+MAX(1,N(I526))*N(L526)/(MAX(1,N(U526))*AC526))*Settings!$B$8</f>
        <v>0</v>
      </c>
      <c r="AF526" s="18" t="n">
        <f aca="false">MAX(1,N(I526))*N(T526)</f>
        <v>0</v>
      </c>
      <c r="AG526" s="15" t="n">
        <f aca="false">AA526*N(AD526)</f>
        <v>0</v>
      </c>
      <c r="AH526" s="15" t="n">
        <f aca="false">AA526*N(AE526)</f>
        <v>0</v>
      </c>
      <c r="AI526" s="15" t="n">
        <f aca="false">AA526*N(AF526)</f>
        <v>0</v>
      </c>
      <c r="AJ526" s="15" t="n">
        <f aca="false">AA526*N(R526)</f>
        <v>0</v>
      </c>
      <c r="AK526" s="15" t="n">
        <f aca="false">AB526*N(AD526)</f>
        <v>0</v>
      </c>
      <c r="AL526" s="15" t="n">
        <f aca="false">AB526*N(AE526)</f>
        <v>0</v>
      </c>
      <c r="AM526" s="15" t="n">
        <f aca="false">AB526*N(AF526)</f>
        <v>0</v>
      </c>
      <c r="AN526" s="15" t="n">
        <f aca="false">AB526*N(R526)</f>
        <v>0</v>
      </c>
      <c r="AO526" s="21" t="str">
        <f aca="false">IF(F526&lt;&gt;"Y","n/a",IF(AND(N526&lt;&gt;"",OR(Q526&lt;&gt;"",G526="Other / bench",G526="None"),U526&lt;&gt;""),"OK","Missing"))</f>
        <v>Missing</v>
      </c>
    </row>
    <row r="527" customFormat="false" ht="15" hidden="false" customHeight="false" outlineLevel="0" collapsed="false">
      <c r="A527" s="10" t="s">
        <v>489</v>
      </c>
      <c r="B527" s="10" t="s">
        <v>740</v>
      </c>
      <c r="C527" s="10" t="s">
        <v>437</v>
      </c>
      <c r="D527" s="10" t="s">
        <v>742</v>
      </c>
      <c r="E527" s="21" t="str">
        <f aca="false">IF(A527="","",A527&amp;"|"&amp;D527)</f>
        <v>Omega 3 Powder (from Flax Seed Dry Extract)|Other compendial tests (ID, LOD/KF, heavy metals...)</v>
      </c>
      <c r="F527" s="16" t="s">
        <v>662</v>
      </c>
      <c r="G527" s="16" t="s">
        <v>670</v>
      </c>
      <c r="H527" s="16" t="s">
        <v>672</v>
      </c>
      <c r="I527" s="16" t="n">
        <v>1</v>
      </c>
      <c r="J527" s="16"/>
      <c r="K527" s="14"/>
      <c r="L527" s="14"/>
      <c r="M527" s="14"/>
      <c r="N527" s="14"/>
      <c r="O527" s="14"/>
      <c r="P527" s="18" t="n">
        <f aca="false">IF(N527="",0,IF(OR(M527="",O527=""),N527,(M527+4*N527+O527)/6))</f>
        <v>0</v>
      </c>
      <c r="Q527" s="14"/>
      <c r="R527" s="14"/>
      <c r="S527" s="14"/>
      <c r="T527" s="14"/>
      <c r="U527" s="16"/>
      <c r="V527" s="13"/>
      <c r="W527" s="16" t="s">
        <v>667</v>
      </c>
      <c r="X527" s="16"/>
      <c r="Y527" s="16"/>
      <c r="Z527" s="16"/>
      <c r="AA527" s="22" t="n">
        <f aca="false">IF(F527&lt;&gt;"Y",0,((SUMIF(Products!$E$5:$E$300,A527,Products!$F$5:$F$300)+SUMIF(RM_Lots!$A$5:$A$400,A527,RM_Lots!$D$5:$D$400))+IF(W527="Y",SUMIF(Products!$E$5:$E$300,A527,Products!$G$5:$G$300),0))*(1+N(V527)))</f>
        <v>0</v>
      </c>
      <c r="AB527" s="22" t="n">
        <f aca="false">IF(F527&lt;&gt;"Y",0,((SUMIF(Products!$E$5:$E$300,A527,Products!$K$5:$K$300)+SUMIF(RM_Lots!$A$5:$A$400,A527,RM_Lots!$F$5:$F$400))+IF(W527="Y",SUMIF(Products!$E$5:$E$300,A527,Products!$L$5:$L$300),0))*(1+N(V527)))</f>
        <v>0</v>
      </c>
      <c r="AC527" s="17" t="n">
        <f aca="false">IF(J527="",1,MAX(1,COUNTIFS($J$5:$J$863,J527,$F$5:$F$863,"Y")))</f>
        <v>1</v>
      </c>
      <c r="AD527" s="18" t="n">
        <f aca="false">(MAX(1,N(I527))*(P527+N(S527))+MAX(1,N(I527))*N(K527)/(MAX(1,N(U527))*AC527))*Settings!$B$9</f>
        <v>0</v>
      </c>
      <c r="AE527" s="18" t="n">
        <f aca="false">(MAX(1,N(I527))*N(Q527)+MAX(1,N(I527))*N(L527)/(MAX(1,N(U527))*AC527))*Settings!$B$8</f>
        <v>0</v>
      </c>
      <c r="AF527" s="18" t="n">
        <f aca="false">MAX(1,N(I527))*N(T527)</f>
        <v>0</v>
      </c>
      <c r="AG527" s="15" t="n">
        <f aca="false">AA527*N(AD527)</f>
        <v>0</v>
      </c>
      <c r="AH527" s="15" t="n">
        <f aca="false">AA527*N(AE527)</f>
        <v>0</v>
      </c>
      <c r="AI527" s="15" t="n">
        <f aca="false">AA527*N(AF527)</f>
        <v>0</v>
      </c>
      <c r="AJ527" s="15" t="n">
        <f aca="false">AA527*N(R527)</f>
        <v>0</v>
      </c>
      <c r="AK527" s="15" t="n">
        <f aca="false">AB527*N(AD527)</f>
        <v>0</v>
      </c>
      <c r="AL527" s="15" t="n">
        <f aca="false">AB527*N(AE527)</f>
        <v>0</v>
      </c>
      <c r="AM527" s="15" t="n">
        <f aca="false">AB527*N(AF527)</f>
        <v>0</v>
      </c>
      <c r="AN527" s="15" t="n">
        <f aca="false">AB527*N(R527)</f>
        <v>0</v>
      </c>
      <c r="AO527" s="21" t="str">
        <f aca="false">IF(F527&lt;&gt;"Y","n/a",IF(AND(N527&lt;&gt;"",OR(Q527&lt;&gt;"",G527="Other / bench",G527="None"),U527&lt;&gt;""),"OK","Missing"))</f>
        <v>Missing</v>
      </c>
    </row>
    <row r="528" customFormat="false" ht="15" hidden="false" customHeight="false" outlineLevel="0" collapsed="false">
      <c r="A528" s="10" t="s">
        <v>269</v>
      </c>
      <c r="B528" s="10" t="s">
        <v>740</v>
      </c>
      <c r="C528" s="10" t="s">
        <v>437</v>
      </c>
      <c r="D528" s="10" t="s">
        <v>741</v>
      </c>
      <c r="E528" s="21" t="str">
        <f aca="false">IF(A528="","",A528&amp;"|"&amp;D528)</f>
        <v>Ozanimod Hydrochloride|Assay + related substances</v>
      </c>
      <c r="F528" s="16" t="s">
        <v>662</v>
      </c>
      <c r="G528" s="16" t="s">
        <v>147</v>
      </c>
      <c r="H528" s="16" t="s">
        <v>663</v>
      </c>
      <c r="I528" s="16" t="n">
        <v>1</v>
      </c>
      <c r="J528" s="16"/>
      <c r="K528" s="14"/>
      <c r="L528" s="14"/>
      <c r="M528" s="14"/>
      <c r="N528" s="14"/>
      <c r="O528" s="14"/>
      <c r="P528" s="18" t="n">
        <f aca="false">IF(N528="",0,IF(OR(M528="",O528=""),N528,(M528+4*N528+O528)/6))</f>
        <v>0</v>
      </c>
      <c r="Q528" s="14"/>
      <c r="R528" s="14"/>
      <c r="S528" s="14"/>
      <c r="T528" s="14"/>
      <c r="U528" s="16"/>
      <c r="V528" s="13"/>
      <c r="W528" s="16" t="s">
        <v>667</v>
      </c>
      <c r="X528" s="16"/>
      <c r="Y528" s="16"/>
      <c r="Z528" s="16"/>
      <c r="AA528" s="22" t="n">
        <f aca="false">IF(F528&lt;&gt;"Y",0,((SUMIF(Products!$E$5:$E$300,A528,Products!$F$5:$F$300)+SUMIF(RM_Lots!$A$5:$A$400,A528,RM_Lots!$D$5:$D$400))+IF(W528="Y",SUMIF(Products!$E$5:$E$300,A528,Products!$G$5:$G$300),0))*(1+N(V528)))</f>
        <v>0</v>
      </c>
      <c r="AB528" s="22" t="n">
        <f aca="false">IF(F528&lt;&gt;"Y",0,((SUMIF(Products!$E$5:$E$300,A528,Products!$K$5:$K$300)+SUMIF(RM_Lots!$A$5:$A$400,A528,RM_Lots!$F$5:$F$400))+IF(W528="Y",SUMIF(Products!$E$5:$E$300,A528,Products!$L$5:$L$300),0))*(1+N(V528)))</f>
        <v>0</v>
      </c>
      <c r="AC528" s="17" t="n">
        <f aca="false">IF(J528="",1,MAX(1,COUNTIFS($J$5:$J$863,J528,$F$5:$F$863,"Y")))</f>
        <v>1</v>
      </c>
      <c r="AD528" s="18" t="n">
        <f aca="false">(MAX(1,N(I528))*(P528+N(S528))+MAX(1,N(I528))*N(K528)/(MAX(1,N(U528))*AC528))*Settings!$B$9</f>
        <v>0</v>
      </c>
      <c r="AE528" s="18" t="n">
        <f aca="false">(MAX(1,N(I528))*N(Q528)+MAX(1,N(I528))*N(L528)/(MAX(1,N(U528))*AC528))*Settings!$B$8</f>
        <v>0</v>
      </c>
      <c r="AF528" s="18" t="n">
        <f aca="false">MAX(1,N(I528))*N(T528)</f>
        <v>0</v>
      </c>
      <c r="AG528" s="15" t="n">
        <f aca="false">AA528*N(AD528)</f>
        <v>0</v>
      </c>
      <c r="AH528" s="15" t="n">
        <f aca="false">AA528*N(AE528)</f>
        <v>0</v>
      </c>
      <c r="AI528" s="15" t="n">
        <f aca="false">AA528*N(AF528)</f>
        <v>0</v>
      </c>
      <c r="AJ528" s="15" t="n">
        <f aca="false">AA528*N(R528)</f>
        <v>0</v>
      </c>
      <c r="AK528" s="15" t="n">
        <f aca="false">AB528*N(AD528)</f>
        <v>0</v>
      </c>
      <c r="AL528" s="15" t="n">
        <f aca="false">AB528*N(AE528)</f>
        <v>0</v>
      </c>
      <c r="AM528" s="15" t="n">
        <f aca="false">AB528*N(AF528)</f>
        <v>0</v>
      </c>
      <c r="AN528" s="15" t="n">
        <f aca="false">AB528*N(R528)</f>
        <v>0</v>
      </c>
      <c r="AO528" s="21" t="str">
        <f aca="false">IF(F528&lt;&gt;"Y","n/a",IF(AND(N528&lt;&gt;"",OR(Q528&lt;&gt;"",G528="Other / bench",G528="None"),U528&lt;&gt;""),"OK","Missing"))</f>
        <v>Missing</v>
      </c>
    </row>
    <row r="529" customFormat="false" ht="15" hidden="false" customHeight="false" outlineLevel="0" collapsed="false">
      <c r="A529" s="10" t="s">
        <v>269</v>
      </c>
      <c r="B529" s="10" t="s">
        <v>740</v>
      </c>
      <c r="C529" s="10" t="s">
        <v>437</v>
      </c>
      <c r="D529" s="10" t="s">
        <v>742</v>
      </c>
      <c r="E529" s="21" t="str">
        <f aca="false">IF(A529="","",A529&amp;"|"&amp;D529)</f>
        <v>Ozanimod Hydrochloride|Other compendial tests (ID, LOD/KF, heavy metals...)</v>
      </c>
      <c r="F529" s="16" t="s">
        <v>662</v>
      </c>
      <c r="G529" s="16" t="s">
        <v>670</v>
      </c>
      <c r="H529" s="16" t="s">
        <v>672</v>
      </c>
      <c r="I529" s="16" t="n">
        <v>1</v>
      </c>
      <c r="J529" s="16"/>
      <c r="K529" s="14"/>
      <c r="L529" s="14"/>
      <c r="M529" s="14"/>
      <c r="N529" s="14"/>
      <c r="O529" s="14"/>
      <c r="P529" s="18" t="n">
        <f aca="false">IF(N529="",0,IF(OR(M529="",O529=""),N529,(M529+4*N529+O529)/6))</f>
        <v>0</v>
      </c>
      <c r="Q529" s="14"/>
      <c r="R529" s="14"/>
      <c r="S529" s="14"/>
      <c r="T529" s="14"/>
      <c r="U529" s="16"/>
      <c r="V529" s="13"/>
      <c r="W529" s="16" t="s">
        <v>667</v>
      </c>
      <c r="X529" s="16"/>
      <c r="Y529" s="16"/>
      <c r="Z529" s="16"/>
      <c r="AA529" s="22" t="n">
        <f aca="false">IF(F529&lt;&gt;"Y",0,((SUMIF(Products!$E$5:$E$300,A529,Products!$F$5:$F$300)+SUMIF(RM_Lots!$A$5:$A$400,A529,RM_Lots!$D$5:$D$400))+IF(W529="Y",SUMIF(Products!$E$5:$E$300,A529,Products!$G$5:$G$300),0))*(1+N(V529)))</f>
        <v>0</v>
      </c>
      <c r="AB529" s="22" t="n">
        <f aca="false">IF(F529&lt;&gt;"Y",0,((SUMIF(Products!$E$5:$E$300,A529,Products!$K$5:$K$300)+SUMIF(RM_Lots!$A$5:$A$400,A529,RM_Lots!$F$5:$F$400))+IF(W529="Y",SUMIF(Products!$E$5:$E$300,A529,Products!$L$5:$L$300),0))*(1+N(V529)))</f>
        <v>0</v>
      </c>
      <c r="AC529" s="17" t="n">
        <f aca="false">IF(J529="",1,MAX(1,COUNTIFS($J$5:$J$863,J529,$F$5:$F$863,"Y")))</f>
        <v>1</v>
      </c>
      <c r="AD529" s="18" t="n">
        <f aca="false">(MAX(1,N(I529))*(P529+N(S529))+MAX(1,N(I529))*N(K529)/(MAX(1,N(U529))*AC529))*Settings!$B$9</f>
        <v>0</v>
      </c>
      <c r="AE529" s="18" t="n">
        <f aca="false">(MAX(1,N(I529))*N(Q529)+MAX(1,N(I529))*N(L529)/(MAX(1,N(U529))*AC529))*Settings!$B$8</f>
        <v>0</v>
      </c>
      <c r="AF529" s="18" t="n">
        <f aca="false">MAX(1,N(I529))*N(T529)</f>
        <v>0</v>
      </c>
      <c r="AG529" s="15" t="n">
        <f aca="false">AA529*N(AD529)</f>
        <v>0</v>
      </c>
      <c r="AH529" s="15" t="n">
        <f aca="false">AA529*N(AE529)</f>
        <v>0</v>
      </c>
      <c r="AI529" s="15" t="n">
        <f aca="false">AA529*N(AF529)</f>
        <v>0</v>
      </c>
      <c r="AJ529" s="15" t="n">
        <f aca="false">AA529*N(R529)</f>
        <v>0</v>
      </c>
      <c r="AK529" s="15" t="n">
        <f aca="false">AB529*N(AD529)</f>
        <v>0</v>
      </c>
      <c r="AL529" s="15" t="n">
        <f aca="false">AB529*N(AE529)</f>
        <v>0</v>
      </c>
      <c r="AM529" s="15" t="n">
        <f aca="false">AB529*N(AF529)</f>
        <v>0</v>
      </c>
      <c r="AN529" s="15" t="n">
        <f aca="false">AB529*N(R529)</f>
        <v>0</v>
      </c>
      <c r="AO529" s="21" t="str">
        <f aca="false">IF(F529&lt;&gt;"Y","n/a",IF(AND(N529&lt;&gt;"",OR(Q529&lt;&gt;"",G529="Other / bench",G529="None"),U529&lt;&gt;""),"OK","Missing"))</f>
        <v>Missing</v>
      </c>
    </row>
    <row r="530" customFormat="false" ht="15" hidden="false" customHeight="false" outlineLevel="0" collapsed="false">
      <c r="A530" s="10" t="s">
        <v>490</v>
      </c>
      <c r="B530" s="10" t="s">
        <v>740</v>
      </c>
      <c r="C530" s="10" t="s">
        <v>437</v>
      </c>
      <c r="D530" s="10" t="s">
        <v>741</v>
      </c>
      <c r="E530" s="21" t="str">
        <f aca="false">IF(A530="","",A530&amp;"|"&amp;D530)</f>
        <v>Panax Ginseng (Asian Ginseng) Dry Extract 3:1|Assay + related substances</v>
      </c>
      <c r="F530" s="16" t="s">
        <v>662</v>
      </c>
      <c r="G530" s="16" t="s">
        <v>147</v>
      </c>
      <c r="H530" s="16" t="s">
        <v>663</v>
      </c>
      <c r="I530" s="16" t="n">
        <v>1</v>
      </c>
      <c r="J530" s="16"/>
      <c r="K530" s="14"/>
      <c r="L530" s="14"/>
      <c r="M530" s="14"/>
      <c r="N530" s="14"/>
      <c r="O530" s="14"/>
      <c r="P530" s="18" t="n">
        <f aca="false">IF(N530="",0,IF(OR(M530="",O530=""),N530,(M530+4*N530+O530)/6))</f>
        <v>0</v>
      </c>
      <c r="Q530" s="14"/>
      <c r="R530" s="14"/>
      <c r="S530" s="14"/>
      <c r="T530" s="14"/>
      <c r="U530" s="16"/>
      <c r="V530" s="13"/>
      <c r="W530" s="16" t="s">
        <v>667</v>
      </c>
      <c r="X530" s="16"/>
      <c r="Y530" s="16"/>
      <c r="Z530" s="16"/>
      <c r="AA530" s="22" t="n">
        <f aca="false">IF(F530&lt;&gt;"Y",0,((SUMIF(Products!$E$5:$E$300,A530,Products!$F$5:$F$300)+SUMIF(RM_Lots!$A$5:$A$400,A530,RM_Lots!$D$5:$D$400))+IF(W530="Y",SUMIF(Products!$E$5:$E$300,A530,Products!$G$5:$G$300),0))*(1+N(V530)))</f>
        <v>0</v>
      </c>
      <c r="AB530" s="22" t="n">
        <f aca="false">IF(F530&lt;&gt;"Y",0,((SUMIF(Products!$E$5:$E$300,A530,Products!$K$5:$K$300)+SUMIF(RM_Lots!$A$5:$A$400,A530,RM_Lots!$F$5:$F$400))+IF(W530="Y",SUMIF(Products!$E$5:$E$300,A530,Products!$L$5:$L$300),0))*(1+N(V530)))</f>
        <v>0</v>
      </c>
      <c r="AC530" s="17" t="n">
        <f aca="false">IF(J530="",1,MAX(1,COUNTIFS($J$5:$J$863,J530,$F$5:$F$863,"Y")))</f>
        <v>1</v>
      </c>
      <c r="AD530" s="18" t="n">
        <f aca="false">(MAX(1,N(I530))*(P530+N(S530))+MAX(1,N(I530))*N(K530)/(MAX(1,N(U530))*AC530))*Settings!$B$9</f>
        <v>0</v>
      </c>
      <c r="AE530" s="18" t="n">
        <f aca="false">(MAX(1,N(I530))*N(Q530)+MAX(1,N(I530))*N(L530)/(MAX(1,N(U530))*AC530))*Settings!$B$8</f>
        <v>0</v>
      </c>
      <c r="AF530" s="18" t="n">
        <f aca="false">MAX(1,N(I530))*N(T530)</f>
        <v>0</v>
      </c>
      <c r="AG530" s="15" t="n">
        <f aca="false">AA530*N(AD530)</f>
        <v>0</v>
      </c>
      <c r="AH530" s="15" t="n">
        <f aca="false">AA530*N(AE530)</f>
        <v>0</v>
      </c>
      <c r="AI530" s="15" t="n">
        <f aca="false">AA530*N(AF530)</f>
        <v>0</v>
      </c>
      <c r="AJ530" s="15" t="n">
        <f aca="false">AA530*N(R530)</f>
        <v>0</v>
      </c>
      <c r="AK530" s="15" t="n">
        <f aca="false">AB530*N(AD530)</f>
        <v>0</v>
      </c>
      <c r="AL530" s="15" t="n">
        <f aca="false">AB530*N(AE530)</f>
        <v>0</v>
      </c>
      <c r="AM530" s="15" t="n">
        <f aca="false">AB530*N(AF530)</f>
        <v>0</v>
      </c>
      <c r="AN530" s="15" t="n">
        <f aca="false">AB530*N(R530)</f>
        <v>0</v>
      </c>
      <c r="AO530" s="21" t="str">
        <f aca="false">IF(F530&lt;&gt;"Y","n/a",IF(AND(N530&lt;&gt;"",OR(Q530&lt;&gt;"",G530="Other / bench",G530="None"),U530&lt;&gt;""),"OK","Missing"))</f>
        <v>Missing</v>
      </c>
    </row>
    <row r="531" customFormat="false" ht="15" hidden="false" customHeight="false" outlineLevel="0" collapsed="false">
      <c r="A531" s="10" t="s">
        <v>490</v>
      </c>
      <c r="B531" s="10" t="s">
        <v>740</v>
      </c>
      <c r="C531" s="10" t="s">
        <v>437</v>
      </c>
      <c r="D531" s="10" t="s">
        <v>742</v>
      </c>
      <c r="E531" s="21" t="str">
        <f aca="false">IF(A531="","",A531&amp;"|"&amp;D531)</f>
        <v>Panax Ginseng (Asian Ginseng) Dry Extract 3:1|Other compendial tests (ID, LOD/KF, heavy metals...)</v>
      </c>
      <c r="F531" s="16" t="s">
        <v>662</v>
      </c>
      <c r="G531" s="16" t="s">
        <v>670</v>
      </c>
      <c r="H531" s="16" t="s">
        <v>672</v>
      </c>
      <c r="I531" s="16" t="n">
        <v>1</v>
      </c>
      <c r="J531" s="16"/>
      <c r="K531" s="14"/>
      <c r="L531" s="14"/>
      <c r="M531" s="14"/>
      <c r="N531" s="14"/>
      <c r="O531" s="14"/>
      <c r="P531" s="18" t="n">
        <f aca="false">IF(N531="",0,IF(OR(M531="",O531=""),N531,(M531+4*N531+O531)/6))</f>
        <v>0</v>
      </c>
      <c r="Q531" s="14"/>
      <c r="R531" s="14"/>
      <c r="S531" s="14"/>
      <c r="T531" s="14"/>
      <c r="U531" s="16"/>
      <c r="V531" s="13"/>
      <c r="W531" s="16" t="s">
        <v>667</v>
      </c>
      <c r="X531" s="16"/>
      <c r="Y531" s="16"/>
      <c r="Z531" s="16"/>
      <c r="AA531" s="22" t="n">
        <f aca="false">IF(F531&lt;&gt;"Y",0,((SUMIF(Products!$E$5:$E$300,A531,Products!$F$5:$F$300)+SUMIF(RM_Lots!$A$5:$A$400,A531,RM_Lots!$D$5:$D$400))+IF(W531="Y",SUMIF(Products!$E$5:$E$300,A531,Products!$G$5:$G$300),0))*(1+N(V531)))</f>
        <v>0</v>
      </c>
      <c r="AB531" s="22" t="n">
        <f aca="false">IF(F531&lt;&gt;"Y",0,((SUMIF(Products!$E$5:$E$300,A531,Products!$K$5:$K$300)+SUMIF(RM_Lots!$A$5:$A$400,A531,RM_Lots!$F$5:$F$400))+IF(W531="Y",SUMIF(Products!$E$5:$E$300,A531,Products!$L$5:$L$300),0))*(1+N(V531)))</f>
        <v>0</v>
      </c>
      <c r="AC531" s="17" t="n">
        <f aca="false">IF(J531="",1,MAX(1,COUNTIFS($J$5:$J$863,J531,$F$5:$F$863,"Y")))</f>
        <v>1</v>
      </c>
      <c r="AD531" s="18" t="n">
        <f aca="false">(MAX(1,N(I531))*(P531+N(S531))+MAX(1,N(I531))*N(K531)/(MAX(1,N(U531))*AC531))*Settings!$B$9</f>
        <v>0</v>
      </c>
      <c r="AE531" s="18" t="n">
        <f aca="false">(MAX(1,N(I531))*N(Q531)+MAX(1,N(I531))*N(L531)/(MAX(1,N(U531))*AC531))*Settings!$B$8</f>
        <v>0</v>
      </c>
      <c r="AF531" s="18" t="n">
        <f aca="false">MAX(1,N(I531))*N(T531)</f>
        <v>0</v>
      </c>
      <c r="AG531" s="15" t="n">
        <f aca="false">AA531*N(AD531)</f>
        <v>0</v>
      </c>
      <c r="AH531" s="15" t="n">
        <f aca="false">AA531*N(AE531)</f>
        <v>0</v>
      </c>
      <c r="AI531" s="15" t="n">
        <f aca="false">AA531*N(AF531)</f>
        <v>0</v>
      </c>
      <c r="AJ531" s="15" t="n">
        <f aca="false">AA531*N(R531)</f>
        <v>0</v>
      </c>
      <c r="AK531" s="15" t="n">
        <f aca="false">AB531*N(AD531)</f>
        <v>0</v>
      </c>
      <c r="AL531" s="15" t="n">
        <f aca="false">AB531*N(AE531)</f>
        <v>0</v>
      </c>
      <c r="AM531" s="15" t="n">
        <f aca="false">AB531*N(AF531)</f>
        <v>0</v>
      </c>
      <c r="AN531" s="15" t="n">
        <f aca="false">AB531*N(R531)</f>
        <v>0</v>
      </c>
      <c r="AO531" s="21" t="str">
        <f aca="false">IF(F531&lt;&gt;"Y","n/a",IF(AND(N531&lt;&gt;"",OR(Q531&lt;&gt;"",G531="Other / bench",G531="None"),U531&lt;&gt;""),"OK","Missing"))</f>
        <v>Missing</v>
      </c>
    </row>
    <row r="532" customFormat="false" ht="15" hidden="false" customHeight="false" outlineLevel="0" collapsed="false">
      <c r="A532" s="10" t="s">
        <v>491</v>
      </c>
      <c r="B532" s="10" t="s">
        <v>740</v>
      </c>
      <c r="C532" s="10" t="s">
        <v>437</v>
      </c>
      <c r="D532" s="10" t="s">
        <v>741</v>
      </c>
      <c r="E532" s="21" t="str">
        <f aca="false">IF(A532="","",A532&amp;"|"&amp;D532)</f>
        <v>Peppermint Dry Extract|Assay + related substances</v>
      </c>
      <c r="F532" s="16" t="s">
        <v>662</v>
      </c>
      <c r="G532" s="16" t="s">
        <v>147</v>
      </c>
      <c r="H532" s="16" t="s">
        <v>663</v>
      </c>
      <c r="I532" s="16" t="n">
        <v>1</v>
      </c>
      <c r="J532" s="16"/>
      <c r="K532" s="14"/>
      <c r="L532" s="14"/>
      <c r="M532" s="14"/>
      <c r="N532" s="14"/>
      <c r="O532" s="14"/>
      <c r="P532" s="18" t="n">
        <f aca="false">IF(N532="",0,IF(OR(M532="",O532=""),N532,(M532+4*N532+O532)/6))</f>
        <v>0</v>
      </c>
      <c r="Q532" s="14"/>
      <c r="R532" s="14"/>
      <c r="S532" s="14"/>
      <c r="T532" s="14"/>
      <c r="U532" s="16"/>
      <c r="V532" s="13"/>
      <c r="W532" s="16" t="s">
        <v>667</v>
      </c>
      <c r="X532" s="16"/>
      <c r="Y532" s="16"/>
      <c r="Z532" s="16"/>
      <c r="AA532" s="22" t="n">
        <f aca="false">IF(F532&lt;&gt;"Y",0,((SUMIF(Products!$E$5:$E$300,A532,Products!$F$5:$F$300)+SUMIF(RM_Lots!$A$5:$A$400,A532,RM_Lots!$D$5:$D$400))+IF(W532="Y",SUMIF(Products!$E$5:$E$300,A532,Products!$G$5:$G$300),0))*(1+N(V532)))</f>
        <v>0</v>
      </c>
      <c r="AB532" s="22" t="n">
        <f aca="false">IF(F532&lt;&gt;"Y",0,((SUMIF(Products!$E$5:$E$300,A532,Products!$K$5:$K$300)+SUMIF(RM_Lots!$A$5:$A$400,A532,RM_Lots!$F$5:$F$400))+IF(W532="Y",SUMIF(Products!$E$5:$E$300,A532,Products!$L$5:$L$300),0))*(1+N(V532)))</f>
        <v>0</v>
      </c>
      <c r="AC532" s="17" t="n">
        <f aca="false">IF(J532="",1,MAX(1,COUNTIFS($J$5:$J$863,J532,$F$5:$F$863,"Y")))</f>
        <v>1</v>
      </c>
      <c r="AD532" s="18" t="n">
        <f aca="false">(MAX(1,N(I532))*(P532+N(S532))+MAX(1,N(I532))*N(K532)/(MAX(1,N(U532))*AC532))*Settings!$B$9</f>
        <v>0</v>
      </c>
      <c r="AE532" s="18" t="n">
        <f aca="false">(MAX(1,N(I532))*N(Q532)+MAX(1,N(I532))*N(L532)/(MAX(1,N(U532))*AC532))*Settings!$B$8</f>
        <v>0</v>
      </c>
      <c r="AF532" s="18" t="n">
        <f aca="false">MAX(1,N(I532))*N(T532)</f>
        <v>0</v>
      </c>
      <c r="AG532" s="15" t="n">
        <f aca="false">AA532*N(AD532)</f>
        <v>0</v>
      </c>
      <c r="AH532" s="15" t="n">
        <f aca="false">AA532*N(AE532)</f>
        <v>0</v>
      </c>
      <c r="AI532" s="15" t="n">
        <f aca="false">AA532*N(AF532)</f>
        <v>0</v>
      </c>
      <c r="AJ532" s="15" t="n">
        <f aca="false">AA532*N(R532)</f>
        <v>0</v>
      </c>
      <c r="AK532" s="15" t="n">
        <f aca="false">AB532*N(AD532)</f>
        <v>0</v>
      </c>
      <c r="AL532" s="15" t="n">
        <f aca="false">AB532*N(AE532)</f>
        <v>0</v>
      </c>
      <c r="AM532" s="15" t="n">
        <f aca="false">AB532*N(AF532)</f>
        <v>0</v>
      </c>
      <c r="AN532" s="15" t="n">
        <f aca="false">AB532*N(R532)</f>
        <v>0</v>
      </c>
      <c r="AO532" s="21" t="str">
        <f aca="false">IF(F532&lt;&gt;"Y","n/a",IF(AND(N532&lt;&gt;"",OR(Q532&lt;&gt;"",G532="Other / bench",G532="None"),U532&lt;&gt;""),"OK","Missing"))</f>
        <v>Missing</v>
      </c>
    </row>
    <row r="533" customFormat="false" ht="15" hidden="false" customHeight="false" outlineLevel="0" collapsed="false">
      <c r="A533" s="10" t="s">
        <v>491</v>
      </c>
      <c r="B533" s="10" t="s">
        <v>740</v>
      </c>
      <c r="C533" s="10" t="s">
        <v>437</v>
      </c>
      <c r="D533" s="10" t="s">
        <v>742</v>
      </c>
      <c r="E533" s="21" t="str">
        <f aca="false">IF(A533="","",A533&amp;"|"&amp;D533)</f>
        <v>Peppermint Dry Extract|Other compendial tests (ID, LOD/KF, heavy metals...)</v>
      </c>
      <c r="F533" s="16" t="s">
        <v>662</v>
      </c>
      <c r="G533" s="16" t="s">
        <v>670</v>
      </c>
      <c r="H533" s="16" t="s">
        <v>672</v>
      </c>
      <c r="I533" s="16" t="n">
        <v>1</v>
      </c>
      <c r="J533" s="16"/>
      <c r="K533" s="14"/>
      <c r="L533" s="14"/>
      <c r="M533" s="14"/>
      <c r="N533" s="14"/>
      <c r="O533" s="14"/>
      <c r="P533" s="18" t="n">
        <f aca="false">IF(N533="",0,IF(OR(M533="",O533=""),N533,(M533+4*N533+O533)/6))</f>
        <v>0</v>
      </c>
      <c r="Q533" s="14"/>
      <c r="R533" s="14"/>
      <c r="S533" s="14"/>
      <c r="T533" s="14"/>
      <c r="U533" s="16"/>
      <c r="V533" s="13"/>
      <c r="W533" s="16" t="s">
        <v>667</v>
      </c>
      <c r="X533" s="16"/>
      <c r="Y533" s="16"/>
      <c r="Z533" s="16"/>
      <c r="AA533" s="22" t="n">
        <f aca="false">IF(F533&lt;&gt;"Y",0,((SUMIF(Products!$E$5:$E$300,A533,Products!$F$5:$F$300)+SUMIF(RM_Lots!$A$5:$A$400,A533,RM_Lots!$D$5:$D$400))+IF(W533="Y",SUMIF(Products!$E$5:$E$300,A533,Products!$G$5:$G$300),0))*(1+N(V533)))</f>
        <v>0</v>
      </c>
      <c r="AB533" s="22" t="n">
        <f aca="false">IF(F533&lt;&gt;"Y",0,((SUMIF(Products!$E$5:$E$300,A533,Products!$K$5:$K$300)+SUMIF(RM_Lots!$A$5:$A$400,A533,RM_Lots!$F$5:$F$400))+IF(W533="Y",SUMIF(Products!$E$5:$E$300,A533,Products!$L$5:$L$300),0))*(1+N(V533)))</f>
        <v>0</v>
      </c>
      <c r="AC533" s="17" t="n">
        <f aca="false">IF(J533="",1,MAX(1,COUNTIFS($J$5:$J$863,J533,$F$5:$F$863,"Y")))</f>
        <v>1</v>
      </c>
      <c r="AD533" s="18" t="n">
        <f aca="false">(MAX(1,N(I533))*(P533+N(S533))+MAX(1,N(I533))*N(K533)/(MAX(1,N(U533))*AC533))*Settings!$B$9</f>
        <v>0</v>
      </c>
      <c r="AE533" s="18" t="n">
        <f aca="false">(MAX(1,N(I533))*N(Q533)+MAX(1,N(I533))*N(L533)/(MAX(1,N(U533))*AC533))*Settings!$B$8</f>
        <v>0</v>
      </c>
      <c r="AF533" s="18" t="n">
        <f aca="false">MAX(1,N(I533))*N(T533)</f>
        <v>0</v>
      </c>
      <c r="AG533" s="15" t="n">
        <f aca="false">AA533*N(AD533)</f>
        <v>0</v>
      </c>
      <c r="AH533" s="15" t="n">
        <f aca="false">AA533*N(AE533)</f>
        <v>0</v>
      </c>
      <c r="AI533" s="15" t="n">
        <f aca="false">AA533*N(AF533)</f>
        <v>0</v>
      </c>
      <c r="AJ533" s="15" t="n">
        <f aca="false">AA533*N(R533)</f>
        <v>0</v>
      </c>
      <c r="AK533" s="15" t="n">
        <f aca="false">AB533*N(AD533)</f>
        <v>0</v>
      </c>
      <c r="AL533" s="15" t="n">
        <f aca="false">AB533*N(AE533)</f>
        <v>0</v>
      </c>
      <c r="AM533" s="15" t="n">
        <f aca="false">AB533*N(AF533)</f>
        <v>0</v>
      </c>
      <c r="AN533" s="15" t="n">
        <f aca="false">AB533*N(R533)</f>
        <v>0</v>
      </c>
      <c r="AO533" s="21" t="str">
        <f aca="false">IF(F533&lt;&gt;"Y","n/a",IF(AND(N533&lt;&gt;"",OR(Q533&lt;&gt;"",G533="Other / bench",G533="None"),U533&lt;&gt;""),"OK","Missing"))</f>
        <v>Missing</v>
      </c>
    </row>
    <row r="534" customFormat="false" ht="15" hidden="false" customHeight="false" outlineLevel="0" collapsed="false">
      <c r="A534" s="10" t="s">
        <v>492</v>
      </c>
      <c r="B534" s="10" t="s">
        <v>740</v>
      </c>
      <c r="C534" s="10" t="s">
        <v>437</v>
      </c>
      <c r="D534" s="10" t="s">
        <v>741</v>
      </c>
      <c r="E534" s="21" t="str">
        <f aca="false">IF(A534="","",A534&amp;"|"&amp;D534)</f>
        <v>Phenylephrine HCl|Assay + related substances</v>
      </c>
      <c r="F534" s="16" t="s">
        <v>662</v>
      </c>
      <c r="G534" s="16" t="s">
        <v>147</v>
      </c>
      <c r="H534" s="16" t="s">
        <v>663</v>
      </c>
      <c r="I534" s="16" t="n">
        <v>1</v>
      </c>
      <c r="J534" s="16"/>
      <c r="K534" s="14"/>
      <c r="L534" s="14"/>
      <c r="M534" s="14"/>
      <c r="N534" s="14"/>
      <c r="O534" s="14"/>
      <c r="P534" s="18" t="n">
        <f aca="false">IF(N534="",0,IF(OR(M534="",O534=""),N534,(M534+4*N534+O534)/6))</f>
        <v>0</v>
      </c>
      <c r="Q534" s="14"/>
      <c r="R534" s="14"/>
      <c r="S534" s="14"/>
      <c r="T534" s="14"/>
      <c r="U534" s="16"/>
      <c r="V534" s="13"/>
      <c r="W534" s="16" t="s">
        <v>667</v>
      </c>
      <c r="X534" s="16"/>
      <c r="Y534" s="16"/>
      <c r="Z534" s="16"/>
      <c r="AA534" s="22" t="n">
        <f aca="false">IF(F534&lt;&gt;"Y",0,((SUMIF(Products!$E$5:$E$300,A534,Products!$F$5:$F$300)+SUMIF(RM_Lots!$A$5:$A$400,A534,RM_Lots!$D$5:$D$400))+IF(W534="Y",SUMIF(Products!$E$5:$E$300,A534,Products!$G$5:$G$300),0))*(1+N(V534)))</f>
        <v>0</v>
      </c>
      <c r="AB534" s="22" t="n">
        <f aca="false">IF(F534&lt;&gt;"Y",0,((SUMIF(Products!$E$5:$E$300,A534,Products!$K$5:$K$300)+SUMIF(RM_Lots!$A$5:$A$400,A534,RM_Lots!$F$5:$F$400))+IF(W534="Y",SUMIF(Products!$E$5:$E$300,A534,Products!$L$5:$L$300),0))*(1+N(V534)))</f>
        <v>0</v>
      </c>
      <c r="AC534" s="17" t="n">
        <f aca="false">IF(J534="",1,MAX(1,COUNTIFS($J$5:$J$863,J534,$F$5:$F$863,"Y")))</f>
        <v>1</v>
      </c>
      <c r="AD534" s="18" t="n">
        <f aca="false">(MAX(1,N(I534))*(P534+N(S534))+MAX(1,N(I534))*N(K534)/(MAX(1,N(U534))*AC534))*Settings!$B$9</f>
        <v>0</v>
      </c>
      <c r="AE534" s="18" t="n">
        <f aca="false">(MAX(1,N(I534))*N(Q534)+MAX(1,N(I534))*N(L534)/(MAX(1,N(U534))*AC534))*Settings!$B$8</f>
        <v>0</v>
      </c>
      <c r="AF534" s="18" t="n">
        <f aca="false">MAX(1,N(I534))*N(T534)</f>
        <v>0</v>
      </c>
      <c r="AG534" s="15" t="n">
        <f aca="false">AA534*N(AD534)</f>
        <v>0</v>
      </c>
      <c r="AH534" s="15" t="n">
        <f aca="false">AA534*N(AE534)</f>
        <v>0</v>
      </c>
      <c r="AI534" s="15" t="n">
        <f aca="false">AA534*N(AF534)</f>
        <v>0</v>
      </c>
      <c r="AJ534" s="15" t="n">
        <f aca="false">AA534*N(R534)</f>
        <v>0</v>
      </c>
      <c r="AK534" s="15" t="n">
        <f aca="false">AB534*N(AD534)</f>
        <v>0</v>
      </c>
      <c r="AL534" s="15" t="n">
        <f aca="false">AB534*N(AE534)</f>
        <v>0</v>
      </c>
      <c r="AM534" s="15" t="n">
        <f aca="false">AB534*N(AF534)</f>
        <v>0</v>
      </c>
      <c r="AN534" s="15" t="n">
        <f aca="false">AB534*N(R534)</f>
        <v>0</v>
      </c>
      <c r="AO534" s="21" t="str">
        <f aca="false">IF(F534&lt;&gt;"Y","n/a",IF(AND(N534&lt;&gt;"",OR(Q534&lt;&gt;"",G534="Other / bench",G534="None"),U534&lt;&gt;""),"OK","Missing"))</f>
        <v>Missing</v>
      </c>
    </row>
    <row r="535" customFormat="false" ht="15" hidden="false" customHeight="false" outlineLevel="0" collapsed="false">
      <c r="A535" s="10" t="s">
        <v>492</v>
      </c>
      <c r="B535" s="10" t="s">
        <v>740</v>
      </c>
      <c r="C535" s="10" t="s">
        <v>437</v>
      </c>
      <c r="D535" s="10" t="s">
        <v>742</v>
      </c>
      <c r="E535" s="21" t="str">
        <f aca="false">IF(A535="","",A535&amp;"|"&amp;D535)</f>
        <v>Phenylephrine HCl|Other compendial tests (ID, LOD/KF, heavy metals...)</v>
      </c>
      <c r="F535" s="16" t="s">
        <v>662</v>
      </c>
      <c r="G535" s="16" t="s">
        <v>670</v>
      </c>
      <c r="H535" s="16" t="s">
        <v>672</v>
      </c>
      <c r="I535" s="16" t="n">
        <v>1</v>
      </c>
      <c r="J535" s="16"/>
      <c r="K535" s="14"/>
      <c r="L535" s="14"/>
      <c r="M535" s="14"/>
      <c r="N535" s="14"/>
      <c r="O535" s="14"/>
      <c r="P535" s="18" t="n">
        <f aca="false">IF(N535="",0,IF(OR(M535="",O535=""),N535,(M535+4*N535+O535)/6))</f>
        <v>0</v>
      </c>
      <c r="Q535" s="14"/>
      <c r="R535" s="14"/>
      <c r="S535" s="14"/>
      <c r="T535" s="14"/>
      <c r="U535" s="16"/>
      <c r="V535" s="13"/>
      <c r="W535" s="16" t="s">
        <v>667</v>
      </c>
      <c r="X535" s="16"/>
      <c r="Y535" s="16"/>
      <c r="Z535" s="16"/>
      <c r="AA535" s="22" t="n">
        <f aca="false">IF(F535&lt;&gt;"Y",0,((SUMIF(Products!$E$5:$E$300,A535,Products!$F$5:$F$300)+SUMIF(RM_Lots!$A$5:$A$400,A535,RM_Lots!$D$5:$D$400))+IF(W535="Y",SUMIF(Products!$E$5:$E$300,A535,Products!$G$5:$G$300),0))*(1+N(V535)))</f>
        <v>0</v>
      </c>
      <c r="AB535" s="22" t="n">
        <f aca="false">IF(F535&lt;&gt;"Y",0,((SUMIF(Products!$E$5:$E$300,A535,Products!$K$5:$K$300)+SUMIF(RM_Lots!$A$5:$A$400,A535,RM_Lots!$F$5:$F$400))+IF(W535="Y",SUMIF(Products!$E$5:$E$300,A535,Products!$L$5:$L$300),0))*(1+N(V535)))</f>
        <v>0</v>
      </c>
      <c r="AC535" s="17" t="n">
        <f aca="false">IF(J535="",1,MAX(1,COUNTIFS($J$5:$J$863,J535,$F$5:$F$863,"Y")))</f>
        <v>1</v>
      </c>
      <c r="AD535" s="18" t="n">
        <f aca="false">(MAX(1,N(I535))*(P535+N(S535))+MAX(1,N(I535))*N(K535)/(MAX(1,N(U535))*AC535))*Settings!$B$9</f>
        <v>0</v>
      </c>
      <c r="AE535" s="18" t="n">
        <f aca="false">(MAX(1,N(I535))*N(Q535)+MAX(1,N(I535))*N(L535)/(MAX(1,N(U535))*AC535))*Settings!$B$8</f>
        <v>0</v>
      </c>
      <c r="AF535" s="18" t="n">
        <f aca="false">MAX(1,N(I535))*N(T535)</f>
        <v>0</v>
      </c>
      <c r="AG535" s="15" t="n">
        <f aca="false">AA535*N(AD535)</f>
        <v>0</v>
      </c>
      <c r="AH535" s="15" t="n">
        <f aca="false">AA535*N(AE535)</f>
        <v>0</v>
      </c>
      <c r="AI535" s="15" t="n">
        <f aca="false">AA535*N(AF535)</f>
        <v>0</v>
      </c>
      <c r="AJ535" s="15" t="n">
        <f aca="false">AA535*N(R535)</f>
        <v>0</v>
      </c>
      <c r="AK535" s="15" t="n">
        <f aca="false">AB535*N(AD535)</f>
        <v>0</v>
      </c>
      <c r="AL535" s="15" t="n">
        <f aca="false">AB535*N(AE535)</f>
        <v>0</v>
      </c>
      <c r="AM535" s="15" t="n">
        <f aca="false">AB535*N(AF535)</f>
        <v>0</v>
      </c>
      <c r="AN535" s="15" t="n">
        <f aca="false">AB535*N(R535)</f>
        <v>0</v>
      </c>
      <c r="AO535" s="21" t="str">
        <f aca="false">IF(F535&lt;&gt;"Y","n/a",IF(AND(N535&lt;&gt;"",OR(Q535&lt;&gt;"",G535="Other / bench",G535="None"),U535&lt;&gt;""),"OK","Missing"))</f>
        <v>Missing</v>
      </c>
    </row>
    <row r="536" customFormat="false" ht="15" hidden="false" customHeight="false" outlineLevel="0" collapsed="false">
      <c r="A536" s="10" t="s">
        <v>493</v>
      </c>
      <c r="B536" s="10" t="s">
        <v>740</v>
      </c>
      <c r="C536" s="10" t="s">
        <v>437</v>
      </c>
      <c r="D536" s="10" t="s">
        <v>741</v>
      </c>
      <c r="E536" s="21" t="str">
        <f aca="false">IF(A536="","",A536&amp;"|"&amp;D536)</f>
        <v>Potassium Iodide|Assay + related substances</v>
      </c>
      <c r="F536" s="16" t="s">
        <v>662</v>
      </c>
      <c r="G536" s="16" t="s">
        <v>147</v>
      </c>
      <c r="H536" s="16" t="s">
        <v>663</v>
      </c>
      <c r="I536" s="16" t="n">
        <v>1</v>
      </c>
      <c r="J536" s="16"/>
      <c r="K536" s="14"/>
      <c r="L536" s="14"/>
      <c r="M536" s="14"/>
      <c r="N536" s="14"/>
      <c r="O536" s="14"/>
      <c r="P536" s="18" t="n">
        <f aca="false">IF(N536="",0,IF(OR(M536="",O536=""),N536,(M536+4*N536+O536)/6))</f>
        <v>0</v>
      </c>
      <c r="Q536" s="14"/>
      <c r="R536" s="14"/>
      <c r="S536" s="14"/>
      <c r="T536" s="14"/>
      <c r="U536" s="16"/>
      <c r="V536" s="13"/>
      <c r="W536" s="16" t="s">
        <v>667</v>
      </c>
      <c r="X536" s="16"/>
      <c r="Y536" s="16"/>
      <c r="Z536" s="16"/>
      <c r="AA536" s="22" t="n">
        <f aca="false">IF(F536&lt;&gt;"Y",0,((SUMIF(Products!$E$5:$E$300,A536,Products!$F$5:$F$300)+SUMIF(RM_Lots!$A$5:$A$400,A536,RM_Lots!$D$5:$D$400))+IF(W536="Y",SUMIF(Products!$E$5:$E$300,A536,Products!$G$5:$G$300),0))*(1+N(V536)))</f>
        <v>0</v>
      </c>
      <c r="AB536" s="22" t="n">
        <f aca="false">IF(F536&lt;&gt;"Y",0,((SUMIF(Products!$E$5:$E$300,A536,Products!$K$5:$K$300)+SUMIF(RM_Lots!$A$5:$A$400,A536,RM_Lots!$F$5:$F$400))+IF(W536="Y",SUMIF(Products!$E$5:$E$300,A536,Products!$L$5:$L$300),0))*(1+N(V536)))</f>
        <v>0</v>
      </c>
      <c r="AC536" s="17" t="n">
        <f aca="false">IF(J536="",1,MAX(1,COUNTIFS($J$5:$J$863,J536,$F$5:$F$863,"Y")))</f>
        <v>1</v>
      </c>
      <c r="AD536" s="18" t="n">
        <f aca="false">(MAX(1,N(I536))*(P536+N(S536))+MAX(1,N(I536))*N(K536)/(MAX(1,N(U536))*AC536))*Settings!$B$9</f>
        <v>0</v>
      </c>
      <c r="AE536" s="18" t="n">
        <f aca="false">(MAX(1,N(I536))*N(Q536)+MAX(1,N(I536))*N(L536)/(MAX(1,N(U536))*AC536))*Settings!$B$8</f>
        <v>0</v>
      </c>
      <c r="AF536" s="18" t="n">
        <f aca="false">MAX(1,N(I536))*N(T536)</f>
        <v>0</v>
      </c>
      <c r="AG536" s="15" t="n">
        <f aca="false">AA536*N(AD536)</f>
        <v>0</v>
      </c>
      <c r="AH536" s="15" t="n">
        <f aca="false">AA536*N(AE536)</f>
        <v>0</v>
      </c>
      <c r="AI536" s="15" t="n">
        <f aca="false">AA536*N(AF536)</f>
        <v>0</v>
      </c>
      <c r="AJ536" s="15" t="n">
        <f aca="false">AA536*N(R536)</f>
        <v>0</v>
      </c>
      <c r="AK536" s="15" t="n">
        <f aca="false">AB536*N(AD536)</f>
        <v>0</v>
      </c>
      <c r="AL536" s="15" t="n">
        <f aca="false">AB536*N(AE536)</f>
        <v>0</v>
      </c>
      <c r="AM536" s="15" t="n">
        <f aca="false">AB536*N(AF536)</f>
        <v>0</v>
      </c>
      <c r="AN536" s="15" t="n">
        <f aca="false">AB536*N(R536)</f>
        <v>0</v>
      </c>
      <c r="AO536" s="21" t="str">
        <f aca="false">IF(F536&lt;&gt;"Y","n/a",IF(AND(N536&lt;&gt;"",OR(Q536&lt;&gt;"",G536="Other / bench",G536="None"),U536&lt;&gt;""),"OK","Missing"))</f>
        <v>Missing</v>
      </c>
    </row>
    <row r="537" customFormat="false" ht="15" hidden="false" customHeight="false" outlineLevel="0" collapsed="false">
      <c r="A537" s="10" t="s">
        <v>493</v>
      </c>
      <c r="B537" s="10" t="s">
        <v>740</v>
      </c>
      <c r="C537" s="10" t="s">
        <v>437</v>
      </c>
      <c r="D537" s="10" t="s">
        <v>742</v>
      </c>
      <c r="E537" s="21" t="str">
        <f aca="false">IF(A537="","",A537&amp;"|"&amp;D537)</f>
        <v>Potassium Iodide|Other compendial tests (ID, LOD/KF, heavy metals...)</v>
      </c>
      <c r="F537" s="16" t="s">
        <v>662</v>
      </c>
      <c r="G537" s="16" t="s">
        <v>670</v>
      </c>
      <c r="H537" s="16" t="s">
        <v>672</v>
      </c>
      <c r="I537" s="16" t="n">
        <v>1</v>
      </c>
      <c r="J537" s="16"/>
      <c r="K537" s="14"/>
      <c r="L537" s="14"/>
      <c r="M537" s="14"/>
      <c r="N537" s="14"/>
      <c r="O537" s="14"/>
      <c r="P537" s="18" t="n">
        <f aca="false">IF(N537="",0,IF(OR(M537="",O537=""),N537,(M537+4*N537+O537)/6))</f>
        <v>0</v>
      </c>
      <c r="Q537" s="14"/>
      <c r="R537" s="14"/>
      <c r="S537" s="14"/>
      <c r="T537" s="14"/>
      <c r="U537" s="16"/>
      <c r="V537" s="13"/>
      <c r="W537" s="16" t="s">
        <v>667</v>
      </c>
      <c r="X537" s="16"/>
      <c r="Y537" s="16"/>
      <c r="Z537" s="16"/>
      <c r="AA537" s="22" t="n">
        <f aca="false">IF(F537&lt;&gt;"Y",0,((SUMIF(Products!$E$5:$E$300,A537,Products!$F$5:$F$300)+SUMIF(RM_Lots!$A$5:$A$400,A537,RM_Lots!$D$5:$D$400))+IF(W537="Y",SUMIF(Products!$E$5:$E$300,A537,Products!$G$5:$G$300),0))*(1+N(V537)))</f>
        <v>0</v>
      </c>
      <c r="AB537" s="22" t="n">
        <f aca="false">IF(F537&lt;&gt;"Y",0,((SUMIF(Products!$E$5:$E$300,A537,Products!$K$5:$K$300)+SUMIF(RM_Lots!$A$5:$A$400,A537,RM_Lots!$F$5:$F$400))+IF(W537="Y",SUMIF(Products!$E$5:$E$300,A537,Products!$L$5:$L$300),0))*(1+N(V537)))</f>
        <v>0</v>
      </c>
      <c r="AC537" s="17" t="n">
        <f aca="false">IF(J537="",1,MAX(1,COUNTIFS($J$5:$J$863,J537,$F$5:$F$863,"Y")))</f>
        <v>1</v>
      </c>
      <c r="AD537" s="18" t="n">
        <f aca="false">(MAX(1,N(I537))*(P537+N(S537))+MAX(1,N(I537))*N(K537)/(MAX(1,N(U537))*AC537))*Settings!$B$9</f>
        <v>0</v>
      </c>
      <c r="AE537" s="18" t="n">
        <f aca="false">(MAX(1,N(I537))*N(Q537)+MAX(1,N(I537))*N(L537)/(MAX(1,N(U537))*AC537))*Settings!$B$8</f>
        <v>0</v>
      </c>
      <c r="AF537" s="18" t="n">
        <f aca="false">MAX(1,N(I537))*N(T537)</f>
        <v>0</v>
      </c>
      <c r="AG537" s="15" t="n">
        <f aca="false">AA537*N(AD537)</f>
        <v>0</v>
      </c>
      <c r="AH537" s="15" t="n">
        <f aca="false">AA537*N(AE537)</f>
        <v>0</v>
      </c>
      <c r="AI537" s="15" t="n">
        <f aca="false">AA537*N(AF537)</f>
        <v>0</v>
      </c>
      <c r="AJ537" s="15" t="n">
        <f aca="false">AA537*N(R537)</f>
        <v>0</v>
      </c>
      <c r="AK537" s="15" t="n">
        <f aca="false">AB537*N(AD537)</f>
        <v>0</v>
      </c>
      <c r="AL537" s="15" t="n">
        <f aca="false">AB537*N(AE537)</f>
        <v>0</v>
      </c>
      <c r="AM537" s="15" t="n">
        <f aca="false">AB537*N(AF537)</f>
        <v>0</v>
      </c>
      <c r="AN537" s="15" t="n">
        <f aca="false">AB537*N(R537)</f>
        <v>0</v>
      </c>
      <c r="AO537" s="21" t="str">
        <f aca="false">IF(F537&lt;&gt;"Y","n/a",IF(AND(N537&lt;&gt;"",OR(Q537&lt;&gt;"",G537="Other / bench",G537="None"),U537&lt;&gt;""),"OK","Missing"))</f>
        <v>Missing</v>
      </c>
    </row>
    <row r="538" customFormat="false" ht="15" hidden="false" customHeight="false" outlineLevel="0" collapsed="false">
      <c r="A538" s="10" t="s">
        <v>494</v>
      </c>
      <c r="B538" s="10" t="s">
        <v>740</v>
      </c>
      <c r="C538" s="10" t="s">
        <v>437</v>
      </c>
      <c r="D538" s="10" t="s">
        <v>741</v>
      </c>
      <c r="E538" s="21" t="str">
        <f aca="false">IF(A538="","",A538&amp;"|"&amp;D538)</f>
        <v>Premix Dermo Bella|Assay + related substances</v>
      </c>
      <c r="F538" s="16" t="s">
        <v>662</v>
      </c>
      <c r="G538" s="16" t="s">
        <v>147</v>
      </c>
      <c r="H538" s="16" t="s">
        <v>663</v>
      </c>
      <c r="I538" s="16" t="n">
        <v>1</v>
      </c>
      <c r="J538" s="16"/>
      <c r="K538" s="14"/>
      <c r="L538" s="14"/>
      <c r="M538" s="14"/>
      <c r="N538" s="14"/>
      <c r="O538" s="14"/>
      <c r="P538" s="18" t="n">
        <f aca="false">IF(N538="",0,IF(OR(M538="",O538=""),N538,(M538+4*N538+O538)/6))</f>
        <v>0</v>
      </c>
      <c r="Q538" s="14"/>
      <c r="R538" s="14"/>
      <c r="S538" s="14"/>
      <c r="T538" s="14"/>
      <c r="U538" s="16"/>
      <c r="V538" s="13"/>
      <c r="W538" s="16" t="s">
        <v>667</v>
      </c>
      <c r="X538" s="16"/>
      <c r="Y538" s="16"/>
      <c r="Z538" s="16"/>
      <c r="AA538" s="22" t="n">
        <f aca="false">IF(F538&lt;&gt;"Y",0,((SUMIF(Products!$E$5:$E$300,A538,Products!$F$5:$F$300)+SUMIF(RM_Lots!$A$5:$A$400,A538,RM_Lots!$D$5:$D$400))+IF(W538="Y",SUMIF(Products!$E$5:$E$300,A538,Products!$G$5:$G$300),0))*(1+N(V538)))</f>
        <v>0</v>
      </c>
      <c r="AB538" s="22" t="n">
        <f aca="false">IF(F538&lt;&gt;"Y",0,((SUMIF(Products!$E$5:$E$300,A538,Products!$K$5:$K$300)+SUMIF(RM_Lots!$A$5:$A$400,A538,RM_Lots!$F$5:$F$400))+IF(W538="Y",SUMIF(Products!$E$5:$E$300,A538,Products!$L$5:$L$300),0))*(1+N(V538)))</f>
        <v>0</v>
      </c>
      <c r="AC538" s="17" t="n">
        <f aca="false">IF(J538="",1,MAX(1,COUNTIFS($J$5:$J$863,J538,$F$5:$F$863,"Y")))</f>
        <v>1</v>
      </c>
      <c r="AD538" s="18" t="n">
        <f aca="false">(MAX(1,N(I538))*(P538+N(S538))+MAX(1,N(I538))*N(K538)/(MAX(1,N(U538))*AC538))*Settings!$B$9</f>
        <v>0</v>
      </c>
      <c r="AE538" s="18" t="n">
        <f aca="false">(MAX(1,N(I538))*N(Q538)+MAX(1,N(I538))*N(L538)/(MAX(1,N(U538))*AC538))*Settings!$B$8</f>
        <v>0</v>
      </c>
      <c r="AF538" s="18" t="n">
        <f aca="false">MAX(1,N(I538))*N(T538)</f>
        <v>0</v>
      </c>
      <c r="AG538" s="15" t="n">
        <f aca="false">AA538*N(AD538)</f>
        <v>0</v>
      </c>
      <c r="AH538" s="15" t="n">
        <f aca="false">AA538*N(AE538)</f>
        <v>0</v>
      </c>
      <c r="AI538" s="15" t="n">
        <f aca="false">AA538*N(AF538)</f>
        <v>0</v>
      </c>
      <c r="AJ538" s="15" t="n">
        <f aca="false">AA538*N(R538)</f>
        <v>0</v>
      </c>
      <c r="AK538" s="15" t="n">
        <f aca="false">AB538*N(AD538)</f>
        <v>0</v>
      </c>
      <c r="AL538" s="15" t="n">
        <f aca="false">AB538*N(AE538)</f>
        <v>0</v>
      </c>
      <c r="AM538" s="15" t="n">
        <f aca="false">AB538*N(AF538)</f>
        <v>0</v>
      </c>
      <c r="AN538" s="15" t="n">
        <f aca="false">AB538*N(R538)</f>
        <v>0</v>
      </c>
      <c r="AO538" s="21" t="str">
        <f aca="false">IF(F538&lt;&gt;"Y","n/a",IF(AND(N538&lt;&gt;"",OR(Q538&lt;&gt;"",G538="Other / bench",G538="None"),U538&lt;&gt;""),"OK","Missing"))</f>
        <v>Missing</v>
      </c>
    </row>
    <row r="539" customFormat="false" ht="15" hidden="false" customHeight="false" outlineLevel="0" collapsed="false">
      <c r="A539" s="10" t="s">
        <v>494</v>
      </c>
      <c r="B539" s="10" t="s">
        <v>740</v>
      </c>
      <c r="C539" s="10" t="s">
        <v>437</v>
      </c>
      <c r="D539" s="10" t="s">
        <v>742</v>
      </c>
      <c r="E539" s="21" t="str">
        <f aca="false">IF(A539="","",A539&amp;"|"&amp;D539)</f>
        <v>Premix Dermo Bella|Other compendial tests (ID, LOD/KF, heavy metals...)</v>
      </c>
      <c r="F539" s="16" t="s">
        <v>662</v>
      </c>
      <c r="G539" s="16" t="s">
        <v>670</v>
      </c>
      <c r="H539" s="16" t="s">
        <v>672</v>
      </c>
      <c r="I539" s="16" t="n">
        <v>1</v>
      </c>
      <c r="J539" s="16"/>
      <c r="K539" s="14"/>
      <c r="L539" s="14"/>
      <c r="M539" s="14"/>
      <c r="N539" s="14"/>
      <c r="O539" s="14"/>
      <c r="P539" s="18" t="n">
        <f aca="false">IF(N539="",0,IF(OR(M539="",O539=""),N539,(M539+4*N539+O539)/6))</f>
        <v>0</v>
      </c>
      <c r="Q539" s="14"/>
      <c r="R539" s="14"/>
      <c r="S539" s="14"/>
      <c r="T539" s="14"/>
      <c r="U539" s="16"/>
      <c r="V539" s="13"/>
      <c r="W539" s="16" t="s">
        <v>667</v>
      </c>
      <c r="X539" s="16"/>
      <c r="Y539" s="16"/>
      <c r="Z539" s="16"/>
      <c r="AA539" s="22" t="n">
        <f aca="false">IF(F539&lt;&gt;"Y",0,((SUMIF(Products!$E$5:$E$300,A539,Products!$F$5:$F$300)+SUMIF(RM_Lots!$A$5:$A$400,A539,RM_Lots!$D$5:$D$400))+IF(W539="Y",SUMIF(Products!$E$5:$E$300,A539,Products!$G$5:$G$300),0))*(1+N(V539)))</f>
        <v>0</v>
      </c>
      <c r="AB539" s="22" t="n">
        <f aca="false">IF(F539&lt;&gt;"Y",0,((SUMIF(Products!$E$5:$E$300,A539,Products!$K$5:$K$300)+SUMIF(RM_Lots!$A$5:$A$400,A539,RM_Lots!$F$5:$F$400))+IF(W539="Y",SUMIF(Products!$E$5:$E$300,A539,Products!$L$5:$L$300),0))*(1+N(V539)))</f>
        <v>0</v>
      </c>
      <c r="AC539" s="17" t="n">
        <f aca="false">IF(J539="",1,MAX(1,COUNTIFS($J$5:$J$863,J539,$F$5:$F$863,"Y")))</f>
        <v>1</v>
      </c>
      <c r="AD539" s="18" t="n">
        <f aca="false">(MAX(1,N(I539))*(P539+N(S539))+MAX(1,N(I539))*N(K539)/(MAX(1,N(U539))*AC539))*Settings!$B$9</f>
        <v>0</v>
      </c>
      <c r="AE539" s="18" t="n">
        <f aca="false">(MAX(1,N(I539))*N(Q539)+MAX(1,N(I539))*N(L539)/(MAX(1,N(U539))*AC539))*Settings!$B$8</f>
        <v>0</v>
      </c>
      <c r="AF539" s="18" t="n">
        <f aca="false">MAX(1,N(I539))*N(T539)</f>
        <v>0</v>
      </c>
      <c r="AG539" s="15" t="n">
        <f aca="false">AA539*N(AD539)</f>
        <v>0</v>
      </c>
      <c r="AH539" s="15" t="n">
        <f aca="false">AA539*N(AE539)</f>
        <v>0</v>
      </c>
      <c r="AI539" s="15" t="n">
        <f aca="false">AA539*N(AF539)</f>
        <v>0</v>
      </c>
      <c r="AJ539" s="15" t="n">
        <f aca="false">AA539*N(R539)</f>
        <v>0</v>
      </c>
      <c r="AK539" s="15" t="n">
        <f aca="false">AB539*N(AD539)</f>
        <v>0</v>
      </c>
      <c r="AL539" s="15" t="n">
        <f aca="false">AB539*N(AE539)</f>
        <v>0</v>
      </c>
      <c r="AM539" s="15" t="n">
        <f aca="false">AB539*N(AF539)</f>
        <v>0</v>
      </c>
      <c r="AN539" s="15" t="n">
        <f aca="false">AB539*N(R539)</f>
        <v>0</v>
      </c>
      <c r="AO539" s="21" t="str">
        <f aca="false">IF(F539&lt;&gt;"Y","n/a",IF(AND(N539&lt;&gt;"",OR(Q539&lt;&gt;"",G539="Other / bench",G539="None"),U539&lt;&gt;""),"OK","Missing"))</f>
        <v>Missing</v>
      </c>
    </row>
    <row r="540" customFormat="false" ht="15" hidden="false" customHeight="false" outlineLevel="0" collapsed="false">
      <c r="A540" s="10" t="s">
        <v>230</v>
      </c>
      <c r="B540" s="10" t="s">
        <v>740</v>
      </c>
      <c r="C540" s="10" t="s">
        <v>437</v>
      </c>
      <c r="D540" s="10" t="s">
        <v>741</v>
      </c>
      <c r="E540" s="21" t="str">
        <f aca="false">IF(A540="","",A540&amp;"|"&amp;D540)</f>
        <v>Prucalopride Succinate|Assay + related substances</v>
      </c>
      <c r="F540" s="16" t="s">
        <v>662</v>
      </c>
      <c r="G540" s="16" t="s">
        <v>147</v>
      </c>
      <c r="H540" s="16" t="s">
        <v>663</v>
      </c>
      <c r="I540" s="16" t="n">
        <v>1</v>
      </c>
      <c r="J540" s="16"/>
      <c r="K540" s="14"/>
      <c r="L540" s="14"/>
      <c r="M540" s="14"/>
      <c r="N540" s="14"/>
      <c r="O540" s="14"/>
      <c r="P540" s="18" t="n">
        <f aca="false">IF(N540="",0,IF(OR(M540="",O540=""),N540,(M540+4*N540+O540)/6))</f>
        <v>0</v>
      </c>
      <c r="Q540" s="14"/>
      <c r="R540" s="14"/>
      <c r="S540" s="14"/>
      <c r="T540" s="14"/>
      <c r="U540" s="16"/>
      <c r="V540" s="13"/>
      <c r="W540" s="16" t="s">
        <v>667</v>
      </c>
      <c r="X540" s="16"/>
      <c r="Y540" s="16"/>
      <c r="Z540" s="16"/>
      <c r="AA540" s="22" t="n">
        <f aca="false">IF(F540&lt;&gt;"Y",0,((SUMIF(Products!$E$5:$E$300,A540,Products!$F$5:$F$300)+SUMIF(RM_Lots!$A$5:$A$400,A540,RM_Lots!$D$5:$D$400))+IF(W540="Y",SUMIF(Products!$E$5:$E$300,A540,Products!$G$5:$G$300),0))*(1+N(V540)))</f>
        <v>0</v>
      </c>
      <c r="AB540" s="22" t="n">
        <f aca="false">IF(F540&lt;&gt;"Y",0,((SUMIF(Products!$E$5:$E$300,A540,Products!$K$5:$K$300)+SUMIF(RM_Lots!$A$5:$A$400,A540,RM_Lots!$F$5:$F$400))+IF(W540="Y",SUMIF(Products!$E$5:$E$300,A540,Products!$L$5:$L$300),0))*(1+N(V540)))</f>
        <v>0</v>
      </c>
      <c r="AC540" s="17" t="n">
        <f aca="false">IF(J540="",1,MAX(1,COUNTIFS($J$5:$J$863,J540,$F$5:$F$863,"Y")))</f>
        <v>1</v>
      </c>
      <c r="AD540" s="18" t="n">
        <f aca="false">(MAX(1,N(I540))*(P540+N(S540))+MAX(1,N(I540))*N(K540)/(MAX(1,N(U540))*AC540))*Settings!$B$9</f>
        <v>0</v>
      </c>
      <c r="AE540" s="18" t="n">
        <f aca="false">(MAX(1,N(I540))*N(Q540)+MAX(1,N(I540))*N(L540)/(MAX(1,N(U540))*AC540))*Settings!$B$8</f>
        <v>0</v>
      </c>
      <c r="AF540" s="18" t="n">
        <f aca="false">MAX(1,N(I540))*N(T540)</f>
        <v>0</v>
      </c>
      <c r="AG540" s="15" t="n">
        <f aca="false">AA540*N(AD540)</f>
        <v>0</v>
      </c>
      <c r="AH540" s="15" t="n">
        <f aca="false">AA540*N(AE540)</f>
        <v>0</v>
      </c>
      <c r="AI540" s="15" t="n">
        <f aca="false">AA540*N(AF540)</f>
        <v>0</v>
      </c>
      <c r="AJ540" s="15" t="n">
        <f aca="false">AA540*N(R540)</f>
        <v>0</v>
      </c>
      <c r="AK540" s="15" t="n">
        <f aca="false">AB540*N(AD540)</f>
        <v>0</v>
      </c>
      <c r="AL540" s="15" t="n">
        <f aca="false">AB540*N(AE540)</f>
        <v>0</v>
      </c>
      <c r="AM540" s="15" t="n">
        <f aca="false">AB540*N(AF540)</f>
        <v>0</v>
      </c>
      <c r="AN540" s="15" t="n">
        <f aca="false">AB540*N(R540)</f>
        <v>0</v>
      </c>
      <c r="AO540" s="21" t="str">
        <f aca="false">IF(F540&lt;&gt;"Y","n/a",IF(AND(N540&lt;&gt;"",OR(Q540&lt;&gt;"",G540="Other / bench",G540="None"),U540&lt;&gt;""),"OK","Missing"))</f>
        <v>Missing</v>
      </c>
    </row>
    <row r="541" customFormat="false" ht="15" hidden="false" customHeight="false" outlineLevel="0" collapsed="false">
      <c r="A541" s="10" t="s">
        <v>230</v>
      </c>
      <c r="B541" s="10" t="s">
        <v>740</v>
      </c>
      <c r="C541" s="10" t="s">
        <v>437</v>
      </c>
      <c r="D541" s="10" t="s">
        <v>742</v>
      </c>
      <c r="E541" s="21" t="str">
        <f aca="false">IF(A541="","",A541&amp;"|"&amp;D541)</f>
        <v>Prucalopride Succinate|Other compendial tests (ID, LOD/KF, heavy metals...)</v>
      </c>
      <c r="F541" s="16" t="s">
        <v>662</v>
      </c>
      <c r="G541" s="16" t="s">
        <v>670</v>
      </c>
      <c r="H541" s="16" t="s">
        <v>672</v>
      </c>
      <c r="I541" s="16" t="n">
        <v>1</v>
      </c>
      <c r="J541" s="16"/>
      <c r="K541" s="14"/>
      <c r="L541" s="14"/>
      <c r="M541" s="14"/>
      <c r="N541" s="14"/>
      <c r="O541" s="14"/>
      <c r="P541" s="18" t="n">
        <f aca="false">IF(N541="",0,IF(OR(M541="",O541=""),N541,(M541+4*N541+O541)/6))</f>
        <v>0</v>
      </c>
      <c r="Q541" s="14"/>
      <c r="R541" s="14"/>
      <c r="S541" s="14"/>
      <c r="T541" s="14"/>
      <c r="U541" s="16"/>
      <c r="V541" s="13"/>
      <c r="W541" s="16" t="s">
        <v>667</v>
      </c>
      <c r="X541" s="16"/>
      <c r="Y541" s="16"/>
      <c r="Z541" s="16"/>
      <c r="AA541" s="22" t="n">
        <f aca="false">IF(F541&lt;&gt;"Y",0,((SUMIF(Products!$E$5:$E$300,A541,Products!$F$5:$F$300)+SUMIF(RM_Lots!$A$5:$A$400,A541,RM_Lots!$D$5:$D$400))+IF(W541="Y",SUMIF(Products!$E$5:$E$300,A541,Products!$G$5:$G$300),0))*(1+N(V541)))</f>
        <v>0</v>
      </c>
      <c r="AB541" s="22" t="n">
        <f aca="false">IF(F541&lt;&gt;"Y",0,((SUMIF(Products!$E$5:$E$300,A541,Products!$K$5:$K$300)+SUMIF(RM_Lots!$A$5:$A$400,A541,RM_Lots!$F$5:$F$400))+IF(W541="Y",SUMIF(Products!$E$5:$E$300,A541,Products!$L$5:$L$300),0))*(1+N(V541)))</f>
        <v>0</v>
      </c>
      <c r="AC541" s="17" t="n">
        <f aca="false">IF(J541="",1,MAX(1,COUNTIFS($J$5:$J$863,J541,$F$5:$F$863,"Y")))</f>
        <v>1</v>
      </c>
      <c r="AD541" s="18" t="n">
        <f aca="false">(MAX(1,N(I541))*(P541+N(S541))+MAX(1,N(I541))*N(K541)/(MAX(1,N(U541))*AC541))*Settings!$B$9</f>
        <v>0</v>
      </c>
      <c r="AE541" s="18" t="n">
        <f aca="false">(MAX(1,N(I541))*N(Q541)+MAX(1,N(I541))*N(L541)/(MAX(1,N(U541))*AC541))*Settings!$B$8</f>
        <v>0</v>
      </c>
      <c r="AF541" s="18" t="n">
        <f aca="false">MAX(1,N(I541))*N(T541)</f>
        <v>0</v>
      </c>
      <c r="AG541" s="15" t="n">
        <f aca="false">AA541*N(AD541)</f>
        <v>0</v>
      </c>
      <c r="AH541" s="15" t="n">
        <f aca="false">AA541*N(AE541)</f>
        <v>0</v>
      </c>
      <c r="AI541" s="15" t="n">
        <f aca="false">AA541*N(AF541)</f>
        <v>0</v>
      </c>
      <c r="AJ541" s="15" t="n">
        <f aca="false">AA541*N(R541)</f>
        <v>0</v>
      </c>
      <c r="AK541" s="15" t="n">
        <f aca="false">AB541*N(AD541)</f>
        <v>0</v>
      </c>
      <c r="AL541" s="15" t="n">
        <f aca="false">AB541*N(AE541)</f>
        <v>0</v>
      </c>
      <c r="AM541" s="15" t="n">
        <f aca="false">AB541*N(AF541)</f>
        <v>0</v>
      </c>
      <c r="AN541" s="15" t="n">
        <f aca="false">AB541*N(R541)</f>
        <v>0</v>
      </c>
      <c r="AO541" s="21" t="str">
        <f aca="false">IF(F541&lt;&gt;"Y","n/a",IF(AND(N541&lt;&gt;"",OR(Q541&lt;&gt;"",G541="Other / bench",G541="None"),U541&lt;&gt;""),"OK","Missing"))</f>
        <v>Missing</v>
      </c>
    </row>
    <row r="542" customFormat="false" ht="15" hidden="false" customHeight="false" outlineLevel="0" collapsed="false">
      <c r="A542" s="10" t="s">
        <v>495</v>
      </c>
      <c r="B542" s="10" t="s">
        <v>740</v>
      </c>
      <c r="C542" s="10" t="s">
        <v>437</v>
      </c>
      <c r="D542" s="10" t="s">
        <v>741</v>
      </c>
      <c r="E542" s="21" t="str">
        <f aca="false">IF(A542="","",A542&amp;"|"&amp;D542)</f>
        <v>Pyridoxine Hydrochloride (Vitamin B6)|Assay + related substances</v>
      </c>
      <c r="F542" s="16" t="s">
        <v>662</v>
      </c>
      <c r="G542" s="16" t="s">
        <v>147</v>
      </c>
      <c r="H542" s="16" t="s">
        <v>663</v>
      </c>
      <c r="I542" s="16" t="n">
        <v>1</v>
      </c>
      <c r="J542" s="16"/>
      <c r="K542" s="14"/>
      <c r="L542" s="14"/>
      <c r="M542" s="14"/>
      <c r="N542" s="14"/>
      <c r="O542" s="14"/>
      <c r="P542" s="18" t="n">
        <f aca="false">IF(N542="",0,IF(OR(M542="",O542=""),N542,(M542+4*N542+O542)/6))</f>
        <v>0</v>
      </c>
      <c r="Q542" s="14"/>
      <c r="R542" s="14"/>
      <c r="S542" s="14"/>
      <c r="T542" s="14"/>
      <c r="U542" s="16"/>
      <c r="V542" s="13"/>
      <c r="W542" s="16" t="s">
        <v>667</v>
      </c>
      <c r="X542" s="16"/>
      <c r="Y542" s="16"/>
      <c r="Z542" s="16"/>
      <c r="AA542" s="22" t="n">
        <f aca="false">IF(F542&lt;&gt;"Y",0,((SUMIF(Products!$E$5:$E$300,A542,Products!$F$5:$F$300)+SUMIF(RM_Lots!$A$5:$A$400,A542,RM_Lots!$D$5:$D$400))+IF(W542="Y",SUMIF(Products!$E$5:$E$300,A542,Products!$G$5:$G$300),0))*(1+N(V542)))</f>
        <v>0</v>
      </c>
      <c r="AB542" s="22" t="n">
        <f aca="false">IF(F542&lt;&gt;"Y",0,((SUMIF(Products!$E$5:$E$300,A542,Products!$K$5:$K$300)+SUMIF(RM_Lots!$A$5:$A$400,A542,RM_Lots!$F$5:$F$400))+IF(W542="Y",SUMIF(Products!$E$5:$E$300,A542,Products!$L$5:$L$300),0))*(1+N(V542)))</f>
        <v>0</v>
      </c>
      <c r="AC542" s="17" t="n">
        <f aca="false">IF(J542="",1,MAX(1,COUNTIFS($J$5:$J$863,J542,$F$5:$F$863,"Y")))</f>
        <v>1</v>
      </c>
      <c r="AD542" s="18" t="n">
        <f aca="false">(MAX(1,N(I542))*(P542+N(S542))+MAX(1,N(I542))*N(K542)/(MAX(1,N(U542))*AC542))*Settings!$B$9</f>
        <v>0</v>
      </c>
      <c r="AE542" s="18" t="n">
        <f aca="false">(MAX(1,N(I542))*N(Q542)+MAX(1,N(I542))*N(L542)/(MAX(1,N(U542))*AC542))*Settings!$B$8</f>
        <v>0</v>
      </c>
      <c r="AF542" s="18" t="n">
        <f aca="false">MAX(1,N(I542))*N(T542)</f>
        <v>0</v>
      </c>
      <c r="AG542" s="15" t="n">
        <f aca="false">AA542*N(AD542)</f>
        <v>0</v>
      </c>
      <c r="AH542" s="15" t="n">
        <f aca="false">AA542*N(AE542)</f>
        <v>0</v>
      </c>
      <c r="AI542" s="15" t="n">
        <f aca="false">AA542*N(AF542)</f>
        <v>0</v>
      </c>
      <c r="AJ542" s="15" t="n">
        <f aca="false">AA542*N(R542)</f>
        <v>0</v>
      </c>
      <c r="AK542" s="15" t="n">
        <f aca="false">AB542*N(AD542)</f>
        <v>0</v>
      </c>
      <c r="AL542" s="15" t="n">
        <f aca="false">AB542*N(AE542)</f>
        <v>0</v>
      </c>
      <c r="AM542" s="15" t="n">
        <f aca="false">AB542*N(AF542)</f>
        <v>0</v>
      </c>
      <c r="AN542" s="15" t="n">
        <f aca="false">AB542*N(R542)</f>
        <v>0</v>
      </c>
      <c r="AO542" s="21" t="str">
        <f aca="false">IF(F542&lt;&gt;"Y","n/a",IF(AND(N542&lt;&gt;"",OR(Q542&lt;&gt;"",G542="Other / bench",G542="None"),U542&lt;&gt;""),"OK","Missing"))</f>
        <v>Missing</v>
      </c>
    </row>
    <row r="543" customFormat="false" ht="15" hidden="false" customHeight="false" outlineLevel="0" collapsed="false">
      <c r="A543" s="10" t="s">
        <v>495</v>
      </c>
      <c r="B543" s="10" t="s">
        <v>740</v>
      </c>
      <c r="C543" s="10" t="s">
        <v>437</v>
      </c>
      <c r="D543" s="10" t="s">
        <v>742</v>
      </c>
      <c r="E543" s="21" t="str">
        <f aca="false">IF(A543="","",A543&amp;"|"&amp;D543)</f>
        <v>Pyridoxine Hydrochloride (Vitamin B6)|Other compendial tests (ID, LOD/KF, heavy metals...)</v>
      </c>
      <c r="F543" s="16" t="s">
        <v>662</v>
      </c>
      <c r="G543" s="16" t="s">
        <v>670</v>
      </c>
      <c r="H543" s="16" t="s">
        <v>672</v>
      </c>
      <c r="I543" s="16" t="n">
        <v>1</v>
      </c>
      <c r="J543" s="16"/>
      <c r="K543" s="14"/>
      <c r="L543" s="14"/>
      <c r="M543" s="14"/>
      <c r="N543" s="14"/>
      <c r="O543" s="14"/>
      <c r="P543" s="18" t="n">
        <f aca="false">IF(N543="",0,IF(OR(M543="",O543=""),N543,(M543+4*N543+O543)/6))</f>
        <v>0</v>
      </c>
      <c r="Q543" s="14"/>
      <c r="R543" s="14"/>
      <c r="S543" s="14"/>
      <c r="T543" s="14"/>
      <c r="U543" s="16"/>
      <c r="V543" s="13"/>
      <c r="W543" s="16" t="s">
        <v>667</v>
      </c>
      <c r="X543" s="16"/>
      <c r="Y543" s="16"/>
      <c r="Z543" s="16"/>
      <c r="AA543" s="22" t="n">
        <f aca="false">IF(F543&lt;&gt;"Y",0,((SUMIF(Products!$E$5:$E$300,A543,Products!$F$5:$F$300)+SUMIF(RM_Lots!$A$5:$A$400,A543,RM_Lots!$D$5:$D$400))+IF(W543="Y",SUMIF(Products!$E$5:$E$300,A543,Products!$G$5:$G$300),0))*(1+N(V543)))</f>
        <v>0</v>
      </c>
      <c r="AB543" s="22" t="n">
        <f aca="false">IF(F543&lt;&gt;"Y",0,((SUMIF(Products!$E$5:$E$300,A543,Products!$K$5:$K$300)+SUMIF(RM_Lots!$A$5:$A$400,A543,RM_Lots!$F$5:$F$400))+IF(W543="Y",SUMIF(Products!$E$5:$E$300,A543,Products!$L$5:$L$300),0))*(1+N(V543)))</f>
        <v>0</v>
      </c>
      <c r="AC543" s="17" t="n">
        <f aca="false">IF(J543="",1,MAX(1,COUNTIFS($J$5:$J$863,J543,$F$5:$F$863,"Y")))</f>
        <v>1</v>
      </c>
      <c r="AD543" s="18" t="n">
        <f aca="false">(MAX(1,N(I543))*(P543+N(S543))+MAX(1,N(I543))*N(K543)/(MAX(1,N(U543))*AC543))*Settings!$B$9</f>
        <v>0</v>
      </c>
      <c r="AE543" s="18" t="n">
        <f aca="false">(MAX(1,N(I543))*N(Q543)+MAX(1,N(I543))*N(L543)/(MAX(1,N(U543))*AC543))*Settings!$B$8</f>
        <v>0</v>
      </c>
      <c r="AF543" s="18" t="n">
        <f aca="false">MAX(1,N(I543))*N(T543)</f>
        <v>0</v>
      </c>
      <c r="AG543" s="15" t="n">
        <f aca="false">AA543*N(AD543)</f>
        <v>0</v>
      </c>
      <c r="AH543" s="15" t="n">
        <f aca="false">AA543*N(AE543)</f>
        <v>0</v>
      </c>
      <c r="AI543" s="15" t="n">
        <f aca="false">AA543*N(AF543)</f>
        <v>0</v>
      </c>
      <c r="AJ543" s="15" t="n">
        <f aca="false">AA543*N(R543)</f>
        <v>0</v>
      </c>
      <c r="AK543" s="15" t="n">
        <f aca="false">AB543*N(AD543)</f>
        <v>0</v>
      </c>
      <c r="AL543" s="15" t="n">
        <f aca="false">AB543*N(AE543)</f>
        <v>0</v>
      </c>
      <c r="AM543" s="15" t="n">
        <f aca="false">AB543*N(AF543)</f>
        <v>0</v>
      </c>
      <c r="AN543" s="15" t="n">
        <f aca="false">AB543*N(R543)</f>
        <v>0</v>
      </c>
      <c r="AO543" s="21" t="str">
        <f aca="false">IF(F543&lt;&gt;"Y","n/a",IF(AND(N543&lt;&gt;"",OR(Q543&lt;&gt;"",G543="Other / bench",G543="None"),U543&lt;&gt;""),"OK","Missing"))</f>
        <v>Missing</v>
      </c>
    </row>
    <row r="544" customFormat="false" ht="15" hidden="false" customHeight="false" outlineLevel="0" collapsed="false">
      <c r="A544" s="10" t="s">
        <v>234</v>
      </c>
      <c r="B544" s="10" t="s">
        <v>740</v>
      </c>
      <c r="C544" s="10" t="s">
        <v>437</v>
      </c>
      <c r="D544" s="10" t="s">
        <v>741</v>
      </c>
      <c r="E544" s="21" t="str">
        <f aca="false">IF(A544="","",A544&amp;"|"&amp;D544)</f>
        <v>Ranolazine|Assay + related substances</v>
      </c>
      <c r="F544" s="16" t="s">
        <v>662</v>
      </c>
      <c r="G544" s="16" t="s">
        <v>147</v>
      </c>
      <c r="H544" s="16" t="s">
        <v>663</v>
      </c>
      <c r="I544" s="16" t="n">
        <v>1</v>
      </c>
      <c r="J544" s="16"/>
      <c r="K544" s="14"/>
      <c r="L544" s="14"/>
      <c r="M544" s="14"/>
      <c r="N544" s="14"/>
      <c r="O544" s="14"/>
      <c r="P544" s="18" t="n">
        <f aca="false">IF(N544="",0,IF(OR(M544="",O544=""),N544,(M544+4*N544+O544)/6))</f>
        <v>0</v>
      </c>
      <c r="Q544" s="14"/>
      <c r="R544" s="14"/>
      <c r="S544" s="14"/>
      <c r="T544" s="14"/>
      <c r="U544" s="16"/>
      <c r="V544" s="13"/>
      <c r="W544" s="16" t="s">
        <v>667</v>
      </c>
      <c r="X544" s="16"/>
      <c r="Y544" s="16"/>
      <c r="Z544" s="16"/>
      <c r="AA544" s="22" t="n">
        <f aca="false">IF(F544&lt;&gt;"Y",0,((SUMIF(Products!$E$5:$E$300,A544,Products!$F$5:$F$300)+SUMIF(RM_Lots!$A$5:$A$400,A544,RM_Lots!$D$5:$D$400))+IF(W544="Y",SUMIF(Products!$E$5:$E$300,A544,Products!$G$5:$G$300),0))*(1+N(V544)))</f>
        <v>0</v>
      </c>
      <c r="AB544" s="22" t="n">
        <f aca="false">IF(F544&lt;&gt;"Y",0,((SUMIF(Products!$E$5:$E$300,A544,Products!$K$5:$K$300)+SUMIF(RM_Lots!$A$5:$A$400,A544,RM_Lots!$F$5:$F$400))+IF(W544="Y",SUMIF(Products!$E$5:$E$300,A544,Products!$L$5:$L$300),0))*(1+N(V544)))</f>
        <v>0</v>
      </c>
      <c r="AC544" s="17" t="n">
        <f aca="false">IF(J544="",1,MAX(1,COUNTIFS($J$5:$J$863,J544,$F$5:$F$863,"Y")))</f>
        <v>1</v>
      </c>
      <c r="AD544" s="18" t="n">
        <f aca="false">(MAX(1,N(I544))*(P544+N(S544))+MAX(1,N(I544))*N(K544)/(MAX(1,N(U544))*AC544))*Settings!$B$9</f>
        <v>0</v>
      </c>
      <c r="AE544" s="18" t="n">
        <f aca="false">(MAX(1,N(I544))*N(Q544)+MAX(1,N(I544))*N(L544)/(MAX(1,N(U544))*AC544))*Settings!$B$8</f>
        <v>0</v>
      </c>
      <c r="AF544" s="18" t="n">
        <f aca="false">MAX(1,N(I544))*N(T544)</f>
        <v>0</v>
      </c>
      <c r="AG544" s="15" t="n">
        <f aca="false">AA544*N(AD544)</f>
        <v>0</v>
      </c>
      <c r="AH544" s="15" t="n">
        <f aca="false">AA544*N(AE544)</f>
        <v>0</v>
      </c>
      <c r="AI544" s="15" t="n">
        <f aca="false">AA544*N(AF544)</f>
        <v>0</v>
      </c>
      <c r="AJ544" s="15" t="n">
        <f aca="false">AA544*N(R544)</f>
        <v>0</v>
      </c>
      <c r="AK544" s="15" t="n">
        <f aca="false">AB544*N(AD544)</f>
        <v>0</v>
      </c>
      <c r="AL544" s="15" t="n">
        <f aca="false">AB544*N(AE544)</f>
        <v>0</v>
      </c>
      <c r="AM544" s="15" t="n">
        <f aca="false">AB544*N(AF544)</f>
        <v>0</v>
      </c>
      <c r="AN544" s="15" t="n">
        <f aca="false">AB544*N(R544)</f>
        <v>0</v>
      </c>
      <c r="AO544" s="21" t="str">
        <f aca="false">IF(F544&lt;&gt;"Y","n/a",IF(AND(N544&lt;&gt;"",OR(Q544&lt;&gt;"",G544="Other / bench",G544="None"),U544&lt;&gt;""),"OK","Missing"))</f>
        <v>Missing</v>
      </c>
    </row>
    <row r="545" customFormat="false" ht="15" hidden="false" customHeight="false" outlineLevel="0" collapsed="false">
      <c r="A545" s="10" t="s">
        <v>234</v>
      </c>
      <c r="B545" s="10" t="s">
        <v>740</v>
      </c>
      <c r="C545" s="10" t="s">
        <v>437</v>
      </c>
      <c r="D545" s="10" t="s">
        <v>742</v>
      </c>
      <c r="E545" s="21" t="str">
        <f aca="false">IF(A545="","",A545&amp;"|"&amp;D545)</f>
        <v>Ranolazine|Other compendial tests (ID, LOD/KF, heavy metals...)</v>
      </c>
      <c r="F545" s="16" t="s">
        <v>662</v>
      </c>
      <c r="G545" s="16" t="s">
        <v>670</v>
      </c>
      <c r="H545" s="16" t="s">
        <v>672</v>
      </c>
      <c r="I545" s="16" t="n">
        <v>1</v>
      </c>
      <c r="J545" s="16"/>
      <c r="K545" s="14"/>
      <c r="L545" s="14"/>
      <c r="M545" s="14"/>
      <c r="N545" s="14"/>
      <c r="O545" s="14"/>
      <c r="P545" s="18" t="n">
        <f aca="false">IF(N545="",0,IF(OR(M545="",O545=""),N545,(M545+4*N545+O545)/6))</f>
        <v>0</v>
      </c>
      <c r="Q545" s="14"/>
      <c r="R545" s="14"/>
      <c r="S545" s="14"/>
      <c r="T545" s="14"/>
      <c r="U545" s="16"/>
      <c r="V545" s="13"/>
      <c r="W545" s="16" t="s">
        <v>667</v>
      </c>
      <c r="X545" s="16"/>
      <c r="Y545" s="16"/>
      <c r="Z545" s="16"/>
      <c r="AA545" s="22" t="n">
        <f aca="false">IF(F545&lt;&gt;"Y",0,((SUMIF(Products!$E$5:$E$300,A545,Products!$F$5:$F$300)+SUMIF(RM_Lots!$A$5:$A$400,A545,RM_Lots!$D$5:$D$400))+IF(W545="Y",SUMIF(Products!$E$5:$E$300,A545,Products!$G$5:$G$300),0))*(1+N(V545)))</f>
        <v>0</v>
      </c>
      <c r="AB545" s="22" t="n">
        <f aca="false">IF(F545&lt;&gt;"Y",0,((SUMIF(Products!$E$5:$E$300,A545,Products!$K$5:$K$300)+SUMIF(RM_Lots!$A$5:$A$400,A545,RM_Lots!$F$5:$F$400))+IF(W545="Y",SUMIF(Products!$E$5:$E$300,A545,Products!$L$5:$L$300),0))*(1+N(V545)))</f>
        <v>0</v>
      </c>
      <c r="AC545" s="17" t="n">
        <f aca="false">IF(J545="",1,MAX(1,COUNTIFS($J$5:$J$863,J545,$F$5:$F$863,"Y")))</f>
        <v>1</v>
      </c>
      <c r="AD545" s="18" t="n">
        <f aca="false">(MAX(1,N(I545))*(P545+N(S545))+MAX(1,N(I545))*N(K545)/(MAX(1,N(U545))*AC545))*Settings!$B$9</f>
        <v>0</v>
      </c>
      <c r="AE545" s="18" t="n">
        <f aca="false">(MAX(1,N(I545))*N(Q545)+MAX(1,N(I545))*N(L545)/(MAX(1,N(U545))*AC545))*Settings!$B$8</f>
        <v>0</v>
      </c>
      <c r="AF545" s="18" t="n">
        <f aca="false">MAX(1,N(I545))*N(T545)</f>
        <v>0</v>
      </c>
      <c r="AG545" s="15" t="n">
        <f aca="false">AA545*N(AD545)</f>
        <v>0</v>
      </c>
      <c r="AH545" s="15" t="n">
        <f aca="false">AA545*N(AE545)</f>
        <v>0</v>
      </c>
      <c r="AI545" s="15" t="n">
        <f aca="false">AA545*N(AF545)</f>
        <v>0</v>
      </c>
      <c r="AJ545" s="15" t="n">
        <f aca="false">AA545*N(R545)</f>
        <v>0</v>
      </c>
      <c r="AK545" s="15" t="n">
        <f aca="false">AB545*N(AD545)</f>
        <v>0</v>
      </c>
      <c r="AL545" s="15" t="n">
        <f aca="false">AB545*N(AE545)</f>
        <v>0</v>
      </c>
      <c r="AM545" s="15" t="n">
        <f aca="false">AB545*N(AF545)</f>
        <v>0</v>
      </c>
      <c r="AN545" s="15" t="n">
        <f aca="false">AB545*N(R545)</f>
        <v>0</v>
      </c>
      <c r="AO545" s="21" t="str">
        <f aca="false">IF(F545&lt;&gt;"Y","n/a",IF(AND(N545&lt;&gt;"",OR(Q545&lt;&gt;"",G545="Other / bench",G545="None"),U545&lt;&gt;""),"OK","Missing"))</f>
        <v>Missing</v>
      </c>
    </row>
    <row r="546" customFormat="false" ht="15" hidden="false" customHeight="false" outlineLevel="0" collapsed="false">
      <c r="A546" s="10" t="s">
        <v>200</v>
      </c>
      <c r="B546" s="10" t="s">
        <v>740</v>
      </c>
      <c r="C546" s="10" t="s">
        <v>437</v>
      </c>
      <c r="D546" s="10" t="s">
        <v>741</v>
      </c>
      <c r="E546" s="21" t="str">
        <f aca="false">IF(A546="","",A546&amp;"|"&amp;D546)</f>
        <v>Resmetirom|Assay + related substances</v>
      </c>
      <c r="F546" s="16" t="s">
        <v>662</v>
      </c>
      <c r="G546" s="16" t="s">
        <v>147</v>
      </c>
      <c r="H546" s="16" t="s">
        <v>663</v>
      </c>
      <c r="I546" s="16" t="n">
        <v>1</v>
      </c>
      <c r="J546" s="16"/>
      <c r="K546" s="14"/>
      <c r="L546" s="14"/>
      <c r="M546" s="14"/>
      <c r="N546" s="14"/>
      <c r="O546" s="14"/>
      <c r="P546" s="18" t="n">
        <f aca="false">IF(N546="",0,IF(OR(M546="",O546=""),N546,(M546+4*N546+O546)/6))</f>
        <v>0</v>
      </c>
      <c r="Q546" s="14"/>
      <c r="R546" s="14"/>
      <c r="S546" s="14"/>
      <c r="T546" s="14"/>
      <c r="U546" s="16"/>
      <c r="V546" s="13"/>
      <c r="W546" s="16" t="s">
        <v>667</v>
      </c>
      <c r="X546" s="16"/>
      <c r="Y546" s="16"/>
      <c r="Z546" s="16"/>
      <c r="AA546" s="22" t="n">
        <f aca="false">IF(F546&lt;&gt;"Y",0,((SUMIF(Products!$E$5:$E$300,A546,Products!$F$5:$F$300)+SUMIF(RM_Lots!$A$5:$A$400,A546,RM_Lots!$D$5:$D$400))+IF(W546="Y",SUMIF(Products!$E$5:$E$300,A546,Products!$G$5:$G$300),0))*(1+N(V546)))</f>
        <v>0</v>
      </c>
      <c r="AB546" s="22" t="n">
        <f aca="false">IF(F546&lt;&gt;"Y",0,((SUMIF(Products!$E$5:$E$300,A546,Products!$K$5:$K$300)+SUMIF(RM_Lots!$A$5:$A$400,A546,RM_Lots!$F$5:$F$400))+IF(W546="Y",SUMIF(Products!$E$5:$E$300,A546,Products!$L$5:$L$300),0))*(1+N(V546)))</f>
        <v>0</v>
      </c>
      <c r="AC546" s="17" t="n">
        <f aca="false">IF(J546="",1,MAX(1,COUNTIFS($J$5:$J$863,J546,$F$5:$F$863,"Y")))</f>
        <v>1</v>
      </c>
      <c r="AD546" s="18" t="n">
        <f aca="false">(MAX(1,N(I546))*(P546+N(S546))+MAX(1,N(I546))*N(K546)/(MAX(1,N(U546))*AC546))*Settings!$B$9</f>
        <v>0</v>
      </c>
      <c r="AE546" s="18" t="n">
        <f aca="false">(MAX(1,N(I546))*N(Q546)+MAX(1,N(I546))*N(L546)/(MAX(1,N(U546))*AC546))*Settings!$B$8</f>
        <v>0</v>
      </c>
      <c r="AF546" s="18" t="n">
        <f aca="false">MAX(1,N(I546))*N(T546)</f>
        <v>0</v>
      </c>
      <c r="AG546" s="15" t="n">
        <f aca="false">AA546*N(AD546)</f>
        <v>0</v>
      </c>
      <c r="AH546" s="15" t="n">
        <f aca="false">AA546*N(AE546)</f>
        <v>0</v>
      </c>
      <c r="AI546" s="15" t="n">
        <f aca="false">AA546*N(AF546)</f>
        <v>0</v>
      </c>
      <c r="AJ546" s="15" t="n">
        <f aca="false">AA546*N(R546)</f>
        <v>0</v>
      </c>
      <c r="AK546" s="15" t="n">
        <f aca="false">AB546*N(AD546)</f>
        <v>0</v>
      </c>
      <c r="AL546" s="15" t="n">
        <f aca="false">AB546*N(AE546)</f>
        <v>0</v>
      </c>
      <c r="AM546" s="15" t="n">
        <f aca="false">AB546*N(AF546)</f>
        <v>0</v>
      </c>
      <c r="AN546" s="15" t="n">
        <f aca="false">AB546*N(R546)</f>
        <v>0</v>
      </c>
      <c r="AO546" s="21" t="str">
        <f aca="false">IF(F546&lt;&gt;"Y","n/a",IF(AND(N546&lt;&gt;"",OR(Q546&lt;&gt;"",G546="Other / bench",G546="None"),U546&lt;&gt;""),"OK","Missing"))</f>
        <v>Missing</v>
      </c>
    </row>
    <row r="547" customFormat="false" ht="15" hidden="false" customHeight="false" outlineLevel="0" collapsed="false">
      <c r="A547" s="10" t="s">
        <v>200</v>
      </c>
      <c r="B547" s="10" t="s">
        <v>740</v>
      </c>
      <c r="C547" s="10" t="s">
        <v>437</v>
      </c>
      <c r="D547" s="10" t="s">
        <v>742</v>
      </c>
      <c r="E547" s="21" t="str">
        <f aca="false">IF(A547="","",A547&amp;"|"&amp;D547)</f>
        <v>Resmetirom|Other compendial tests (ID, LOD/KF, heavy metals...)</v>
      </c>
      <c r="F547" s="16" t="s">
        <v>662</v>
      </c>
      <c r="G547" s="16" t="s">
        <v>670</v>
      </c>
      <c r="H547" s="16" t="s">
        <v>672</v>
      </c>
      <c r="I547" s="16" t="n">
        <v>1</v>
      </c>
      <c r="J547" s="16"/>
      <c r="K547" s="14"/>
      <c r="L547" s="14"/>
      <c r="M547" s="14"/>
      <c r="N547" s="14"/>
      <c r="O547" s="14"/>
      <c r="P547" s="18" t="n">
        <f aca="false">IF(N547="",0,IF(OR(M547="",O547=""),N547,(M547+4*N547+O547)/6))</f>
        <v>0</v>
      </c>
      <c r="Q547" s="14"/>
      <c r="R547" s="14"/>
      <c r="S547" s="14"/>
      <c r="T547" s="14"/>
      <c r="U547" s="16"/>
      <c r="V547" s="13"/>
      <c r="W547" s="16" t="s">
        <v>667</v>
      </c>
      <c r="X547" s="16"/>
      <c r="Y547" s="16"/>
      <c r="Z547" s="16"/>
      <c r="AA547" s="22" t="n">
        <f aca="false">IF(F547&lt;&gt;"Y",0,((SUMIF(Products!$E$5:$E$300,A547,Products!$F$5:$F$300)+SUMIF(RM_Lots!$A$5:$A$400,A547,RM_Lots!$D$5:$D$400))+IF(W547="Y",SUMIF(Products!$E$5:$E$300,A547,Products!$G$5:$G$300),0))*(1+N(V547)))</f>
        <v>0</v>
      </c>
      <c r="AB547" s="22" t="n">
        <f aca="false">IF(F547&lt;&gt;"Y",0,((SUMIF(Products!$E$5:$E$300,A547,Products!$K$5:$K$300)+SUMIF(RM_Lots!$A$5:$A$400,A547,RM_Lots!$F$5:$F$400))+IF(W547="Y",SUMIF(Products!$E$5:$E$300,A547,Products!$L$5:$L$300),0))*(1+N(V547)))</f>
        <v>0</v>
      </c>
      <c r="AC547" s="17" t="n">
        <f aca="false">IF(J547="",1,MAX(1,COUNTIFS($J$5:$J$863,J547,$F$5:$F$863,"Y")))</f>
        <v>1</v>
      </c>
      <c r="AD547" s="18" t="n">
        <f aca="false">(MAX(1,N(I547))*(P547+N(S547))+MAX(1,N(I547))*N(K547)/(MAX(1,N(U547))*AC547))*Settings!$B$9</f>
        <v>0</v>
      </c>
      <c r="AE547" s="18" t="n">
        <f aca="false">(MAX(1,N(I547))*N(Q547)+MAX(1,N(I547))*N(L547)/(MAX(1,N(U547))*AC547))*Settings!$B$8</f>
        <v>0</v>
      </c>
      <c r="AF547" s="18" t="n">
        <f aca="false">MAX(1,N(I547))*N(T547)</f>
        <v>0</v>
      </c>
      <c r="AG547" s="15" t="n">
        <f aca="false">AA547*N(AD547)</f>
        <v>0</v>
      </c>
      <c r="AH547" s="15" t="n">
        <f aca="false">AA547*N(AE547)</f>
        <v>0</v>
      </c>
      <c r="AI547" s="15" t="n">
        <f aca="false">AA547*N(AF547)</f>
        <v>0</v>
      </c>
      <c r="AJ547" s="15" t="n">
        <f aca="false">AA547*N(R547)</f>
        <v>0</v>
      </c>
      <c r="AK547" s="15" t="n">
        <f aca="false">AB547*N(AD547)</f>
        <v>0</v>
      </c>
      <c r="AL547" s="15" t="n">
        <f aca="false">AB547*N(AE547)</f>
        <v>0</v>
      </c>
      <c r="AM547" s="15" t="n">
        <f aca="false">AB547*N(AF547)</f>
        <v>0</v>
      </c>
      <c r="AN547" s="15" t="n">
        <f aca="false">AB547*N(R547)</f>
        <v>0</v>
      </c>
      <c r="AO547" s="21" t="str">
        <f aca="false">IF(F547&lt;&gt;"Y","n/a",IF(AND(N547&lt;&gt;"",OR(Q547&lt;&gt;"",G547="Other / bench",G547="None"),U547&lt;&gt;""),"OK","Missing"))</f>
        <v>Missing</v>
      </c>
    </row>
    <row r="548" customFormat="false" ht="15" hidden="false" customHeight="false" outlineLevel="0" collapsed="false">
      <c r="A548" s="10" t="s">
        <v>496</v>
      </c>
      <c r="B548" s="10" t="s">
        <v>740</v>
      </c>
      <c r="C548" s="10" t="s">
        <v>437</v>
      </c>
      <c r="D548" s="10" t="s">
        <v>741</v>
      </c>
      <c r="E548" s="21" t="str">
        <f aca="false">IF(A548="","",A548&amp;"|"&amp;D548)</f>
        <v>Riboflavin (Vitamin B2)|Assay + related substances</v>
      </c>
      <c r="F548" s="16" t="s">
        <v>662</v>
      </c>
      <c r="G548" s="16" t="s">
        <v>147</v>
      </c>
      <c r="H548" s="16" t="s">
        <v>663</v>
      </c>
      <c r="I548" s="16" t="n">
        <v>1</v>
      </c>
      <c r="J548" s="16"/>
      <c r="K548" s="14"/>
      <c r="L548" s="14"/>
      <c r="M548" s="14"/>
      <c r="N548" s="14"/>
      <c r="O548" s="14"/>
      <c r="P548" s="18" t="n">
        <f aca="false">IF(N548="",0,IF(OR(M548="",O548=""),N548,(M548+4*N548+O548)/6))</f>
        <v>0</v>
      </c>
      <c r="Q548" s="14"/>
      <c r="R548" s="14"/>
      <c r="S548" s="14"/>
      <c r="T548" s="14"/>
      <c r="U548" s="16"/>
      <c r="V548" s="13"/>
      <c r="W548" s="16" t="s">
        <v>667</v>
      </c>
      <c r="X548" s="16"/>
      <c r="Y548" s="16"/>
      <c r="Z548" s="16"/>
      <c r="AA548" s="22" t="n">
        <f aca="false">IF(F548&lt;&gt;"Y",0,((SUMIF(Products!$E$5:$E$300,A548,Products!$F$5:$F$300)+SUMIF(RM_Lots!$A$5:$A$400,A548,RM_Lots!$D$5:$D$400))+IF(W548="Y",SUMIF(Products!$E$5:$E$300,A548,Products!$G$5:$G$300),0))*(1+N(V548)))</f>
        <v>0</v>
      </c>
      <c r="AB548" s="22" t="n">
        <f aca="false">IF(F548&lt;&gt;"Y",0,((SUMIF(Products!$E$5:$E$300,A548,Products!$K$5:$K$300)+SUMIF(RM_Lots!$A$5:$A$400,A548,RM_Lots!$F$5:$F$400))+IF(W548="Y",SUMIF(Products!$E$5:$E$300,A548,Products!$L$5:$L$300),0))*(1+N(V548)))</f>
        <v>0</v>
      </c>
      <c r="AC548" s="17" t="n">
        <f aca="false">IF(J548="",1,MAX(1,COUNTIFS($J$5:$J$863,J548,$F$5:$F$863,"Y")))</f>
        <v>1</v>
      </c>
      <c r="AD548" s="18" t="n">
        <f aca="false">(MAX(1,N(I548))*(P548+N(S548))+MAX(1,N(I548))*N(K548)/(MAX(1,N(U548))*AC548))*Settings!$B$9</f>
        <v>0</v>
      </c>
      <c r="AE548" s="18" t="n">
        <f aca="false">(MAX(1,N(I548))*N(Q548)+MAX(1,N(I548))*N(L548)/(MAX(1,N(U548))*AC548))*Settings!$B$8</f>
        <v>0</v>
      </c>
      <c r="AF548" s="18" t="n">
        <f aca="false">MAX(1,N(I548))*N(T548)</f>
        <v>0</v>
      </c>
      <c r="AG548" s="15" t="n">
        <f aca="false">AA548*N(AD548)</f>
        <v>0</v>
      </c>
      <c r="AH548" s="15" t="n">
        <f aca="false">AA548*N(AE548)</f>
        <v>0</v>
      </c>
      <c r="AI548" s="15" t="n">
        <f aca="false">AA548*N(AF548)</f>
        <v>0</v>
      </c>
      <c r="AJ548" s="15" t="n">
        <f aca="false">AA548*N(R548)</f>
        <v>0</v>
      </c>
      <c r="AK548" s="15" t="n">
        <f aca="false">AB548*N(AD548)</f>
        <v>0</v>
      </c>
      <c r="AL548" s="15" t="n">
        <f aca="false">AB548*N(AE548)</f>
        <v>0</v>
      </c>
      <c r="AM548" s="15" t="n">
        <f aca="false">AB548*N(AF548)</f>
        <v>0</v>
      </c>
      <c r="AN548" s="15" t="n">
        <f aca="false">AB548*N(R548)</f>
        <v>0</v>
      </c>
      <c r="AO548" s="21" t="str">
        <f aca="false">IF(F548&lt;&gt;"Y","n/a",IF(AND(N548&lt;&gt;"",OR(Q548&lt;&gt;"",G548="Other / bench",G548="None"),U548&lt;&gt;""),"OK","Missing"))</f>
        <v>Missing</v>
      </c>
    </row>
    <row r="549" customFormat="false" ht="15" hidden="false" customHeight="false" outlineLevel="0" collapsed="false">
      <c r="A549" s="10" t="s">
        <v>496</v>
      </c>
      <c r="B549" s="10" t="s">
        <v>740</v>
      </c>
      <c r="C549" s="10" t="s">
        <v>437</v>
      </c>
      <c r="D549" s="10" t="s">
        <v>742</v>
      </c>
      <c r="E549" s="21" t="str">
        <f aca="false">IF(A549="","",A549&amp;"|"&amp;D549)</f>
        <v>Riboflavin (Vitamin B2)|Other compendial tests (ID, LOD/KF, heavy metals...)</v>
      </c>
      <c r="F549" s="16" t="s">
        <v>662</v>
      </c>
      <c r="G549" s="16" t="s">
        <v>670</v>
      </c>
      <c r="H549" s="16" t="s">
        <v>672</v>
      </c>
      <c r="I549" s="16" t="n">
        <v>1</v>
      </c>
      <c r="J549" s="16"/>
      <c r="K549" s="14"/>
      <c r="L549" s="14"/>
      <c r="M549" s="14"/>
      <c r="N549" s="14"/>
      <c r="O549" s="14"/>
      <c r="P549" s="18" t="n">
        <f aca="false">IF(N549="",0,IF(OR(M549="",O549=""),N549,(M549+4*N549+O549)/6))</f>
        <v>0</v>
      </c>
      <c r="Q549" s="14"/>
      <c r="R549" s="14"/>
      <c r="S549" s="14"/>
      <c r="T549" s="14"/>
      <c r="U549" s="16"/>
      <c r="V549" s="13"/>
      <c r="W549" s="16" t="s">
        <v>667</v>
      </c>
      <c r="X549" s="16"/>
      <c r="Y549" s="16"/>
      <c r="Z549" s="16"/>
      <c r="AA549" s="22" t="n">
        <f aca="false">IF(F549&lt;&gt;"Y",0,((SUMIF(Products!$E$5:$E$300,A549,Products!$F$5:$F$300)+SUMIF(RM_Lots!$A$5:$A$400,A549,RM_Lots!$D$5:$D$400))+IF(W549="Y",SUMIF(Products!$E$5:$E$300,A549,Products!$G$5:$G$300),0))*(1+N(V549)))</f>
        <v>0</v>
      </c>
      <c r="AB549" s="22" t="n">
        <f aca="false">IF(F549&lt;&gt;"Y",0,((SUMIF(Products!$E$5:$E$300,A549,Products!$K$5:$K$300)+SUMIF(RM_Lots!$A$5:$A$400,A549,RM_Lots!$F$5:$F$400))+IF(W549="Y",SUMIF(Products!$E$5:$E$300,A549,Products!$L$5:$L$300),0))*(1+N(V549)))</f>
        <v>0</v>
      </c>
      <c r="AC549" s="17" t="n">
        <f aca="false">IF(J549="",1,MAX(1,COUNTIFS($J$5:$J$863,J549,$F$5:$F$863,"Y")))</f>
        <v>1</v>
      </c>
      <c r="AD549" s="18" t="n">
        <f aca="false">(MAX(1,N(I549))*(P549+N(S549))+MAX(1,N(I549))*N(K549)/(MAX(1,N(U549))*AC549))*Settings!$B$9</f>
        <v>0</v>
      </c>
      <c r="AE549" s="18" t="n">
        <f aca="false">(MAX(1,N(I549))*N(Q549)+MAX(1,N(I549))*N(L549)/(MAX(1,N(U549))*AC549))*Settings!$B$8</f>
        <v>0</v>
      </c>
      <c r="AF549" s="18" t="n">
        <f aca="false">MAX(1,N(I549))*N(T549)</f>
        <v>0</v>
      </c>
      <c r="AG549" s="15" t="n">
        <f aca="false">AA549*N(AD549)</f>
        <v>0</v>
      </c>
      <c r="AH549" s="15" t="n">
        <f aca="false">AA549*N(AE549)</f>
        <v>0</v>
      </c>
      <c r="AI549" s="15" t="n">
        <f aca="false">AA549*N(AF549)</f>
        <v>0</v>
      </c>
      <c r="AJ549" s="15" t="n">
        <f aca="false">AA549*N(R549)</f>
        <v>0</v>
      </c>
      <c r="AK549" s="15" t="n">
        <f aca="false">AB549*N(AD549)</f>
        <v>0</v>
      </c>
      <c r="AL549" s="15" t="n">
        <f aca="false">AB549*N(AE549)</f>
        <v>0</v>
      </c>
      <c r="AM549" s="15" t="n">
        <f aca="false">AB549*N(AF549)</f>
        <v>0</v>
      </c>
      <c r="AN549" s="15" t="n">
        <f aca="false">AB549*N(R549)</f>
        <v>0</v>
      </c>
      <c r="AO549" s="21" t="str">
        <f aca="false">IF(F549&lt;&gt;"Y","n/a",IF(AND(N549&lt;&gt;"",OR(Q549&lt;&gt;"",G549="Other / bench",G549="None"),U549&lt;&gt;""),"OK","Missing"))</f>
        <v>Missing</v>
      </c>
    </row>
    <row r="550" customFormat="false" ht="15" hidden="false" customHeight="false" outlineLevel="0" collapsed="false">
      <c r="A550" s="10" t="s">
        <v>497</v>
      </c>
      <c r="B550" s="10" t="s">
        <v>740</v>
      </c>
      <c r="C550" s="10" t="s">
        <v>437</v>
      </c>
      <c r="D550" s="10" t="s">
        <v>741</v>
      </c>
      <c r="E550" s="21" t="str">
        <f aca="false">IF(A550="","",A550&amp;"|"&amp;D550)</f>
        <v>Rosuvastatin Calcium|Assay + related substances</v>
      </c>
      <c r="F550" s="16" t="s">
        <v>662</v>
      </c>
      <c r="G550" s="16" t="s">
        <v>147</v>
      </c>
      <c r="H550" s="16" t="s">
        <v>663</v>
      </c>
      <c r="I550" s="16" t="n">
        <v>1</v>
      </c>
      <c r="J550" s="16"/>
      <c r="K550" s="14"/>
      <c r="L550" s="14"/>
      <c r="M550" s="14"/>
      <c r="N550" s="14"/>
      <c r="O550" s="14"/>
      <c r="P550" s="18" t="n">
        <f aca="false">IF(N550="",0,IF(OR(M550="",O550=""),N550,(M550+4*N550+O550)/6))</f>
        <v>0</v>
      </c>
      <c r="Q550" s="14"/>
      <c r="R550" s="14"/>
      <c r="S550" s="14"/>
      <c r="T550" s="14"/>
      <c r="U550" s="16"/>
      <c r="V550" s="13"/>
      <c r="W550" s="16" t="s">
        <v>667</v>
      </c>
      <c r="X550" s="16"/>
      <c r="Y550" s="16"/>
      <c r="Z550" s="16"/>
      <c r="AA550" s="22" t="n">
        <f aca="false">IF(F550&lt;&gt;"Y",0,((SUMIF(Products!$E$5:$E$300,A550,Products!$F$5:$F$300)+SUMIF(RM_Lots!$A$5:$A$400,A550,RM_Lots!$D$5:$D$400))+IF(W550="Y",SUMIF(Products!$E$5:$E$300,A550,Products!$G$5:$G$300),0))*(1+N(V550)))</f>
        <v>0</v>
      </c>
      <c r="AB550" s="22" t="n">
        <f aca="false">IF(F550&lt;&gt;"Y",0,((SUMIF(Products!$E$5:$E$300,A550,Products!$K$5:$K$300)+SUMIF(RM_Lots!$A$5:$A$400,A550,RM_Lots!$F$5:$F$400))+IF(W550="Y",SUMIF(Products!$E$5:$E$300,A550,Products!$L$5:$L$300),0))*(1+N(V550)))</f>
        <v>0</v>
      </c>
      <c r="AC550" s="17" t="n">
        <f aca="false">IF(J550="",1,MAX(1,COUNTIFS($J$5:$J$863,J550,$F$5:$F$863,"Y")))</f>
        <v>1</v>
      </c>
      <c r="AD550" s="18" t="n">
        <f aca="false">(MAX(1,N(I550))*(P550+N(S550))+MAX(1,N(I550))*N(K550)/(MAX(1,N(U550))*AC550))*Settings!$B$9</f>
        <v>0</v>
      </c>
      <c r="AE550" s="18" t="n">
        <f aca="false">(MAX(1,N(I550))*N(Q550)+MAX(1,N(I550))*N(L550)/(MAX(1,N(U550))*AC550))*Settings!$B$8</f>
        <v>0</v>
      </c>
      <c r="AF550" s="18" t="n">
        <f aca="false">MAX(1,N(I550))*N(T550)</f>
        <v>0</v>
      </c>
      <c r="AG550" s="15" t="n">
        <f aca="false">AA550*N(AD550)</f>
        <v>0</v>
      </c>
      <c r="AH550" s="15" t="n">
        <f aca="false">AA550*N(AE550)</f>
        <v>0</v>
      </c>
      <c r="AI550" s="15" t="n">
        <f aca="false">AA550*N(AF550)</f>
        <v>0</v>
      </c>
      <c r="AJ550" s="15" t="n">
        <f aca="false">AA550*N(R550)</f>
        <v>0</v>
      </c>
      <c r="AK550" s="15" t="n">
        <f aca="false">AB550*N(AD550)</f>
        <v>0</v>
      </c>
      <c r="AL550" s="15" t="n">
        <f aca="false">AB550*N(AE550)</f>
        <v>0</v>
      </c>
      <c r="AM550" s="15" t="n">
        <f aca="false">AB550*N(AF550)</f>
        <v>0</v>
      </c>
      <c r="AN550" s="15" t="n">
        <f aca="false">AB550*N(R550)</f>
        <v>0</v>
      </c>
      <c r="AO550" s="21" t="str">
        <f aca="false">IF(F550&lt;&gt;"Y","n/a",IF(AND(N550&lt;&gt;"",OR(Q550&lt;&gt;"",G550="Other / bench",G550="None"),U550&lt;&gt;""),"OK","Missing"))</f>
        <v>Missing</v>
      </c>
    </row>
    <row r="551" customFormat="false" ht="15" hidden="false" customHeight="false" outlineLevel="0" collapsed="false">
      <c r="A551" s="10" t="s">
        <v>497</v>
      </c>
      <c r="B551" s="10" t="s">
        <v>740</v>
      </c>
      <c r="C551" s="10" t="s">
        <v>437</v>
      </c>
      <c r="D551" s="10" t="s">
        <v>742</v>
      </c>
      <c r="E551" s="21" t="str">
        <f aca="false">IF(A551="","",A551&amp;"|"&amp;D551)</f>
        <v>Rosuvastatin Calcium|Other compendial tests (ID, LOD/KF, heavy metals...)</v>
      </c>
      <c r="F551" s="16" t="s">
        <v>662</v>
      </c>
      <c r="G551" s="16" t="s">
        <v>670</v>
      </c>
      <c r="H551" s="16" t="s">
        <v>672</v>
      </c>
      <c r="I551" s="16" t="n">
        <v>1</v>
      </c>
      <c r="J551" s="16"/>
      <c r="K551" s="14"/>
      <c r="L551" s="14"/>
      <c r="M551" s="14"/>
      <c r="N551" s="14"/>
      <c r="O551" s="14"/>
      <c r="P551" s="18" t="n">
        <f aca="false">IF(N551="",0,IF(OR(M551="",O551=""),N551,(M551+4*N551+O551)/6))</f>
        <v>0</v>
      </c>
      <c r="Q551" s="14"/>
      <c r="R551" s="14"/>
      <c r="S551" s="14"/>
      <c r="T551" s="14"/>
      <c r="U551" s="16"/>
      <c r="V551" s="13"/>
      <c r="W551" s="16" t="s">
        <v>667</v>
      </c>
      <c r="X551" s="16"/>
      <c r="Y551" s="16"/>
      <c r="Z551" s="16"/>
      <c r="AA551" s="22" t="n">
        <f aca="false">IF(F551&lt;&gt;"Y",0,((SUMIF(Products!$E$5:$E$300,A551,Products!$F$5:$F$300)+SUMIF(RM_Lots!$A$5:$A$400,A551,RM_Lots!$D$5:$D$400))+IF(W551="Y",SUMIF(Products!$E$5:$E$300,A551,Products!$G$5:$G$300),0))*(1+N(V551)))</f>
        <v>0</v>
      </c>
      <c r="AB551" s="22" t="n">
        <f aca="false">IF(F551&lt;&gt;"Y",0,((SUMIF(Products!$E$5:$E$300,A551,Products!$K$5:$K$300)+SUMIF(RM_Lots!$A$5:$A$400,A551,RM_Lots!$F$5:$F$400))+IF(W551="Y",SUMIF(Products!$E$5:$E$300,A551,Products!$L$5:$L$300),0))*(1+N(V551)))</f>
        <v>0</v>
      </c>
      <c r="AC551" s="17" t="n">
        <f aca="false">IF(J551="",1,MAX(1,COUNTIFS($J$5:$J$863,J551,$F$5:$F$863,"Y")))</f>
        <v>1</v>
      </c>
      <c r="AD551" s="18" t="n">
        <f aca="false">(MAX(1,N(I551))*(P551+N(S551))+MAX(1,N(I551))*N(K551)/(MAX(1,N(U551))*AC551))*Settings!$B$9</f>
        <v>0</v>
      </c>
      <c r="AE551" s="18" t="n">
        <f aca="false">(MAX(1,N(I551))*N(Q551)+MAX(1,N(I551))*N(L551)/(MAX(1,N(U551))*AC551))*Settings!$B$8</f>
        <v>0</v>
      </c>
      <c r="AF551" s="18" t="n">
        <f aca="false">MAX(1,N(I551))*N(T551)</f>
        <v>0</v>
      </c>
      <c r="AG551" s="15" t="n">
        <f aca="false">AA551*N(AD551)</f>
        <v>0</v>
      </c>
      <c r="AH551" s="15" t="n">
        <f aca="false">AA551*N(AE551)</f>
        <v>0</v>
      </c>
      <c r="AI551" s="15" t="n">
        <f aca="false">AA551*N(AF551)</f>
        <v>0</v>
      </c>
      <c r="AJ551" s="15" t="n">
        <f aca="false">AA551*N(R551)</f>
        <v>0</v>
      </c>
      <c r="AK551" s="15" t="n">
        <f aca="false">AB551*N(AD551)</f>
        <v>0</v>
      </c>
      <c r="AL551" s="15" t="n">
        <f aca="false">AB551*N(AE551)</f>
        <v>0</v>
      </c>
      <c r="AM551" s="15" t="n">
        <f aca="false">AB551*N(AF551)</f>
        <v>0</v>
      </c>
      <c r="AN551" s="15" t="n">
        <f aca="false">AB551*N(R551)</f>
        <v>0</v>
      </c>
      <c r="AO551" s="21" t="str">
        <f aca="false">IF(F551&lt;&gt;"Y","n/a",IF(AND(N551&lt;&gt;"",OR(Q551&lt;&gt;"",G551="Other / bench",G551="None"),U551&lt;&gt;""),"OK","Missing"))</f>
        <v>Missing</v>
      </c>
    </row>
    <row r="552" customFormat="false" ht="15" hidden="false" customHeight="false" outlineLevel="0" collapsed="false">
      <c r="A552" s="10" t="s">
        <v>253</v>
      </c>
      <c r="B552" s="10" t="s">
        <v>740</v>
      </c>
      <c r="C552" s="10" t="s">
        <v>437</v>
      </c>
      <c r="D552" s="10" t="s">
        <v>741</v>
      </c>
      <c r="E552" s="21" t="str">
        <f aca="false">IF(A552="","",A552&amp;"|"&amp;D552)</f>
        <v>Sacubitril/Valsartan 3Sodium 2.5H2O Co-crystal|Assay + related substances</v>
      </c>
      <c r="F552" s="16" t="s">
        <v>662</v>
      </c>
      <c r="G552" s="16" t="s">
        <v>147</v>
      </c>
      <c r="H552" s="16" t="s">
        <v>663</v>
      </c>
      <c r="I552" s="16" t="n">
        <v>1</v>
      </c>
      <c r="J552" s="16"/>
      <c r="K552" s="14"/>
      <c r="L552" s="14"/>
      <c r="M552" s="14"/>
      <c r="N552" s="14"/>
      <c r="O552" s="14"/>
      <c r="P552" s="18" t="n">
        <f aca="false">IF(N552="",0,IF(OR(M552="",O552=""),N552,(M552+4*N552+O552)/6))</f>
        <v>0</v>
      </c>
      <c r="Q552" s="14"/>
      <c r="R552" s="14"/>
      <c r="S552" s="14"/>
      <c r="T552" s="14"/>
      <c r="U552" s="16"/>
      <c r="V552" s="13"/>
      <c r="W552" s="16" t="s">
        <v>667</v>
      </c>
      <c r="X552" s="16"/>
      <c r="Y552" s="16"/>
      <c r="Z552" s="16"/>
      <c r="AA552" s="22" t="n">
        <f aca="false">IF(F552&lt;&gt;"Y",0,((SUMIF(Products!$E$5:$E$300,A552,Products!$F$5:$F$300)+SUMIF(RM_Lots!$A$5:$A$400,A552,RM_Lots!$D$5:$D$400))+IF(W552="Y",SUMIF(Products!$E$5:$E$300,A552,Products!$G$5:$G$300),0))*(1+N(V552)))</f>
        <v>0</v>
      </c>
      <c r="AB552" s="22" t="n">
        <f aca="false">IF(F552&lt;&gt;"Y",0,((SUMIF(Products!$E$5:$E$300,A552,Products!$K$5:$K$300)+SUMIF(RM_Lots!$A$5:$A$400,A552,RM_Lots!$F$5:$F$400))+IF(W552="Y",SUMIF(Products!$E$5:$E$300,A552,Products!$L$5:$L$300),0))*(1+N(V552)))</f>
        <v>0</v>
      </c>
      <c r="AC552" s="17" t="n">
        <f aca="false">IF(J552="",1,MAX(1,COUNTIFS($J$5:$J$863,J552,$F$5:$F$863,"Y")))</f>
        <v>1</v>
      </c>
      <c r="AD552" s="18" t="n">
        <f aca="false">(MAX(1,N(I552))*(P552+N(S552))+MAX(1,N(I552))*N(K552)/(MAX(1,N(U552))*AC552))*Settings!$B$9</f>
        <v>0</v>
      </c>
      <c r="AE552" s="18" t="n">
        <f aca="false">(MAX(1,N(I552))*N(Q552)+MAX(1,N(I552))*N(L552)/(MAX(1,N(U552))*AC552))*Settings!$B$8</f>
        <v>0</v>
      </c>
      <c r="AF552" s="18" t="n">
        <f aca="false">MAX(1,N(I552))*N(T552)</f>
        <v>0</v>
      </c>
      <c r="AG552" s="15" t="n">
        <f aca="false">AA552*N(AD552)</f>
        <v>0</v>
      </c>
      <c r="AH552" s="15" t="n">
        <f aca="false">AA552*N(AE552)</f>
        <v>0</v>
      </c>
      <c r="AI552" s="15" t="n">
        <f aca="false">AA552*N(AF552)</f>
        <v>0</v>
      </c>
      <c r="AJ552" s="15" t="n">
        <f aca="false">AA552*N(R552)</f>
        <v>0</v>
      </c>
      <c r="AK552" s="15" t="n">
        <f aca="false">AB552*N(AD552)</f>
        <v>0</v>
      </c>
      <c r="AL552" s="15" t="n">
        <f aca="false">AB552*N(AE552)</f>
        <v>0</v>
      </c>
      <c r="AM552" s="15" t="n">
        <f aca="false">AB552*N(AF552)</f>
        <v>0</v>
      </c>
      <c r="AN552" s="15" t="n">
        <f aca="false">AB552*N(R552)</f>
        <v>0</v>
      </c>
      <c r="AO552" s="21" t="str">
        <f aca="false">IF(F552&lt;&gt;"Y","n/a",IF(AND(N552&lt;&gt;"",OR(Q552&lt;&gt;"",G552="Other / bench",G552="None"),U552&lt;&gt;""),"OK","Missing"))</f>
        <v>Missing</v>
      </c>
    </row>
    <row r="553" customFormat="false" ht="15" hidden="false" customHeight="false" outlineLevel="0" collapsed="false">
      <c r="A553" s="10" t="s">
        <v>253</v>
      </c>
      <c r="B553" s="10" t="s">
        <v>740</v>
      </c>
      <c r="C553" s="10" t="s">
        <v>437</v>
      </c>
      <c r="D553" s="10" t="s">
        <v>742</v>
      </c>
      <c r="E553" s="21" t="str">
        <f aca="false">IF(A553="","",A553&amp;"|"&amp;D553)</f>
        <v>Sacubitril/Valsartan 3Sodium 2.5H2O Co-crystal|Other compendial tests (ID, LOD/KF, heavy metals...)</v>
      </c>
      <c r="F553" s="16" t="s">
        <v>662</v>
      </c>
      <c r="G553" s="16" t="s">
        <v>670</v>
      </c>
      <c r="H553" s="16" t="s">
        <v>672</v>
      </c>
      <c r="I553" s="16" t="n">
        <v>1</v>
      </c>
      <c r="J553" s="16"/>
      <c r="K553" s="14"/>
      <c r="L553" s="14"/>
      <c r="M553" s="14"/>
      <c r="N553" s="14"/>
      <c r="O553" s="14"/>
      <c r="P553" s="18" t="n">
        <f aca="false">IF(N553="",0,IF(OR(M553="",O553=""),N553,(M553+4*N553+O553)/6))</f>
        <v>0</v>
      </c>
      <c r="Q553" s="14"/>
      <c r="R553" s="14"/>
      <c r="S553" s="14"/>
      <c r="T553" s="14"/>
      <c r="U553" s="16"/>
      <c r="V553" s="13"/>
      <c r="W553" s="16" t="s">
        <v>667</v>
      </c>
      <c r="X553" s="16"/>
      <c r="Y553" s="16"/>
      <c r="Z553" s="16"/>
      <c r="AA553" s="22" t="n">
        <f aca="false">IF(F553&lt;&gt;"Y",0,((SUMIF(Products!$E$5:$E$300,A553,Products!$F$5:$F$300)+SUMIF(RM_Lots!$A$5:$A$400,A553,RM_Lots!$D$5:$D$400))+IF(W553="Y",SUMIF(Products!$E$5:$E$300,A553,Products!$G$5:$G$300),0))*(1+N(V553)))</f>
        <v>0</v>
      </c>
      <c r="AB553" s="22" t="n">
        <f aca="false">IF(F553&lt;&gt;"Y",0,((SUMIF(Products!$E$5:$E$300,A553,Products!$K$5:$K$300)+SUMIF(RM_Lots!$A$5:$A$400,A553,RM_Lots!$F$5:$F$400))+IF(W553="Y",SUMIF(Products!$E$5:$E$300,A553,Products!$L$5:$L$300),0))*(1+N(V553)))</f>
        <v>0</v>
      </c>
      <c r="AC553" s="17" t="n">
        <f aca="false">IF(J553="",1,MAX(1,COUNTIFS($J$5:$J$863,J553,$F$5:$F$863,"Y")))</f>
        <v>1</v>
      </c>
      <c r="AD553" s="18" t="n">
        <f aca="false">(MAX(1,N(I553))*(P553+N(S553))+MAX(1,N(I553))*N(K553)/(MAX(1,N(U553))*AC553))*Settings!$B$9</f>
        <v>0</v>
      </c>
      <c r="AE553" s="18" t="n">
        <f aca="false">(MAX(1,N(I553))*N(Q553)+MAX(1,N(I553))*N(L553)/(MAX(1,N(U553))*AC553))*Settings!$B$8</f>
        <v>0</v>
      </c>
      <c r="AF553" s="18" t="n">
        <f aca="false">MAX(1,N(I553))*N(T553)</f>
        <v>0</v>
      </c>
      <c r="AG553" s="15" t="n">
        <f aca="false">AA553*N(AD553)</f>
        <v>0</v>
      </c>
      <c r="AH553" s="15" t="n">
        <f aca="false">AA553*N(AE553)</f>
        <v>0</v>
      </c>
      <c r="AI553" s="15" t="n">
        <f aca="false">AA553*N(AF553)</f>
        <v>0</v>
      </c>
      <c r="AJ553" s="15" t="n">
        <f aca="false">AA553*N(R553)</f>
        <v>0</v>
      </c>
      <c r="AK553" s="15" t="n">
        <f aca="false">AB553*N(AD553)</f>
        <v>0</v>
      </c>
      <c r="AL553" s="15" t="n">
        <f aca="false">AB553*N(AE553)</f>
        <v>0</v>
      </c>
      <c r="AM553" s="15" t="n">
        <f aca="false">AB553*N(AF553)</f>
        <v>0</v>
      </c>
      <c r="AN553" s="15" t="n">
        <f aca="false">AB553*N(R553)</f>
        <v>0</v>
      </c>
      <c r="AO553" s="21" t="str">
        <f aca="false">IF(F553&lt;&gt;"Y","n/a",IF(AND(N553&lt;&gt;"",OR(Q553&lt;&gt;"",G553="Other / bench",G553="None"),U553&lt;&gt;""),"OK","Missing"))</f>
        <v>Missing</v>
      </c>
    </row>
    <row r="554" customFormat="false" ht="15" hidden="false" customHeight="false" outlineLevel="0" collapsed="false">
      <c r="A554" s="10" t="s">
        <v>498</v>
      </c>
      <c r="B554" s="10" t="s">
        <v>740</v>
      </c>
      <c r="C554" s="10" t="s">
        <v>437</v>
      </c>
      <c r="D554" s="10" t="s">
        <v>741</v>
      </c>
      <c r="E554" s="21" t="str">
        <f aca="false">IF(A554="","",A554&amp;"|"&amp;D554)</f>
        <v>Saw Palmetto Dry Extract 4:1|Assay + related substances</v>
      </c>
      <c r="F554" s="16" t="s">
        <v>662</v>
      </c>
      <c r="G554" s="16" t="s">
        <v>147</v>
      </c>
      <c r="H554" s="16" t="s">
        <v>663</v>
      </c>
      <c r="I554" s="16" t="n">
        <v>1</v>
      </c>
      <c r="J554" s="16"/>
      <c r="K554" s="14"/>
      <c r="L554" s="14"/>
      <c r="M554" s="14"/>
      <c r="N554" s="14"/>
      <c r="O554" s="14"/>
      <c r="P554" s="18" t="n">
        <f aca="false">IF(N554="",0,IF(OR(M554="",O554=""),N554,(M554+4*N554+O554)/6))</f>
        <v>0</v>
      </c>
      <c r="Q554" s="14"/>
      <c r="R554" s="14"/>
      <c r="S554" s="14"/>
      <c r="T554" s="14"/>
      <c r="U554" s="16"/>
      <c r="V554" s="13"/>
      <c r="W554" s="16" t="s">
        <v>667</v>
      </c>
      <c r="X554" s="16"/>
      <c r="Y554" s="16"/>
      <c r="Z554" s="16"/>
      <c r="AA554" s="22" t="n">
        <f aca="false">IF(F554&lt;&gt;"Y",0,((SUMIF(Products!$E$5:$E$300,A554,Products!$F$5:$F$300)+SUMIF(RM_Lots!$A$5:$A$400,A554,RM_Lots!$D$5:$D$400))+IF(W554="Y",SUMIF(Products!$E$5:$E$300,A554,Products!$G$5:$G$300),0))*(1+N(V554)))</f>
        <v>0</v>
      </c>
      <c r="AB554" s="22" t="n">
        <f aca="false">IF(F554&lt;&gt;"Y",0,((SUMIF(Products!$E$5:$E$300,A554,Products!$K$5:$K$300)+SUMIF(RM_Lots!$A$5:$A$400,A554,RM_Lots!$F$5:$F$400))+IF(W554="Y",SUMIF(Products!$E$5:$E$300,A554,Products!$L$5:$L$300),0))*(1+N(V554)))</f>
        <v>0</v>
      </c>
      <c r="AC554" s="17" t="n">
        <f aca="false">IF(J554="",1,MAX(1,COUNTIFS($J$5:$J$863,J554,$F$5:$F$863,"Y")))</f>
        <v>1</v>
      </c>
      <c r="AD554" s="18" t="n">
        <f aca="false">(MAX(1,N(I554))*(P554+N(S554))+MAX(1,N(I554))*N(K554)/(MAX(1,N(U554))*AC554))*Settings!$B$9</f>
        <v>0</v>
      </c>
      <c r="AE554" s="18" t="n">
        <f aca="false">(MAX(1,N(I554))*N(Q554)+MAX(1,N(I554))*N(L554)/(MAX(1,N(U554))*AC554))*Settings!$B$8</f>
        <v>0</v>
      </c>
      <c r="AF554" s="18" t="n">
        <f aca="false">MAX(1,N(I554))*N(T554)</f>
        <v>0</v>
      </c>
      <c r="AG554" s="15" t="n">
        <f aca="false">AA554*N(AD554)</f>
        <v>0</v>
      </c>
      <c r="AH554" s="15" t="n">
        <f aca="false">AA554*N(AE554)</f>
        <v>0</v>
      </c>
      <c r="AI554" s="15" t="n">
        <f aca="false">AA554*N(AF554)</f>
        <v>0</v>
      </c>
      <c r="AJ554" s="15" t="n">
        <f aca="false">AA554*N(R554)</f>
        <v>0</v>
      </c>
      <c r="AK554" s="15" t="n">
        <f aca="false">AB554*N(AD554)</f>
        <v>0</v>
      </c>
      <c r="AL554" s="15" t="n">
        <f aca="false">AB554*N(AE554)</f>
        <v>0</v>
      </c>
      <c r="AM554" s="15" t="n">
        <f aca="false">AB554*N(AF554)</f>
        <v>0</v>
      </c>
      <c r="AN554" s="15" t="n">
        <f aca="false">AB554*N(R554)</f>
        <v>0</v>
      </c>
      <c r="AO554" s="21" t="str">
        <f aca="false">IF(F554&lt;&gt;"Y","n/a",IF(AND(N554&lt;&gt;"",OR(Q554&lt;&gt;"",G554="Other / bench",G554="None"),U554&lt;&gt;""),"OK","Missing"))</f>
        <v>Missing</v>
      </c>
    </row>
    <row r="555" customFormat="false" ht="15" hidden="false" customHeight="false" outlineLevel="0" collapsed="false">
      <c r="A555" s="10" t="s">
        <v>498</v>
      </c>
      <c r="B555" s="10" t="s">
        <v>740</v>
      </c>
      <c r="C555" s="10" t="s">
        <v>437</v>
      </c>
      <c r="D555" s="10" t="s">
        <v>742</v>
      </c>
      <c r="E555" s="21" t="str">
        <f aca="false">IF(A555="","",A555&amp;"|"&amp;D555)</f>
        <v>Saw Palmetto Dry Extract 4:1|Other compendial tests (ID, LOD/KF, heavy metals...)</v>
      </c>
      <c r="F555" s="16" t="s">
        <v>662</v>
      </c>
      <c r="G555" s="16" t="s">
        <v>670</v>
      </c>
      <c r="H555" s="16" t="s">
        <v>672</v>
      </c>
      <c r="I555" s="16" t="n">
        <v>1</v>
      </c>
      <c r="J555" s="16"/>
      <c r="K555" s="14"/>
      <c r="L555" s="14"/>
      <c r="M555" s="14"/>
      <c r="N555" s="14"/>
      <c r="O555" s="14"/>
      <c r="P555" s="18" t="n">
        <f aca="false">IF(N555="",0,IF(OR(M555="",O555=""),N555,(M555+4*N555+O555)/6))</f>
        <v>0</v>
      </c>
      <c r="Q555" s="14"/>
      <c r="R555" s="14"/>
      <c r="S555" s="14"/>
      <c r="T555" s="14"/>
      <c r="U555" s="16"/>
      <c r="V555" s="13"/>
      <c r="W555" s="16" t="s">
        <v>667</v>
      </c>
      <c r="X555" s="16"/>
      <c r="Y555" s="16"/>
      <c r="Z555" s="16"/>
      <c r="AA555" s="22" t="n">
        <f aca="false">IF(F555&lt;&gt;"Y",0,((SUMIF(Products!$E$5:$E$300,A555,Products!$F$5:$F$300)+SUMIF(RM_Lots!$A$5:$A$400,A555,RM_Lots!$D$5:$D$400))+IF(W555="Y",SUMIF(Products!$E$5:$E$300,A555,Products!$G$5:$G$300),0))*(1+N(V555)))</f>
        <v>0</v>
      </c>
      <c r="AB555" s="22" t="n">
        <f aca="false">IF(F555&lt;&gt;"Y",0,((SUMIF(Products!$E$5:$E$300,A555,Products!$K$5:$K$300)+SUMIF(RM_Lots!$A$5:$A$400,A555,RM_Lots!$F$5:$F$400))+IF(W555="Y",SUMIF(Products!$E$5:$E$300,A555,Products!$L$5:$L$300),0))*(1+N(V555)))</f>
        <v>0</v>
      </c>
      <c r="AC555" s="17" t="n">
        <f aca="false">IF(J555="",1,MAX(1,COUNTIFS($J$5:$J$863,J555,$F$5:$F$863,"Y")))</f>
        <v>1</v>
      </c>
      <c r="AD555" s="18" t="n">
        <f aca="false">(MAX(1,N(I555))*(P555+N(S555))+MAX(1,N(I555))*N(K555)/(MAX(1,N(U555))*AC555))*Settings!$B$9</f>
        <v>0</v>
      </c>
      <c r="AE555" s="18" t="n">
        <f aca="false">(MAX(1,N(I555))*N(Q555)+MAX(1,N(I555))*N(L555)/(MAX(1,N(U555))*AC555))*Settings!$B$8</f>
        <v>0</v>
      </c>
      <c r="AF555" s="18" t="n">
        <f aca="false">MAX(1,N(I555))*N(T555)</f>
        <v>0</v>
      </c>
      <c r="AG555" s="15" t="n">
        <f aca="false">AA555*N(AD555)</f>
        <v>0</v>
      </c>
      <c r="AH555" s="15" t="n">
        <f aca="false">AA555*N(AE555)</f>
        <v>0</v>
      </c>
      <c r="AI555" s="15" t="n">
        <f aca="false">AA555*N(AF555)</f>
        <v>0</v>
      </c>
      <c r="AJ555" s="15" t="n">
        <f aca="false">AA555*N(R555)</f>
        <v>0</v>
      </c>
      <c r="AK555" s="15" t="n">
        <f aca="false">AB555*N(AD555)</f>
        <v>0</v>
      </c>
      <c r="AL555" s="15" t="n">
        <f aca="false">AB555*N(AE555)</f>
        <v>0</v>
      </c>
      <c r="AM555" s="15" t="n">
        <f aca="false">AB555*N(AF555)</f>
        <v>0</v>
      </c>
      <c r="AN555" s="15" t="n">
        <f aca="false">AB555*N(R555)</f>
        <v>0</v>
      </c>
      <c r="AO555" s="21" t="str">
        <f aca="false">IF(F555&lt;&gt;"Y","n/a",IF(AND(N555&lt;&gt;"",OR(Q555&lt;&gt;"",G555="Other / bench",G555="None"),U555&lt;&gt;""),"OK","Missing"))</f>
        <v>Missing</v>
      </c>
    </row>
    <row r="556" customFormat="false" ht="15" hidden="false" customHeight="false" outlineLevel="0" collapsed="false">
      <c r="A556" s="10" t="s">
        <v>499</v>
      </c>
      <c r="B556" s="10" t="s">
        <v>740</v>
      </c>
      <c r="C556" s="10" t="s">
        <v>437</v>
      </c>
      <c r="D556" s="10" t="s">
        <v>741</v>
      </c>
      <c r="E556" s="21" t="str">
        <f aca="false">IF(A556="","",A556&amp;"|"&amp;D556)</f>
        <v>Siberian Ginseng Dry Extract 5:1|Assay + related substances</v>
      </c>
      <c r="F556" s="16" t="s">
        <v>662</v>
      </c>
      <c r="G556" s="16" t="s">
        <v>147</v>
      </c>
      <c r="H556" s="16" t="s">
        <v>663</v>
      </c>
      <c r="I556" s="16" t="n">
        <v>1</v>
      </c>
      <c r="J556" s="16"/>
      <c r="K556" s="14"/>
      <c r="L556" s="14"/>
      <c r="M556" s="14"/>
      <c r="N556" s="14"/>
      <c r="O556" s="14"/>
      <c r="P556" s="18" t="n">
        <f aca="false">IF(N556="",0,IF(OR(M556="",O556=""),N556,(M556+4*N556+O556)/6))</f>
        <v>0</v>
      </c>
      <c r="Q556" s="14"/>
      <c r="R556" s="14"/>
      <c r="S556" s="14"/>
      <c r="T556" s="14"/>
      <c r="U556" s="16"/>
      <c r="V556" s="13"/>
      <c r="W556" s="16" t="s">
        <v>667</v>
      </c>
      <c r="X556" s="16"/>
      <c r="Y556" s="16"/>
      <c r="Z556" s="16"/>
      <c r="AA556" s="22" t="n">
        <f aca="false">IF(F556&lt;&gt;"Y",0,((SUMIF(Products!$E$5:$E$300,A556,Products!$F$5:$F$300)+SUMIF(RM_Lots!$A$5:$A$400,A556,RM_Lots!$D$5:$D$400))+IF(W556="Y",SUMIF(Products!$E$5:$E$300,A556,Products!$G$5:$G$300),0))*(1+N(V556)))</f>
        <v>0</v>
      </c>
      <c r="AB556" s="22" t="n">
        <f aca="false">IF(F556&lt;&gt;"Y",0,((SUMIF(Products!$E$5:$E$300,A556,Products!$K$5:$K$300)+SUMIF(RM_Lots!$A$5:$A$400,A556,RM_Lots!$F$5:$F$400))+IF(W556="Y",SUMIF(Products!$E$5:$E$300,A556,Products!$L$5:$L$300),0))*(1+N(V556)))</f>
        <v>0</v>
      </c>
      <c r="AC556" s="17" t="n">
        <f aca="false">IF(J556="",1,MAX(1,COUNTIFS($J$5:$J$863,J556,$F$5:$F$863,"Y")))</f>
        <v>1</v>
      </c>
      <c r="AD556" s="18" t="n">
        <f aca="false">(MAX(1,N(I556))*(P556+N(S556))+MAX(1,N(I556))*N(K556)/(MAX(1,N(U556))*AC556))*Settings!$B$9</f>
        <v>0</v>
      </c>
      <c r="AE556" s="18" t="n">
        <f aca="false">(MAX(1,N(I556))*N(Q556)+MAX(1,N(I556))*N(L556)/(MAX(1,N(U556))*AC556))*Settings!$B$8</f>
        <v>0</v>
      </c>
      <c r="AF556" s="18" t="n">
        <f aca="false">MAX(1,N(I556))*N(T556)</f>
        <v>0</v>
      </c>
      <c r="AG556" s="15" t="n">
        <f aca="false">AA556*N(AD556)</f>
        <v>0</v>
      </c>
      <c r="AH556" s="15" t="n">
        <f aca="false">AA556*N(AE556)</f>
        <v>0</v>
      </c>
      <c r="AI556" s="15" t="n">
        <f aca="false">AA556*N(AF556)</f>
        <v>0</v>
      </c>
      <c r="AJ556" s="15" t="n">
        <f aca="false">AA556*N(R556)</f>
        <v>0</v>
      </c>
      <c r="AK556" s="15" t="n">
        <f aca="false">AB556*N(AD556)</f>
        <v>0</v>
      </c>
      <c r="AL556" s="15" t="n">
        <f aca="false">AB556*N(AE556)</f>
        <v>0</v>
      </c>
      <c r="AM556" s="15" t="n">
        <f aca="false">AB556*N(AF556)</f>
        <v>0</v>
      </c>
      <c r="AN556" s="15" t="n">
        <f aca="false">AB556*N(R556)</f>
        <v>0</v>
      </c>
      <c r="AO556" s="21" t="str">
        <f aca="false">IF(F556&lt;&gt;"Y","n/a",IF(AND(N556&lt;&gt;"",OR(Q556&lt;&gt;"",G556="Other / bench",G556="None"),U556&lt;&gt;""),"OK","Missing"))</f>
        <v>Missing</v>
      </c>
    </row>
    <row r="557" customFormat="false" ht="15" hidden="false" customHeight="false" outlineLevel="0" collapsed="false">
      <c r="A557" s="10" t="s">
        <v>499</v>
      </c>
      <c r="B557" s="10" t="s">
        <v>740</v>
      </c>
      <c r="C557" s="10" t="s">
        <v>437</v>
      </c>
      <c r="D557" s="10" t="s">
        <v>742</v>
      </c>
      <c r="E557" s="21" t="str">
        <f aca="false">IF(A557="","",A557&amp;"|"&amp;D557)</f>
        <v>Siberian Ginseng Dry Extract 5:1|Other compendial tests (ID, LOD/KF, heavy metals...)</v>
      </c>
      <c r="F557" s="16" t="s">
        <v>662</v>
      </c>
      <c r="G557" s="16" t="s">
        <v>670</v>
      </c>
      <c r="H557" s="16" t="s">
        <v>672</v>
      </c>
      <c r="I557" s="16" t="n">
        <v>1</v>
      </c>
      <c r="J557" s="16"/>
      <c r="K557" s="14"/>
      <c r="L557" s="14"/>
      <c r="M557" s="14"/>
      <c r="N557" s="14"/>
      <c r="O557" s="14"/>
      <c r="P557" s="18" t="n">
        <f aca="false">IF(N557="",0,IF(OR(M557="",O557=""),N557,(M557+4*N557+O557)/6))</f>
        <v>0</v>
      </c>
      <c r="Q557" s="14"/>
      <c r="R557" s="14"/>
      <c r="S557" s="14"/>
      <c r="T557" s="14"/>
      <c r="U557" s="16"/>
      <c r="V557" s="13"/>
      <c r="W557" s="16" t="s">
        <v>667</v>
      </c>
      <c r="X557" s="16"/>
      <c r="Y557" s="16"/>
      <c r="Z557" s="16"/>
      <c r="AA557" s="22" t="n">
        <f aca="false">IF(F557&lt;&gt;"Y",0,((SUMIF(Products!$E$5:$E$300,A557,Products!$F$5:$F$300)+SUMIF(RM_Lots!$A$5:$A$400,A557,RM_Lots!$D$5:$D$400))+IF(W557="Y",SUMIF(Products!$E$5:$E$300,A557,Products!$G$5:$G$300),0))*(1+N(V557)))</f>
        <v>0</v>
      </c>
      <c r="AB557" s="22" t="n">
        <f aca="false">IF(F557&lt;&gt;"Y",0,((SUMIF(Products!$E$5:$E$300,A557,Products!$K$5:$K$300)+SUMIF(RM_Lots!$A$5:$A$400,A557,RM_Lots!$F$5:$F$400))+IF(W557="Y",SUMIF(Products!$E$5:$E$300,A557,Products!$L$5:$L$300),0))*(1+N(V557)))</f>
        <v>0</v>
      </c>
      <c r="AC557" s="17" t="n">
        <f aca="false">IF(J557="",1,MAX(1,COUNTIFS($J$5:$J$863,J557,$F$5:$F$863,"Y")))</f>
        <v>1</v>
      </c>
      <c r="AD557" s="18" t="n">
        <f aca="false">(MAX(1,N(I557))*(P557+N(S557))+MAX(1,N(I557))*N(K557)/(MAX(1,N(U557))*AC557))*Settings!$B$9</f>
        <v>0</v>
      </c>
      <c r="AE557" s="18" t="n">
        <f aca="false">(MAX(1,N(I557))*N(Q557)+MAX(1,N(I557))*N(L557)/(MAX(1,N(U557))*AC557))*Settings!$B$8</f>
        <v>0</v>
      </c>
      <c r="AF557" s="18" t="n">
        <f aca="false">MAX(1,N(I557))*N(T557)</f>
        <v>0</v>
      </c>
      <c r="AG557" s="15" t="n">
        <f aca="false">AA557*N(AD557)</f>
        <v>0</v>
      </c>
      <c r="AH557" s="15" t="n">
        <f aca="false">AA557*N(AE557)</f>
        <v>0</v>
      </c>
      <c r="AI557" s="15" t="n">
        <f aca="false">AA557*N(AF557)</f>
        <v>0</v>
      </c>
      <c r="AJ557" s="15" t="n">
        <f aca="false">AA557*N(R557)</f>
        <v>0</v>
      </c>
      <c r="AK557" s="15" t="n">
        <f aca="false">AB557*N(AD557)</f>
        <v>0</v>
      </c>
      <c r="AL557" s="15" t="n">
        <f aca="false">AB557*N(AE557)</f>
        <v>0</v>
      </c>
      <c r="AM557" s="15" t="n">
        <f aca="false">AB557*N(AF557)</f>
        <v>0</v>
      </c>
      <c r="AN557" s="15" t="n">
        <f aca="false">AB557*N(R557)</f>
        <v>0</v>
      </c>
      <c r="AO557" s="21" t="str">
        <f aca="false">IF(F557&lt;&gt;"Y","n/a",IF(AND(N557&lt;&gt;"",OR(Q557&lt;&gt;"",G557="Other / bench",G557="None"),U557&lt;&gt;""),"OK","Missing"))</f>
        <v>Missing</v>
      </c>
    </row>
    <row r="558" customFormat="false" ht="15" hidden="false" customHeight="false" outlineLevel="0" collapsed="false">
      <c r="A558" s="10" t="s">
        <v>500</v>
      </c>
      <c r="B558" s="10" t="s">
        <v>740</v>
      </c>
      <c r="C558" s="10" t="s">
        <v>437</v>
      </c>
      <c r="D558" s="10" t="s">
        <v>741</v>
      </c>
      <c r="E558" s="21" t="str">
        <f aca="false">IF(A558="","",A558&amp;"|"&amp;D558)</f>
        <v>Sodium Selenate Anhydrous|Assay + related substances</v>
      </c>
      <c r="F558" s="16" t="s">
        <v>662</v>
      </c>
      <c r="G558" s="16" t="s">
        <v>147</v>
      </c>
      <c r="H558" s="16" t="s">
        <v>663</v>
      </c>
      <c r="I558" s="16" t="n">
        <v>1</v>
      </c>
      <c r="J558" s="16"/>
      <c r="K558" s="14"/>
      <c r="L558" s="14"/>
      <c r="M558" s="14"/>
      <c r="N558" s="14"/>
      <c r="O558" s="14"/>
      <c r="P558" s="18" t="n">
        <f aca="false">IF(N558="",0,IF(OR(M558="",O558=""),N558,(M558+4*N558+O558)/6))</f>
        <v>0</v>
      </c>
      <c r="Q558" s="14"/>
      <c r="R558" s="14"/>
      <c r="S558" s="14"/>
      <c r="T558" s="14"/>
      <c r="U558" s="16"/>
      <c r="V558" s="13"/>
      <c r="W558" s="16" t="s">
        <v>667</v>
      </c>
      <c r="X558" s="16"/>
      <c r="Y558" s="16"/>
      <c r="Z558" s="16"/>
      <c r="AA558" s="22" t="n">
        <f aca="false">IF(F558&lt;&gt;"Y",0,((SUMIF(Products!$E$5:$E$300,A558,Products!$F$5:$F$300)+SUMIF(RM_Lots!$A$5:$A$400,A558,RM_Lots!$D$5:$D$400))+IF(W558="Y",SUMIF(Products!$E$5:$E$300,A558,Products!$G$5:$G$300),0))*(1+N(V558)))</f>
        <v>0</v>
      </c>
      <c r="AB558" s="22" t="n">
        <f aca="false">IF(F558&lt;&gt;"Y",0,((SUMIF(Products!$E$5:$E$300,A558,Products!$K$5:$K$300)+SUMIF(RM_Lots!$A$5:$A$400,A558,RM_Lots!$F$5:$F$400))+IF(W558="Y",SUMIF(Products!$E$5:$E$300,A558,Products!$L$5:$L$300),0))*(1+N(V558)))</f>
        <v>0</v>
      </c>
      <c r="AC558" s="17" t="n">
        <f aca="false">IF(J558="",1,MAX(1,COUNTIFS($J$5:$J$863,J558,$F$5:$F$863,"Y")))</f>
        <v>1</v>
      </c>
      <c r="AD558" s="18" t="n">
        <f aca="false">(MAX(1,N(I558))*(P558+N(S558))+MAX(1,N(I558))*N(K558)/(MAX(1,N(U558))*AC558))*Settings!$B$9</f>
        <v>0</v>
      </c>
      <c r="AE558" s="18" t="n">
        <f aca="false">(MAX(1,N(I558))*N(Q558)+MAX(1,N(I558))*N(L558)/(MAX(1,N(U558))*AC558))*Settings!$B$8</f>
        <v>0</v>
      </c>
      <c r="AF558" s="18" t="n">
        <f aca="false">MAX(1,N(I558))*N(T558)</f>
        <v>0</v>
      </c>
      <c r="AG558" s="15" t="n">
        <f aca="false">AA558*N(AD558)</f>
        <v>0</v>
      </c>
      <c r="AH558" s="15" t="n">
        <f aca="false">AA558*N(AE558)</f>
        <v>0</v>
      </c>
      <c r="AI558" s="15" t="n">
        <f aca="false">AA558*N(AF558)</f>
        <v>0</v>
      </c>
      <c r="AJ558" s="15" t="n">
        <f aca="false">AA558*N(R558)</f>
        <v>0</v>
      </c>
      <c r="AK558" s="15" t="n">
        <f aca="false">AB558*N(AD558)</f>
        <v>0</v>
      </c>
      <c r="AL558" s="15" t="n">
        <f aca="false">AB558*N(AE558)</f>
        <v>0</v>
      </c>
      <c r="AM558" s="15" t="n">
        <f aca="false">AB558*N(AF558)</f>
        <v>0</v>
      </c>
      <c r="AN558" s="15" t="n">
        <f aca="false">AB558*N(R558)</f>
        <v>0</v>
      </c>
      <c r="AO558" s="21" t="str">
        <f aca="false">IF(F558&lt;&gt;"Y","n/a",IF(AND(N558&lt;&gt;"",OR(Q558&lt;&gt;"",G558="Other / bench",G558="None"),U558&lt;&gt;""),"OK","Missing"))</f>
        <v>Missing</v>
      </c>
    </row>
    <row r="559" customFormat="false" ht="15" hidden="false" customHeight="false" outlineLevel="0" collapsed="false">
      <c r="A559" s="10" t="s">
        <v>500</v>
      </c>
      <c r="B559" s="10" t="s">
        <v>740</v>
      </c>
      <c r="C559" s="10" t="s">
        <v>437</v>
      </c>
      <c r="D559" s="10" t="s">
        <v>742</v>
      </c>
      <c r="E559" s="21" t="str">
        <f aca="false">IF(A559="","",A559&amp;"|"&amp;D559)</f>
        <v>Sodium Selenate Anhydrous|Other compendial tests (ID, LOD/KF, heavy metals...)</v>
      </c>
      <c r="F559" s="16" t="s">
        <v>662</v>
      </c>
      <c r="G559" s="16" t="s">
        <v>670</v>
      </c>
      <c r="H559" s="16" t="s">
        <v>672</v>
      </c>
      <c r="I559" s="16" t="n">
        <v>1</v>
      </c>
      <c r="J559" s="16"/>
      <c r="K559" s="14"/>
      <c r="L559" s="14"/>
      <c r="M559" s="14"/>
      <c r="N559" s="14"/>
      <c r="O559" s="14"/>
      <c r="P559" s="18" t="n">
        <f aca="false">IF(N559="",0,IF(OR(M559="",O559=""),N559,(M559+4*N559+O559)/6))</f>
        <v>0</v>
      </c>
      <c r="Q559" s="14"/>
      <c r="R559" s="14"/>
      <c r="S559" s="14"/>
      <c r="T559" s="14"/>
      <c r="U559" s="16"/>
      <c r="V559" s="13"/>
      <c r="W559" s="16" t="s">
        <v>667</v>
      </c>
      <c r="X559" s="16"/>
      <c r="Y559" s="16"/>
      <c r="Z559" s="16"/>
      <c r="AA559" s="22" t="n">
        <f aca="false">IF(F559&lt;&gt;"Y",0,((SUMIF(Products!$E$5:$E$300,A559,Products!$F$5:$F$300)+SUMIF(RM_Lots!$A$5:$A$400,A559,RM_Lots!$D$5:$D$400))+IF(W559="Y",SUMIF(Products!$E$5:$E$300,A559,Products!$G$5:$G$300),0))*(1+N(V559)))</f>
        <v>0</v>
      </c>
      <c r="AB559" s="22" t="n">
        <f aca="false">IF(F559&lt;&gt;"Y",0,((SUMIF(Products!$E$5:$E$300,A559,Products!$K$5:$K$300)+SUMIF(RM_Lots!$A$5:$A$400,A559,RM_Lots!$F$5:$F$400))+IF(W559="Y",SUMIF(Products!$E$5:$E$300,A559,Products!$L$5:$L$300),0))*(1+N(V559)))</f>
        <v>0</v>
      </c>
      <c r="AC559" s="17" t="n">
        <f aca="false">IF(J559="",1,MAX(1,COUNTIFS($J$5:$J$863,J559,$F$5:$F$863,"Y")))</f>
        <v>1</v>
      </c>
      <c r="AD559" s="18" t="n">
        <f aca="false">(MAX(1,N(I559))*(P559+N(S559))+MAX(1,N(I559))*N(K559)/(MAX(1,N(U559))*AC559))*Settings!$B$9</f>
        <v>0</v>
      </c>
      <c r="AE559" s="18" t="n">
        <f aca="false">(MAX(1,N(I559))*N(Q559)+MAX(1,N(I559))*N(L559)/(MAX(1,N(U559))*AC559))*Settings!$B$8</f>
        <v>0</v>
      </c>
      <c r="AF559" s="18" t="n">
        <f aca="false">MAX(1,N(I559))*N(T559)</f>
        <v>0</v>
      </c>
      <c r="AG559" s="15" t="n">
        <f aca="false">AA559*N(AD559)</f>
        <v>0</v>
      </c>
      <c r="AH559" s="15" t="n">
        <f aca="false">AA559*N(AE559)</f>
        <v>0</v>
      </c>
      <c r="AI559" s="15" t="n">
        <f aca="false">AA559*N(AF559)</f>
        <v>0</v>
      </c>
      <c r="AJ559" s="15" t="n">
        <f aca="false">AA559*N(R559)</f>
        <v>0</v>
      </c>
      <c r="AK559" s="15" t="n">
        <f aca="false">AB559*N(AD559)</f>
        <v>0</v>
      </c>
      <c r="AL559" s="15" t="n">
        <f aca="false">AB559*N(AE559)</f>
        <v>0</v>
      </c>
      <c r="AM559" s="15" t="n">
        <f aca="false">AB559*N(AF559)</f>
        <v>0</v>
      </c>
      <c r="AN559" s="15" t="n">
        <f aca="false">AB559*N(R559)</f>
        <v>0</v>
      </c>
      <c r="AO559" s="21" t="str">
        <f aca="false">IF(F559&lt;&gt;"Y","n/a",IF(AND(N559&lt;&gt;"",OR(Q559&lt;&gt;"",G559="Other / bench",G559="None"),U559&lt;&gt;""),"OK","Missing"))</f>
        <v>Missing</v>
      </c>
    </row>
    <row r="560" customFormat="false" ht="15" hidden="false" customHeight="false" outlineLevel="0" collapsed="false">
      <c r="A560" s="10" t="s">
        <v>501</v>
      </c>
      <c r="B560" s="10" t="s">
        <v>740</v>
      </c>
      <c r="C560" s="10" t="s">
        <v>437</v>
      </c>
      <c r="D560" s="10" t="s">
        <v>741</v>
      </c>
      <c r="E560" s="21" t="str">
        <f aca="false">IF(A560="","",A560&amp;"|"&amp;D560)</f>
        <v>Sodium Selenite|Assay + related substances</v>
      </c>
      <c r="F560" s="16" t="s">
        <v>662</v>
      </c>
      <c r="G560" s="16" t="s">
        <v>147</v>
      </c>
      <c r="H560" s="16" t="s">
        <v>663</v>
      </c>
      <c r="I560" s="16" t="n">
        <v>1</v>
      </c>
      <c r="J560" s="16"/>
      <c r="K560" s="14"/>
      <c r="L560" s="14"/>
      <c r="M560" s="14"/>
      <c r="N560" s="14"/>
      <c r="O560" s="14"/>
      <c r="P560" s="18" t="n">
        <f aca="false">IF(N560="",0,IF(OR(M560="",O560=""),N560,(M560+4*N560+O560)/6))</f>
        <v>0</v>
      </c>
      <c r="Q560" s="14"/>
      <c r="R560" s="14"/>
      <c r="S560" s="14"/>
      <c r="T560" s="14"/>
      <c r="U560" s="16"/>
      <c r="V560" s="13"/>
      <c r="W560" s="16" t="s">
        <v>667</v>
      </c>
      <c r="X560" s="16"/>
      <c r="Y560" s="16"/>
      <c r="Z560" s="16"/>
      <c r="AA560" s="22" t="n">
        <f aca="false">IF(F560&lt;&gt;"Y",0,((SUMIF(Products!$E$5:$E$300,A560,Products!$F$5:$F$300)+SUMIF(RM_Lots!$A$5:$A$400,A560,RM_Lots!$D$5:$D$400))+IF(W560="Y",SUMIF(Products!$E$5:$E$300,A560,Products!$G$5:$G$300),0))*(1+N(V560)))</f>
        <v>0</v>
      </c>
      <c r="AB560" s="22" t="n">
        <f aca="false">IF(F560&lt;&gt;"Y",0,((SUMIF(Products!$E$5:$E$300,A560,Products!$K$5:$K$300)+SUMIF(RM_Lots!$A$5:$A$400,A560,RM_Lots!$F$5:$F$400))+IF(W560="Y",SUMIF(Products!$E$5:$E$300,A560,Products!$L$5:$L$300),0))*(1+N(V560)))</f>
        <v>0</v>
      </c>
      <c r="AC560" s="17" t="n">
        <f aca="false">IF(J560="",1,MAX(1,COUNTIFS($J$5:$J$863,J560,$F$5:$F$863,"Y")))</f>
        <v>1</v>
      </c>
      <c r="AD560" s="18" t="n">
        <f aca="false">(MAX(1,N(I560))*(P560+N(S560))+MAX(1,N(I560))*N(K560)/(MAX(1,N(U560))*AC560))*Settings!$B$9</f>
        <v>0</v>
      </c>
      <c r="AE560" s="18" t="n">
        <f aca="false">(MAX(1,N(I560))*N(Q560)+MAX(1,N(I560))*N(L560)/(MAX(1,N(U560))*AC560))*Settings!$B$8</f>
        <v>0</v>
      </c>
      <c r="AF560" s="18" t="n">
        <f aca="false">MAX(1,N(I560))*N(T560)</f>
        <v>0</v>
      </c>
      <c r="AG560" s="15" t="n">
        <f aca="false">AA560*N(AD560)</f>
        <v>0</v>
      </c>
      <c r="AH560" s="15" t="n">
        <f aca="false">AA560*N(AE560)</f>
        <v>0</v>
      </c>
      <c r="AI560" s="15" t="n">
        <f aca="false">AA560*N(AF560)</f>
        <v>0</v>
      </c>
      <c r="AJ560" s="15" t="n">
        <f aca="false">AA560*N(R560)</f>
        <v>0</v>
      </c>
      <c r="AK560" s="15" t="n">
        <f aca="false">AB560*N(AD560)</f>
        <v>0</v>
      </c>
      <c r="AL560" s="15" t="n">
        <f aca="false">AB560*N(AE560)</f>
        <v>0</v>
      </c>
      <c r="AM560" s="15" t="n">
        <f aca="false">AB560*N(AF560)</f>
        <v>0</v>
      </c>
      <c r="AN560" s="15" t="n">
        <f aca="false">AB560*N(R560)</f>
        <v>0</v>
      </c>
      <c r="AO560" s="21" t="str">
        <f aca="false">IF(F560&lt;&gt;"Y","n/a",IF(AND(N560&lt;&gt;"",OR(Q560&lt;&gt;"",G560="Other / bench",G560="None"),U560&lt;&gt;""),"OK","Missing"))</f>
        <v>Missing</v>
      </c>
    </row>
    <row r="561" customFormat="false" ht="15" hidden="false" customHeight="false" outlineLevel="0" collapsed="false">
      <c r="A561" s="10" t="s">
        <v>501</v>
      </c>
      <c r="B561" s="10" t="s">
        <v>740</v>
      </c>
      <c r="C561" s="10" t="s">
        <v>437</v>
      </c>
      <c r="D561" s="10" t="s">
        <v>742</v>
      </c>
      <c r="E561" s="21" t="str">
        <f aca="false">IF(A561="","",A561&amp;"|"&amp;D561)</f>
        <v>Sodium Selenite|Other compendial tests (ID, LOD/KF, heavy metals...)</v>
      </c>
      <c r="F561" s="16" t="s">
        <v>662</v>
      </c>
      <c r="G561" s="16" t="s">
        <v>670</v>
      </c>
      <c r="H561" s="16" t="s">
        <v>672</v>
      </c>
      <c r="I561" s="16" t="n">
        <v>1</v>
      </c>
      <c r="J561" s="16"/>
      <c r="K561" s="14"/>
      <c r="L561" s="14"/>
      <c r="M561" s="14"/>
      <c r="N561" s="14"/>
      <c r="O561" s="14"/>
      <c r="P561" s="18" t="n">
        <f aca="false">IF(N561="",0,IF(OR(M561="",O561=""),N561,(M561+4*N561+O561)/6))</f>
        <v>0</v>
      </c>
      <c r="Q561" s="14"/>
      <c r="R561" s="14"/>
      <c r="S561" s="14"/>
      <c r="T561" s="14"/>
      <c r="U561" s="16"/>
      <c r="V561" s="13"/>
      <c r="W561" s="16" t="s">
        <v>667</v>
      </c>
      <c r="X561" s="16"/>
      <c r="Y561" s="16"/>
      <c r="Z561" s="16"/>
      <c r="AA561" s="22" t="n">
        <f aca="false">IF(F561&lt;&gt;"Y",0,((SUMIF(Products!$E$5:$E$300,A561,Products!$F$5:$F$300)+SUMIF(RM_Lots!$A$5:$A$400,A561,RM_Lots!$D$5:$D$400))+IF(W561="Y",SUMIF(Products!$E$5:$E$300,A561,Products!$G$5:$G$300),0))*(1+N(V561)))</f>
        <v>0</v>
      </c>
      <c r="AB561" s="22" t="n">
        <f aca="false">IF(F561&lt;&gt;"Y",0,((SUMIF(Products!$E$5:$E$300,A561,Products!$K$5:$K$300)+SUMIF(RM_Lots!$A$5:$A$400,A561,RM_Lots!$F$5:$F$400))+IF(W561="Y",SUMIF(Products!$E$5:$E$300,A561,Products!$L$5:$L$300),0))*(1+N(V561)))</f>
        <v>0</v>
      </c>
      <c r="AC561" s="17" t="n">
        <f aca="false">IF(J561="",1,MAX(1,COUNTIFS($J$5:$J$863,J561,$F$5:$F$863,"Y")))</f>
        <v>1</v>
      </c>
      <c r="AD561" s="18" t="n">
        <f aca="false">(MAX(1,N(I561))*(P561+N(S561))+MAX(1,N(I561))*N(K561)/(MAX(1,N(U561))*AC561))*Settings!$B$9</f>
        <v>0</v>
      </c>
      <c r="AE561" s="18" t="n">
        <f aca="false">(MAX(1,N(I561))*N(Q561)+MAX(1,N(I561))*N(L561)/(MAX(1,N(U561))*AC561))*Settings!$B$8</f>
        <v>0</v>
      </c>
      <c r="AF561" s="18" t="n">
        <f aca="false">MAX(1,N(I561))*N(T561)</f>
        <v>0</v>
      </c>
      <c r="AG561" s="15" t="n">
        <f aca="false">AA561*N(AD561)</f>
        <v>0</v>
      </c>
      <c r="AH561" s="15" t="n">
        <f aca="false">AA561*N(AE561)</f>
        <v>0</v>
      </c>
      <c r="AI561" s="15" t="n">
        <f aca="false">AA561*N(AF561)</f>
        <v>0</v>
      </c>
      <c r="AJ561" s="15" t="n">
        <f aca="false">AA561*N(R561)</f>
        <v>0</v>
      </c>
      <c r="AK561" s="15" t="n">
        <f aca="false">AB561*N(AD561)</f>
        <v>0</v>
      </c>
      <c r="AL561" s="15" t="n">
        <f aca="false">AB561*N(AE561)</f>
        <v>0</v>
      </c>
      <c r="AM561" s="15" t="n">
        <f aca="false">AB561*N(AF561)</f>
        <v>0</v>
      </c>
      <c r="AN561" s="15" t="n">
        <f aca="false">AB561*N(R561)</f>
        <v>0</v>
      </c>
      <c r="AO561" s="21" t="str">
        <f aca="false">IF(F561&lt;&gt;"Y","n/a",IF(AND(N561&lt;&gt;"",OR(Q561&lt;&gt;"",G561="Other / bench",G561="None"),U561&lt;&gt;""),"OK","Missing"))</f>
        <v>Missing</v>
      </c>
    </row>
    <row r="562" customFormat="false" ht="15" hidden="false" customHeight="false" outlineLevel="0" collapsed="false">
      <c r="A562" s="10" t="s">
        <v>502</v>
      </c>
      <c r="B562" s="10" t="s">
        <v>740</v>
      </c>
      <c r="C562" s="10" t="s">
        <v>437</v>
      </c>
      <c r="D562" s="10" t="s">
        <v>741</v>
      </c>
      <c r="E562" s="21" t="str">
        <f aca="false">IF(A562="","",A562&amp;"|"&amp;D562)</f>
        <v>Taurine|Assay + related substances</v>
      </c>
      <c r="F562" s="16" t="s">
        <v>662</v>
      </c>
      <c r="G562" s="16" t="s">
        <v>147</v>
      </c>
      <c r="H562" s="16" t="s">
        <v>663</v>
      </c>
      <c r="I562" s="16" t="n">
        <v>1</v>
      </c>
      <c r="J562" s="16"/>
      <c r="K562" s="14"/>
      <c r="L562" s="14"/>
      <c r="M562" s="14"/>
      <c r="N562" s="14"/>
      <c r="O562" s="14"/>
      <c r="P562" s="18" t="n">
        <f aca="false">IF(N562="",0,IF(OR(M562="",O562=""),N562,(M562+4*N562+O562)/6))</f>
        <v>0</v>
      </c>
      <c r="Q562" s="14"/>
      <c r="R562" s="14"/>
      <c r="S562" s="14"/>
      <c r="T562" s="14"/>
      <c r="U562" s="16"/>
      <c r="V562" s="13"/>
      <c r="W562" s="16" t="s">
        <v>667</v>
      </c>
      <c r="X562" s="16"/>
      <c r="Y562" s="16"/>
      <c r="Z562" s="16"/>
      <c r="AA562" s="22" t="n">
        <f aca="false">IF(F562&lt;&gt;"Y",0,((SUMIF(Products!$E$5:$E$300,A562,Products!$F$5:$F$300)+SUMIF(RM_Lots!$A$5:$A$400,A562,RM_Lots!$D$5:$D$400))+IF(W562="Y",SUMIF(Products!$E$5:$E$300,A562,Products!$G$5:$G$300),0))*(1+N(V562)))</f>
        <v>0</v>
      </c>
      <c r="AB562" s="22" t="n">
        <f aca="false">IF(F562&lt;&gt;"Y",0,((SUMIF(Products!$E$5:$E$300,A562,Products!$K$5:$K$300)+SUMIF(RM_Lots!$A$5:$A$400,A562,RM_Lots!$F$5:$F$400))+IF(W562="Y",SUMIF(Products!$E$5:$E$300,A562,Products!$L$5:$L$300),0))*(1+N(V562)))</f>
        <v>0</v>
      </c>
      <c r="AC562" s="17" t="n">
        <f aca="false">IF(J562="",1,MAX(1,COUNTIFS($J$5:$J$863,J562,$F$5:$F$863,"Y")))</f>
        <v>1</v>
      </c>
      <c r="AD562" s="18" t="n">
        <f aca="false">(MAX(1,N(I562))*(P562+N(S562))+MAX(1,N(I562))*N(K562)/(MAX(1,N(U562))*AC562))*Settings!$B$9</f>
        <v>0</v>
      </c>
      <c r="AE562" s="18" t="n">
        <f aca="false">(MAX(1,N(I562))*N(Q562)+MAX(1,N(I562))*N(L562)/(MAX(1,N(U562))*AC562))*Settings!$B$8</f>
        <v>0</v>
      </c>
      <c r="AF562" s="18" t="n">
        <f aca="false">MAX(1,N(I562))*N(T562)</f>
        <v>0</v>
      </c>
      <c r="AG562" s="15" t="n">
        <f aca="false">AA562*N(AD562)</f>
        <v>0</v>
      </c>
      <c r="AH562" s="15" t="n">
        <f aca="false">AA562*N(AE562)</f>
        <v>0</v>
      </c>
      <c r="AI562" s="15" t="n">
        <f aca="false">AA562*N(AF562)</f>
        <v>0</v>
      </c>
      <c r="AJ562" s="15" t="n">
        <f aca="false">AA562*N(R562)</f>
        <v>0</v>
      </c>
      <c r="AK562" s="15" t="n">
        <f aca="false">AB562*N(AD562)</f>
        <v>0</v>
      </c>
      <c r="AL562" s="15" t="n">
        <f aca="false">AB562*N(AE562)</f>
        <v>0</v>
      </c>
      <c r="AM562" s="15" t="n">
        <f aca="false">AB562*N(AF562)</f>
        <v>0</v>
      </c>
      <c r="AN562" s="15" t="n">
        <f aca="false">AB562*N(R562)</f>
        <v>0</v>
      </c>
      <c r="AO562" s="21" t="str">
        <f aca="false">IF(F562&lt;&gt;"Y","n/a",IF(AND(N562&lt;&gt;"",OR(Q562&lt;&gt;"",G562="Other / bench",G562="None"),U562&lt;&gt;""),"OK","Missing"))</f>
        <v>Missing</v>
      </c>
    </row>
    <row r="563" customFormat="false" ht="15" hidden="false" customHeight="false" outlineLevel="0" collapsed="false">
      <c r="A563" s="10" t="s">
        <v>502</v>
      </c>
      <c r="B563" s="10" t="s">
        <v>740</v>
      </c>
      <c r="C563" s="10" t="s">
        <v>437</v>
      </c>
      <c r="D563" s="10" t="s">
        <v>742</v>
      </c>
      <c r="E563" s="21" t="str">
        <f aca="false">IF(A563="","",A563&amp;"|"&amp;D563)</f>
        <v>Taurine|Other compendial tests (ID, LOD/KF, heavy metals...)</v>
      </c>
      <c r="F563" s="16" t="s">
        <v>662</v>
      </c>
      <c r="G563" s="16" t="s">
        <v>670</v>
      </c>
      <c r="H563" s="16" t="s">
        <v>672</v>
      </c>
      <c r="I563" s="16" t="n">
        <v>1</v>
      </c>
      <c r="J563" s="16"/>
      <c r="K563" s="14"/>
      <c r="L563" s="14"/>
      <c r="M563" s="14"/>
      <c r="N563" s="14"/>
      <c r="O563" s="14"/>
      <c r="P563" s="18" t="n">
        <f aca="false">IF(N563="",0,IF(OR(M563="",O563=""),N563,(M563+4*N563+O563)/6))</f>
        <v>0</v>
      </c>
      <c r="Q563" s="14"/>
      <c r="R563" s="14"/>
      <c r="S563" s="14"/>
      <c r="T563" s="14"/>
      <c r="U563" s="16"/>
      <c r="V563" s="13"/>
      <c r="W563" s="16" t="s">
        <v>667</v>
      </c>
      <c r="X563" s="16"/>
      <c r="Y563" s="16"/>
      <c r="Z563" s="16"/>
      <c r="AA563" s="22" t="n">
        <f aca="false">IF(F563&lt;&gt;"Y",0,((SUMIF(Products!$E$5:$E$300,A563,Products!$F$5:$F$300)+SUMIF(RM_Lots!$A$5:$A$400,A563,RM_Lots!$D$5:$D$400))+IF(W563="Y",SUMIF(Products!$E$5:$E$300,A563,Products!$G$5:$G$300),0))*(1+N(V563)))</f>
        <v>0</v>
      </c>
      <c r="AB563" s="22" t="n">
        <f aca="false">IF(F563&lt;&gt;"Y",0,((SUMIF(Products!$E$5:$E$300,A563,Products!$K$5:$K$300)+SUMIF(RM_Lots!$A$5:$A$400,A563,RM_Lots!$F$5:$F$400))+IF(W563="Y",SUMIF(Products!$E$5:$E$300,A563,Products!$L$5:$L$300),0))*(1+N(V563)))</f>
        <v>0</v>
      </c>
      <c r="AC563" s="17" t="n">
        <f aca="false">IF(J563="",1,MAX(1,COUNTIFS($J$5:$J$863,J563,$F$5:$F$863,"Y")))</f>
        <v>1</v>
      </c>
      <c r="AD563" s="18" t="n">
        <f aca="false">(MAX(1,N(I563))*(P563+N(S563))+MAX(1,N(I563))*N(K563)/(MAX(1,N(U563))*AC563))*Settings!$B$9</f>
        <v>0</v>
      </c>
      <c r="AE563" s="18" t="n">
        <f aca="false">(MAX(1,N(I563))*N(Q563)+MAX(1,N(I563))*N(L563)/(MAX(1,N(U563))*AC563))*Settings!$B$8</f>
        <v>0</v>
      </c>
      <c r="AF563" s="18" t="n">
        <f aca="false">MAX(1,N(I563))*N(T563)</f>
        <v>0</v>
      </c>
      <c r="AG563" s="15" t="n">
        <f aca="false">AA563*N(AD563)</f>
        <v>0</v>
      </c>
      <c r="AH563" s="15" t="n">
        <f aca="false">AA563*N(AE563)</f>
        <v>0</v>
      </c>
      <c r="AI563" s="15" t="n">
        <f aca="false">AA563*N(AF563)</f>
        <v>0</v>
      </c>
      <c r="AJ563" s="15" t="n">
        <f aca="false">AA563*N(R563)</f>
        <v>0</v>
      </c>
      <c r="AK563" s="15" t="n">
        <f aca="false">AB563*N(AD563)</f>
        <v>0</v>
      </c>
      <c r="AL563" s="15" t="n">
        <f aca="false">AB563*N(AE563)</f>
        <v>0</v>
      </c>
      <c r="AM563" s="15" t="n">
        <f aca="false">AB563*N(AF563)</f>
        <v>0</v>
      </c>
      <c r="AN563" s="15" t="n">
        <f aca="false">AB563*N(R563)</f>
        <v>0</v>
      </c>
      <c r="AO563" s="21" t="str">
        <f aca="false">IF(F563&lt;&gt;"Y","n/a",IF(AND(N563&lt;&gt;"",OR(Q563&lt;&gt;"",G563="Other / bench",G563="None"),U563&lt;&gt;""),"OK","Missing"))</f>
        <v>Missing</v>
      </c>
    </row>
    <row r="564" customFormat="false" ht="15" hidden="false" customHeight="false" outlineLevel="0" collapsed="false">
      <c r="A564" s="10" t="s">
        <v>209</v>
      </c>
      <c r="B564" s="10" t="s">
        <v>740</v>
      </c>
      <c r="C564" s="10" t="s">
        <v>437</v>
      </c>
      <c r="D564" s="10" t="s">
        <v>741</v>
      </c>
      <c r="E564" s="21" t="str">
        <f aca="false">IF(A564="","",A564&amp;"|"&amp;D564)</f>
        <v>Telmisartan|Assay + related substances</v>
      </c>
      <c r="F564" s="16" t="s">
        <v>662</v>
      </c>
      <c r="G564" s="16" t="s">
        <v>147</v>
      </c>
      <c r="H564" s="16" t="s">
        <v>663</v>
      </c>
      <c r="I564" s="16" t="n">
        <v>1</v>
      </c>
      <c r="J564" s="16"/>
      <c r="K564" s="14"/>
      <c r="L564" s="14"/>
      <c r="M564" s="14"/>
      <c r="N564" s="14"/>
      <c r="O564" s="14"/>
      <c r="P564" s="18" t="n">
        <f aca="false">IF(N564="",0,IF(OR(M564="",O564=""),N564,(M564+4*N564+O564)/6))</f>
        <v>0</v>
      </c>
      <c r="Q564" s="14"/>
      <c r="R564" s="14"/>
      <c r="S564" s="14"/>
      <c r="T564" s="14"/>
      <c r="U564" s="16"/>
      <c r="V564" s="13"/>
      <c r="W564" s="16" t="s">
        <v>667</v>
      </c>
      <c r="X564" s="16"/>
      <c r="Y564" s="16"/>
      <c r="Z564" s="16"/>
      <c r="AA564" s="22" t="n">
        <f aca="false">IF(F564&lt;&gt;"Y",0,((SUMIF(Products!$E$5:$E$300,A564,Products!$F$5:$F$300)+SUMIF(RM_Lots!$A$5:$A$400,A564,RM_Lots!$D$5:$D$400))+IF(W564="Y",SUMIF(Products!$E$5:$E$300,A564,Products!$G$5:$G$300),0))*(1+N(V564)))</f>
        <v>0</v>
      </c>
      <c r="AB564" s="22" t="n">
        <f aca="false">IF(F564&lt;&gt;"Y",0,((SUMIF(Products!$E$5:$E$300,A564,Products!$K$5:$K$300)+SUMIF(RM_Lots!$A$5:$A$400,A564,RM_Lots!$F$5:$F$400))+IF(W564="Y",SUMIF(Products!$E$5:$E$300,A564,Products!$L$5:$L$300),0))*(1+N(V564)))</f>
        <v>0</v>
      </c>
      <c r="AC564" s="17" t="n">
        <f aca="false">IF(J564="",1,MAX(1,COUNTIFS($J$5:$J$863,J564,$F$5:$F$863,"Y")))</f>
        <v>1</v>
      </c>
      <c r="AD564" s="18" t="n">
        <f aca="false">(MAX(1,N(I564))*(P564+N(S564))+MAX(1,N(I564))*N(K564)/(MAX(1,N(U564))*AC564))*Settings!$B$9</f>
        <v>0</v>
      </c>
      <c r="AE564" s="18" t="n">
        <f aca="false">(MAX(1,N(I564))*N(Q564)+MAX(1,N(I564))*N(L564)/(MAX(1,N(U564))*AC564))*Settings!$B$8</f>
        <v>0</v>
      </c>
      <c r="AF564" s="18" t="n">
        <f aca="false">MAX(1,N(I564))*N(T564)</f>
        <v>0</v>
      </c>
      <c r="AG564" s="15" t="n">
        <f aca="false">AA564*N(AD564)</f>
        <v>0</v>
      </c>
      <c r="AH564" s="15" t="n">
        <f aca="false">AA564*N(AE564)</f>
        <v>0</v>
      </c>
      <c r="AI564" s="15" t="n">
        <f aca="false">AA564*N(AF564)</f>
        <v>0</v>
      </c>
      <c r="AJ564" s="15" t="n">
        <f aca="false">AA564*N(R564)</f>
        <v>0</v>
      </c>
      <c r="AK564" s="15" t="n">
        <f aca="false">AB564*N(AD564)</f>
        <v>0</v>
      </c>
      <c r="AL564" s="15" t="n">
        <f aca="false">AB564*N(AE564)</f>
        <v>0</v>
      </c>
      <c r="AM564" s="15" t="n">
        <f aca="false">AB564*N(AF564)</f>
        <v>0</v>
      </c>
      <c r="AN564" s="15" t="n">
        <f aca="false">AB564*N(R564)</f>
        <v>0</v>
      </c>
      <c r="AO564" s="21" t="str">
        <f aca="false">IF(F564&lt;&gt;"Y","n/a",IF(AND(N564&lt;&gt;"",OR(Q564&lt;&gt;"",G564="Other / bench",G564="None"),U564&lt;&gt;""),"OK","Missing"))</f>
        <v>Missing</v>
      </c>
    </row>
    <row r="565" customFormat="false" ht="15" hidden="false" customHeight="false" outlineLevel="0" collapsed="false">
      <c r="A565" s="10" t="s">
        <v>209</v>
      </c>
      <c r="B565" s="10" t="s">
        <v>740</v>
      </c>
      <c r="C565" s="10" t="s">
        <v>437</v>
      </c>
      <c r="D565" s="10" t="s">
        <v>742</v>
      </c>
      <c r="E565" s="21" t="str">
        <f aca="false">IF(A565="","",A565&amp;"|"&amp;D565)</f>
        <v>Telmisartan|Other compendial tests (ID, LOD/KF, heavy metals...)</v>
      </c>
      <c r="F565" s="16" t="s">
        <v>662</v>
      </c>
      <c r="G565" s="16" t="s">
        <v>670</v>
      </c>
      <c r="H565" s="16" t="s">
        <v>672</v>
      </c>
      <c r="I565" s="16" t="n">
        <v>1</v>
      </c>
      <c r="J565" s="16"/>
      <c r="K565" s="14"/>
      <c r="L565" s="14"/>
      <c r="M565" s="14"/>
      <c r="N565" s="14"/>
      <c r="O565" s="14"/>
      <c r="P565" s="18" t="n">
        <f aca="false">IF(N565="",0,IF(OR(M565="",O565=""),N565,(M565+4*N565+O565)/6))</f>
        <v>0</v>
      </c>
      <c r="Q565" s="14"/>
      <c r="R565" s="14"/>
      <c r="S565" s="14"/>
      <c r="T565" s="14"/>
      <c r="U565" s="16"/>
      <c r="V565" s="13"/>
      <c r="W565" s="16" t="s">
        <v>667</v>
      </c>
      <c r="X565" s="16"/>
      <c r="Y565" s="16"/>
      <c r="Z565" s="16"/>
      <c r="AA565" s="22" t="n">
        <f aca="false">IF(F565&lt;&gt;"Y",0,((SUMIF(Products!$E$5:$E$300,A565,Products!$F$5:$F$300)+SUMIF(RM_Lots!$A$5:$A$400,A565,RM_Lots!$D$5:$D$400))+IF(W565="Y",SUMIF(Products!$E$5:$E$300,A565,Products!$G$5:$G$300),0))*(1+N(V565)))</f>
        <v>0</v>
      </c>
      <c r="AB565" s="22" t="n">
        <f aca="false">IF(F565&lt;&gt;"Y",0,((SUMIF(Products!$E$5:$E$300,A565,Products!$K$5:$K$300)+SUMIF(RM_Lots!$A$5:$A$400,A565,RM_Lots!$F$5:$F$400))+IF(W565="Y",SUMIF(Products!$E$5:$E$300,A565,Products!$L$5:$L$300),0))*(1+N(V565)))</f>
        <v>0</v>
      </c>
      <c r="AC565" s="17" t="n">
        <f aca="false">IF(J565="",1,MAX(1,COUNTIFS($J$5:$J$863,J565,$F$5:$F$863,"Y")))</f>
        <v>1</v>
      </c>
      <c r="AD565" s="18" t="n">
        <f aca="false">(MAX(1,N(I565))*(P565+N(S565))+MAX(1,N(I565))*N(K565)/(MAX(1,N(U565))*AC565))*Settings!$B$9</f>
        <v>0</v>
      </c>
      <c r="AE565" s="18" t="n">
        <f aca="false">(MAX(1,N(I565))*N(Q565)+MAX(1,N(I565))*N(L565)/(MAX(1,N(U565))*AC565))*Settings!$B$8</f>
        <v>0</v>
      </c>
      <c r="AF565" s="18" t="n">
        <f aca="false">MAX(1,N(I565))*N(T565)</f>
        <v>0</v>
      </c>
      <c r="AG565" s="15" t="n">
        <f aca="false">AA565*N(AD565)</f>
        <v>0</v>
      </c>
      <c r="AH565" s="15" t="n">
        <f aca="false">AA565*N(AE565)</f>
        <v>0</v>
      </c>
      <c r="AI565" s="15" t="n">
        <f aca="false">AA565*N(AF565)</f>
        <v>0</v>
      </c>
      <c r="AJ565" s="15" t="n">
        <f aca="false">AA565*N(R565)</f>
        <v>0</v>
      </c>
      <c r="AK565" s="15" t="n">
        <f aca="false">AB565*N(AD565)</f>
        <v>0</v>
      </c>
      <c r="AL565" s="15" t="n">
        <f aca="false">AB565*N(AE565)</f>
        <v>0</v>
      </c>
      <c r="AM565" s="15" t="n">
        <f aca="false">AB565*N(AF565)</f>
        <v>0</v>
      </c>
      <c r="AN565" s="15" t="n">
        <f aca="false">AB565*N(R565)</f>
        <v>0</v>
      </c>
      <c r="AO565" s="21" t="str">
        <f aca="false">IF(F565&lt;&gt;"Y","n/a",IF(AND(N565&lt;&gt;"",OR(Q565&lt;&gt;"",G565="Other / bench",G565="None"),U565&lt;&gt;""),"OK","Missing"))</f>
        <v>Missing</v>
      </c>
    </row>
    <row r="566" customFormat="false" ht="15" hidden="false" customHeight="false" outlineLevel="0" collapsed="false">
      <c r="A566" s="10" t="s">
        <v>503</v>
      </c>
      <c r="B566" s="10" t="s">
        <v>740</v>
      </c>
      <c r="C566" s="10" t="s">
        <v>437</v>
      </c>
      <c r="D566" s="10" t="s">
        <v>741</v>
      </c>
      <c r="E566" s="21" t="str">
        <f aca="false">IF(A566="","",A566&amp;"|"&amp;D566)</f>
        <v>Thiamine Hydrochloride (Vitamin B1)|Assay + related substances</v>
      </c>
      <c r="F566" s="16" t="s">
        <v>662</v>
      </c>
      <c r="G566" s="16" t="s">
        <v>147</v>
      </c>
      <c r="H566" s="16" t="s">
        <v>663</v>
      </c>
      <c r="I566" s="16" t="n">
        <v>1</v>
      </c>
      <c r="J566" s="16"/>
      <c r="K566" s="14"/>
      <c r="L566" s="14"/>
      <c r="M566" s="14"/>
      <c r="N566" s="14"/>
      <c r="O566" s="14"/>
      <c r="P566" s="18" t="n">
        <f aca="false">IF(N566="",0,IF(OR(M566="",O566=""),N566,(M566+4*N566+O566)/6))</f>
        <v>0</v>
      </c>
      <c r="Q566" s="14"/>
      <c r="R566" s="14"/>
      <c r="S566" s="14"/>
      <c r="T566" s="14"/>
      <c r="U566" s="16"/>
      <c r="V566" s="13"/>
      <c r="W566" s="16" t="s">
        <v>667</v>
      </c>
      <c r="X566" s="16"/>
      <c r="Y566" s="16"/>
      <c r="Z566" s="16"/>
      <c r="AA566" s="22" t="n">
        <f aca="false">IF(F566&lt;&gt;"Y",0,((SUMIF(Products!$E$5:$E$300,A566,Products!$F$5:$F$300)+SUMIF(RM_Lots!$A$5:$A$400,A566,RM_Lots!$D$5:$D$400))+IF(W566="Y",SUMIF(Products!$E$5:$E$300,A566,Products!$G$5:$G$300),0))*(1+N(V566)))</f>
        <v>0</v>
      </c>
      <c r="AB566" s="22" t="n">
        <f aca="false">IF(F566&lt;&gt;"Y",0,((SUMIF(Products!$E$5:$E$300,A566,Products!$K$5:$K$300)+SUMIF(RM_Lots!$A$5:$A$400,A566,RM_Lots!$F$5:$F$400))+IF(W566="Y",SUMIF(Products!$E$5:$E$300,A566,Products!$L$5:$L$300),0))*(1+N(V566)))</f>
        <v>0</v>
      </c>
      <c r="AC566" s="17" t="n">
        <f aca="false">IF(J566="",1,MAX(1,COUNTIFS($J$5:$J$863,J566,$F$5:$F$863,"Y")))</f>
        <v>1</v>
      </c>
      <c r="AD566" s="18" t="n">
        <f aca="false">(MAX(1,N(I566))*(P566+N(S566))+MAX(1,N(I566))*N(K566)/(MAX(1,N(U566))*AC566))*Settings!$B$9</f>
        <v>0</v>
      </c>
      <c r="AE566" s="18" t="n">
        <f aca="false">(MAX(1,N(I566))*N(Q566)+MAX(1,N(I566))*N(L566)/(MAX(1,N(U566))*AC566))*Settings!$B$8</f>
        <v>0</v>
      </c>
      <c r="AF566" s="18" t="n">
        <f aca="false">MAX(1,N(I566))*N(T566)</f>
        <v>0</v>
      </c>
      <c r="AG566" s="15" t="n">
        <f aca="false">AA566*N(AD566)</f>
        <v>0</v>
      </c>
      <c r="AH566" s="15" t="n">
        <f aca="false">AA566*N(AE566)</f>
        <v>0</v>
      </c>
      <c r="AI566" s="15" t="n">
        <f aca="false">AA566*N(AF566)</f>
        <v>0</v>
      </c>
      <c r="AJ566" s="15" t="n">
        <f aca="false">AA566*N(R566)</f>
        <v>0</v>
      </c>
      <c r="AK566" s="15" t="n">
        <f aca="false">AB566*N(AD566)</f>
        <v>0</v>
      </c>
      <c r="AL566" s="15" t="n">
        <f aca="false">AB566*N(AE566)</f>
        <v>0</v>
      </c>
      <c r="AM566" s="15" t="n">
        <f aca="false">AB566*N(AF566)</f>
        <v>0</v>
      </c>
      <c r="AN566" s="15" t="n">
        <f aca="false">AB566*N(R566)</f>
        <v>0</v>
      </c>
      <c r="AO566" s="21" t="str">
        <f aca="false">IF(F566&lt;&gt;"Y","n/a",IF(AND(N566&lt;&gt;"",OR(Q566&lt;&gt;"",G566="Other / bench",G566="None"),U566&lt;&gt;""),"OK","Missing"))</f>
        <v>Missing</v>
      </c>
    </row>
    <row r="567" customFormat="false" ht="15" hidden="false" customHeight="false" outlineLevel="0" collapsed="false">
      <c r="A567" s="10" t="s">
        <v>503</v>
      </c>
      <c r="B567" s="10" t="s">
        <v>740</v>
      </c>
      <c r="C567" s="10" t="s">
        <v>437</v>
      </c>
      <c r="D567" s="10" t="s">
        <v>742</v>
      </c>
      <c r="E567" s="21" t="str">
        <f aca="false">IF(A567="","",A567&amp;"|"&amp;D567)</f>
        <v>Thiamine Hydrochloride (Vitamin B1)|Other compendial tests (ID, LOD/KF, heavy metals...)</v>
      </c>
      <c r="F567" s="16" t="s">
        <v>662</v>
      </c>
      <c r="G567" s="16" t="s">
        <v>670</v>
      </c>
      <c r="H567" s="16" t="s">
        <v>672</v>
      </c>
      <c r="I567" s="16" t="n">
        <v>1</v>
      </c>
      <c r="J567" s="16"/>
      <c r="K567" s="14"/>
      <c r="L567" s="14"/>
      <c r="M567" s="14"/>
      <c r="N567" s="14"/>
      <c r="O567" s="14"/>
      <c r="P567" s="18" t="n">
        <f aca="false">IF(N567="",0,IF(OR(M567="",O567=""),N567,(M567+4*N567+O567)/6))</f>
        <v>0</v>
      </c>
      <c r="Q567" s="14"/>
      <c r="R567" s="14"/>
      <c r="S567" s="14"/>
      <c r="T567" s="14"/>
      <c r="U567" s="16"/>
      <c r="V567" s="13"/>
      <c r="W567" s="16" t="s">
        <v>667</v>
      </c>
      <c r="X567" s="16"/>
      <c r="Y567" s="16"/>
      <c r="Z567" s="16"/>
      <c r="AA567" s="22" t="n">
        <f aca="false">IF(F567&lt;&gt;"Y",0,((SUMIF(Products!$E$5:$E$300,A567,Products!$F$5:$F$300)+SUMIF(RM_Lots!$A$5:$A$400,A567,RM_Lots!$D$5:$D$400))+IF(W567="Y",SUMIF(Products!$E$5:$E$300,A567,Products!$G$5:$G$300),0))*(1+N(V567)))</f>
        <v>0</v>
      </c>
      <c r="AB567" s="22" t="n">
        <f aca="false">IF(F567&lt;&gt;"Y",0,((SUMIF(Products!$E$5:$E$300,A567,Products!$K$5:$K$300)+SUMIF(RM_Lots!$A$5:$A$400,A567,RM_Lots!$F$5:$F$400))+IF(W567="Y",SUMIF(Products!$E$5:$E$300,A567,Products!$L$5:$L$300),0))*(1+N(V567)))</f>
        <v>0</v>
      </c>
      <c r="AC567" s="17" t="n">
        <f aca="false">IF(J567="",1,MAX(1,COUNTIFS($J$5:$J$863,J567,$F$5:$F$863,"Y")))</f>
        <v>1</v>
      </c>
      <c r="AD567" s="18" t="n">
        <f aca="false">(MAX(1,N(I567))*(P567+N(S567))+MAX(1,N(I567))*N(K567)/(MAX(1,N(U567))*AC567))*Settings!$B$9</f>
        <v>0</v>
      </c>
      <c r="AE567" s="18" t="n">
        <f aca="false">(MAX(1,N(I567))*N(Q567)+MAX(1,N(I567))*N(L567)/(MAX(1,N(U567))*AC567))*Settings!$B$8</f>
        <v>0</v>
      </c>
      <c r="AF567" s="18" t="n">
        <f aca="false">MAX(1,N(I567))*N(T567)</f>
        <v>0</v>
      </c>
      <c r="AG567" s="15" t="n">
        <f aca="false">AA567*N(AD567)</f>
        <v>0</v>
      </c>
      <c r="AH567" s="15" t="n">
        <f aca="false">AA567*N(AE567)</f>
        <v>0</v>
      </c>
      <c r="AI567" s="15" t="n">
        <f aca="false">AA567*N(AF567)</f>
        <v>0</v>
      </c>
      <c r="AJ567" s="15" t="n">
        <f aca="false">AA567*N(R567)</f>
        <v>0</v>
      </c>
      <c r="AK567" s="15" t="n">
        <f aca="false">AB567*N(AD567)</f>
        <v>0</v>
      </c>
      <c r="AL567" s="15" t="n">
        <f aca="false">AB567*N(AE567)</f>
        <v>0</v>
      </c>
      <c r="AM567" s="15" t="n">
        <f aca="false">AB567*N(AF567)</f>
        <v>0</v>
      </c>
      <c r="AN567" s="15" t="n">
        <f aca="false">AB567*N(R567)</f>
        <v>0</v>
      </c>
      <c r="AO567" s="21" t="str">
        <f aca="false">IF(F567&lt;&gt;"Y","n/a",IF(AND(N567&lt;&gt;"",OR(Q567&lt;&gt;"",G567="Other / bench",G567="None"),U567&lt;&gt;""),"OK","Missing"))</f>
        <v>Missing</v>
      </c>
    </row>
    <row r="568" customFormat="false" ht="15" hidden="false" customHeight="false" outlineLevel="0" collapsed="false">
      <c r="A568" s="10" t="s">
        <v>504</v>
      </c>
      <c r="B568" s="10" t="s">
        <v>740</v>
      </c>
      <c r="C568" s="10" t="s">
        <v>437</v>
      </c>
      <c r="D568" s="10" t="s">
        <v>741</v>
      </c>
      <c r="E568" s="21" t="str">
        <f aca="false">IF(A568="","",A568&amp;"|"&amp;D568)</f>
        <v>Tribulus Terrestris Dry Extract 50:1|Assay + related substances</v>
      </c>
      <c r="F568" s="16" t="s">
        <v>662</v>
      </c>
      <c r="G568" s="16" t="s">
        <v>147</v>
      </c>
      <c r="H568" s="16" t="s">
        <v>663</v>
      </c>
      <c r="I568" s="16" t="n">
        <v>1</v>
      </c>
      <c r="J568" s="16"/>
      <c r="K568" s="14"/>
      <c r="L568" s="14"/>
      <c r="M568" s="14"/>
      <c r="N568" s="14"/>
      <c r="O568" s="14"/>
      <c r="P568" s="18" t="n">
        <f aca="false">IF(N568="",0,IF(OR(M568="",O568=""),N568,(M568+4*N568+O568)/6))</f>
        <v>0</v>
      </c>
      <c r="Q568" s="14"/>
      <c r="R568" s="14"/>
      <c r="S568" s="14"/>
      <c r="T568" s="14"/>
      <c r="U568" s="16"/>
      <c r="V568" s="13"/>
      <c r="W568" s="16" t="s">
        <v>667</v>
      </c>
      <c r="X568" s="16"/>
      <c r="Y568" s="16"/>
      <c r="Z568" s="16"/>
      <c r="AA568" s="22" t="n">
        <f aca="false">IF(F568&lt;&gt;"Y",0,((SUMIF(Products!$E$5:$E$300,A568,Products!$F$5:$F$300)+SUMIF(RM_Lots!$A$5:$A$400,A568,RM_Lots!$D$5:$D$400))+IF(W568="Y",SUMIF(Products!$E$5:$E$300,A568,Products!$G$5:$G$300),0))*(1+N(V568)))</f>
        <v>0</v>
      </c>
      <c r="AB568" s="22" t="n">
        <f aca="false">IF(F568&lt;&gt;"Y",0,((SUMIF(Products!$E$5:$E$300,A568,Products!$K$5:$K$300)+SUMIF(RM_Lots!$A$5:$A$400,A568,RM_Lots!$F$5:$F$400))+IF(W568="Y",SUMIF(Products!$E$5:$E$300,A568,Products!$L$5:$L$300),0))*(1+N(V568)))</f>
        <v>0</v>
      </c>
      <c r="AC568" s="17" t="n">
        <f aca="false">IF(J568="",1,MAX(1,COUNTIFS($J$5:$J$863,J568,$F$5:$F$863,"Y")))</f>
        <v>1</v>
      </c>
      <c r="AD568" s="18" t="n">
        <f aca="false">(MAX(1,N(I568))*(P568+N(S568))+MAX(1,N(I568))*N(K568)/(MAX(1,N(U568))*AC568))*Settings!$B$9</f>
        <v>0</v>
      </c>
      <c r="AE568" s="18" t="n">
        <f aca="false">(MAX(1,N(I568))*N(Q568)+MAX(1,N(I568))*N(L568)/(MAX(1,N(U568))*AC568))*Settings!$B$8</f>
        <v>0</v>
      </c>
      <c r="AF568" s="18" t="n">
        <f aca="false">MAX(1,N(I568))*N(T568)</f>
        <v>0</v>
      </c>
      <c r="AG568" s="15" t="n">
        <f aca="false">AA568*N(AD568)</f>
        <v>0</v>
      </c>
      <c r="AH568" s="15" t="n">
        <f aca="false">AA568*N(AE568)</f>
        <v>0</v>
      </c>
      <c r="AI568" s="15" t="n">
        <f aca="false">AA568*N(AF568)</f>
        <v>0</v>
      </c>
      <c r="AJ568" s="15" t="n">
        <f aca="false">AA568*N(R568)</f>
        <v>0</v>
      </c>
      <c r="AK568" s="15" t="n">
        <f aca="false">AB568*N(AD568)</f>
        <v>0</v>
      </c>
      <c r="AL568" s="15" t="n">
        <f aca="false">AB568*N(AE568)</f>
        <v>0</v>
      </c>
      <c r="AM568" s="15" t="n">
        <f aca="false">AB568*N(AF568)</f>
        <v>0</v>
      </c>
      <c r="AN568" s="15" t="n">
        <f aca="false">AB568*N(R568)</f>
        <v>0</v>
      </c>
      <c r="AO568" s="21" t="str">
        <f aca="false">IF(F568&lt;&gt;"Y","n/a",IF(AND(N568&lt;&gt;"",OR(Q568&lt;&gt;"",G568="Other / bench",G568="None"),U568&lt;&gt;""),"OK","Missing"))</f>
        <v>Missing</v>
      </c>
    </row>
    <row r="569" customFormat="false" ht="15" hidden="false" customHeight="false" outlineLevel="0" collapsed="false">
      <c r="A569" s="10" t="s">
        <v>504</v>
      </c>
      <c r="B569" s="10" t="s">
        <v>740</v>
      </c>
      <c r="C569" s="10" t="s">
        <v>437</v>
      </c>
      <c r="D569" s="10" t="s">
        <v>742</v>
      </c>
      <c r="E569" s="21" t="str">
        <f aca="false">IF(A569="","",A569&amp;"|"&amp;D569)</f>
        <v>Tribulus Terrestris Dry Extract 50:1|Other compendial tests (ID, LOD/KF, heavy metals...)</v>
      </c>
      <c r="F569" s="16" t="s">
        <v>662</v>
      </c>
      <c r="G569" s="16" t="s">
        <v>670</v>
      </c>
      <c r="H569" s="16" t="s">
        <v>672</v>
      </c>
      <c r="I569" s="16" t="n">
        <v>1</v>
      </c>
      <c r="J569" s="16"/>
      <c r="K569" s="14"/>
      <c r="L569" s="14"/>
      <c r="M569" s="14"/>
      <c r="N569" s="14"/>
      <c r="O569" s="14"/>
      <c r="P569" s="18" t="n">
        <f aca="false">IF(N569="",0,IF(OR(M569="",O569=""),N569,(M569+4*N569+O569)/6))</f>
        <v>0</v>
      </c>
      <c r="Q569" s="14"/>
      <c r="R569" s="14"/>
      <c r="S569" s="14"/>
      <c r="T569" s="14"/>
      <c r="U569" s="16"/>
      <c r="V569" s="13"/>
      <c r="W569" s="16" t="s">
        <v>667</v>
      </c>
      <c r="X569" s="16"/>
      <c r="Y569" s="16"/>
      <c r="Z569" s="16"/>
      <c r="AA569" s="22" t="n">
        <f aca="false">IF(F569&lt;&gt;"Y",0,((SUMIF(Products!$E$5:$E$300,A569,Products!$F$5:$F$300)+SUMIF(RM_Lots!$A$5:$A$400,A569,RM_Lots!$D$5:$D$400))+IF(W569="Y",SUMIF(Products!$E$5:$E$300,A569,Products!$G$5:$G$300),0))*(1+N(V569)))</f>
        <v>0</v>
      </c>
      <c r="AB569" s="22" t="n">
        <f aca="false">IF(F569&lt;&gt;"Y",0,((SUMIF(Products!$E$5:$E$300,A569,Products!$K$5:$K$300)+SUMIF(RM_Lots!$A$5:$A$400,A569,RM_Lots!$F$5:$F$400))+IF(W569="Y",SUMIF(Products!$E$5:$E$300,A569,Products!$L$5:$L$300),0))*(1+N(V569)))</f>
        <v>0</v>
      </c>
      <c r="AC569" s="17" t="n">
        <f aca="false">IF(J569="",1,MAX(1,COUNTIFS($J$5:$J$863,J569,$F$5:$F$863,"Y")))</f>
        <v>1</v>
      </c>
      <c r="AD569" s="18" t="n">
        <f aca="false">(MAX(1,N(I569))*(P569+N(S569))+MAX(1,N(I569))*N(K569)/(MAX(1,N(U569))*AC569))*Settings!$B$9</f>
        <v>0</v>
      </c>
      <c r="AE569" s="18" t="n">
        <f aca="false">(MAX(1,N(I569))*N(Q569)+MAX(1,N(I569))*N(L569)/(MAX(1,N(U569))*AC569))*Settings!$B$8</f>
        <v>0</v>
      </c>
      <c r="AF569" s="18" t="n">
        <f aca="false">MAX(1,N(I569))*N(T569)</f>
        <v>0</v>
      </c>
      <c r="AG569" s="15" t="n">
        <f aca="false">AA569*N(AD569)</f>
        <v>0</v>
      </c>
      <c r="AH569" s="15" t="n">
        <f aca="false">AA569*N(AE569)</f>
        <v>0</v>
      </c>
      <c r="AI569" s="15" t="n">
        <f aca="false">AA569*N(AF569)</f>
        <v>0</v>
      </c>
      <c r="AJ569" s="15" t="n">
        <f aca="false">AA569*N(R569)</f>
        <v>0</v>
      </c>
      <c r="AK569" s="15" t="n">
        <f aca="false">AB569*N(AD569)</f>
        <v>0</v>
      </c>
      <c r="AL569" s="15" t="n">
        <f aca="false">AB569*N(AE569)</f>
        <v>0</v>
      </c>
      <c r="AM569" s="15" t="n">
        <f aca="false">AB569*N(AF569)</f>
        <v>0</v>
      </c>
      <c r="AN569" s="15" t="n">
        <f aca="false">AB569*N(R569)</f>
        <v>0</v>
      </c>
      <c r="AO569" s="21" t="str">
        <f aca="false">IF(F569&lt;&gt;"Y","n/a",IF(AND(N569&lt;&gt;"",OR(Q569&lt;&gt;"",G569="Other / bench",G569="None"),U569&lt;&gt;""),"OK","Missing"))</f>
        <v>Missing</v>
      </c>
    </row>
    <row r="570" customFormat="false" ht="15" hidden="false" customHeight="false" outlineLevel="0" collapsed="false">
      <c r="A570" s="10" t="s">
        <v>387</v>
      </c>
      <c r="B570" s="10" t="s">
        <v>740</v>
      </c>
      <c r="C570" s="10" t="s">
        <v>437</v>
      </c>
      <c r="D570" s="10" t="s">
        <v>741</v>
      </c>
      <c r="E570" s="21" t="str">
        <f aca="false">IF(A570="","",A570&amp;"|"&amp;D570)</f>
        <v>Ubidecarenone (Co-Q10)|Assay + related substances</v>
      </c>
      <c r="F570" s="16" t="s">
        <v>662</v>
      </c>
      <c r="G570" s="16" t="s">
        <v>147</v>
      </c>
      <c r="H570" s="16" t="s">
        <v>663</v>
      </c>
      <c r="I570" s="16" t="n">
        <v>1</v>
      </c>
      <c r="J570" s="16"/>
      <c r="K570" s="14"/>
      <c r="L570" s="14"/>
      <c r="M570" s="14"/>
      <c r="N570" s="14"/>
      <c r="O570" s="14"/>
      <c r="P570" s="18" t="n">
        <f aca="false">IF(N570="",0,IF(OR(M570="",O570=""),N570,(M570+4*N570+O570)/6))</f>
        <v>0</v>
      </c>
      <c r="Q570" s="14"/>
      <c r="R570" s="14"/>
      <c r="S570" s="14"/>
      <c r="T570" s="14"/>
      <c r="U570" s="16"/>
      <c r="V570" s="13"/>
      <c r="W570" s="16" t="s">
        <v>667</v>
      </c>
      <c r="X570" s="16"/>
      <c r="Y570" s="16"/>
      <c r="Z570" s="16"/>
      <c r="AA570" s="22" t="n">
        <f aca="false">IF(F570&lt;&gt;"Y",0,((SUMIF(Products!$E$5:$E$300,A570,Products!$F$5:$F$300)+SUMIF(RM_Lots!$A$5:$A$400,A570,RM_Lots!$D$5:$D$400))+IF(W570="Y",SUMIF(Products!$E$5:$E$300,A570,Products!$G$5:$G$300),0))*(1+N(V570)))</f>
        <v>0</v>
      </c>
      <c r="AB570" s="22" t="n">
        <f aca="false">IF(F570&lt;&gt;"Y",0,((SUMIF(Products!$E$5:$E$300,A570,Products!$K$5:$K$300)+SUMIF(RM_Lots!$A$5:$A$400,A570,RM_Lots!$F$5:$F$400))+IF(W570="Y",SUMIF(Products!$E$5:$E$300,A570,Products!$L$5:$L$300),0))*(1+N(V570)))</f>
        <v>0</v>
      </c>
      <c r="AC570" s="17" t="n">
        <f aca="false">IF(J570="",1,MAX(1,COUNTIFS($J$5:$J$863,J570,$F$5:$F$863,"Y")))</f>
        <v>1</v>
      </c>
      <c r="AD570" s="18" t="n">
        <f aca="false">(MAX(1,N(I570))*(P570+N(S570))+MAX(1,N(I570))*N(K570)/(MAX(1,N(U570))*AC570))*Settings!$B$9</f>
        <v>0</v>
      </c>
      <c r="AE570" s="18" t="n">
        <f aca="false">(MAX(1,N(I570))*N(Q570)+MAX(1,N(I570))*N(L570)/(MAX(1,N(U570))*AC570))*Settings!$B$8</f>
        <v>0</v>
      </c>
      <c r="AF570" s="18" t="n">
        <f aca="false">MAX(1,N(I570))*N(T570)</f>
        <v>0</v>
      </c>
      <c r="AG570" s="15" t="n">
        <f aca="false">AA570*N(AD570)</f>
        <v>0</v>
      </c>
      <c r="AH570" s="15" t="n">
        <f aca="false">AA570*N(AE570)</f>
        <v>0</v>
      </c>
      <c r="AI570" s="15" t="n">
        <f aca="false">AA570*N(AF570)</f>
        <v>0</v>
      </c>
      <c r="AJ570" s="15" t="n">
        <f aca="false">AA570*N(R570)</f>
        <v>0</v>
      </c>
      <c r="AK570" s="15" t="n">
        <f aca="false">AB570*N(AD570)</f>
        <v>0</v>
      </c>
      <c r="AL570" s="15" t="n">
        <f aca="false">AB570*N(AE570)</f>
        <v>0</v>
      </c>
      <c r="AM570" s="15" t="n">
        <f aca="false">AB570*N(AF570)</f>
        <v>0</v>
      </c>
      <c r="AN570" s="15" t="n">
        <f aca="false">AB570*N(R570)</f>
        <v>0</v>
      </c>
      <c r="AO570" s="21" t="str">
        <f aca="false">IF(F570&lt;&gt;"Y","n/a",IF(AND(N570&lt;&gt;"",OR(Q570&lt;&gt;"",G570="Other / bench",G570="None"),U570&lt;&gt;""),"OK","Missing"))</f>
        <v>Missing</v>
      </c>
    </row>
    <row r="571" customFormat="false" ht="15" hidden="false" customHeight="false" outlineLevel="0" collapsed="false">
      <c r="A571" s="10" t="s">
        <v>387</v>
      </c>
      <c r="B571" s="10" t="s">
        <v>740</v>
      </c>
      <c r="C571" s="10" t="s">
        <v>437</v>
      </c>
      <c r="D571" s="10" t="s">
        <v>742</v>
      </c>
      <c r="E571" s="21" t="str">
        <f aca="false">IF(A571="","",A571&amp;"|"&amp;D571)</f>
        <v>Ubidecarenone (Co-Q10)|Other compendial tests (ID, LOD/KF, heavy metals...)</v>
      </c>
      <c r="F571" s="16" t="s">
        <v>662</v>
      </c>
      <c r="G571" s="16" t="s">
        <v>670</v>
      </c>
      <c r="H571" s="16" t="s">
        <v>672</v>
      </c>
      <c r="I571" s="16" t="n">
        <v>1</v>
      </c>
      <c r="J571" s="16"/>
      <c r="K571" s="14"/>
      <c r="L571" s="14"/>
      <c r="M571" s="14"/>
      <c r="N571" s="14"/>
      <c r="O571" s="14"/>
      <c r="P571" s="18" t="n">
        <f aca="false">IF(N571="",0,IF(OR(M571="",O571=""),N571,(M571+4*N571+O571)/6))</f>
        <v>0</v>
      </c>
      <c r="Q571" s="14"/>
      <c r="R571" s="14"/>
      <c r="S571" s="14"/>
      <c r="T571" s="14"/>
      <c r="U571" s="16"/>
      <c r="V571" s="13"/>
      <c r="W571" s="16" t="s">
        <v>667</v>
      </c>
      <c r="X571" s="16"/>
      <c r="Y571" s="16"/>
      <c r="Z571" s="16"/>
      <c r="AA571" s="22" t="n">
        <f aca="false">IF(F571&lt;&gt;"Y",0,((SUMIF(Products!$E$5:$E$300,A571,Products!$F$5:$F$300)+SUMIF(RM_Lots!$A$5:$A$400,A571,RM_Lots!$D$5:$D$400))+IF(W571="Y",SUMIF(Products!$E$5:$E$300,A571,Products!$G$5:$G$300),0))*(1+N(V571)))</f>
        <v>0</v>
      </c>
      <c r="AB571" s="22" t="n">
        <f aca="false">IF(F571&lt;&gt;"Y",0,((SUMIF(Products!$E$5:$E$300,A571,Products!$K$5:$K$300)+SUMIF(RM_Lots!$A$5:$A$400,A571,RM_Lots!$F$5:$F$400))+IF(W571="Y",SUMIF(Products!$E$5:$E$300,A571,Products!$L$5:$L$300),0))*(1+N(V571)))</f>
        <v>0</v>
      </c>
      <c r="AC571" s="17" t="n">
        <f aca="false">IF(J571="",1,MAX(1,COUNTIFS($J$5:$J$863,J571,$F$5:$F$863,"Y")))</f>
        <v>1</v>
      </c>
      <c r="AD571" s="18" t="n">
        <f aca="false">(MAX(1,N(I571))*(P571+N(S571))+MAX(1,N(I571))*N(K571)/(MAX(1,N(U571))*AC571))*Settings!$B$9</f>
        <v>0</v>
      </c>
      <c r="AE571" s="18" t="n">
        <f aca="false">(MAX(1,N(I571))*N(Q571)+MAX(1,N(I571))*N(L571)/(MAX(1,N(U571))*AC571))*Settings!$B$8</f>
        <v>0</v>
      </c>
      <c r="AF571" s="18" t="n">
        <f aca="false">MAX(1,N(I571))*N(T571)</f>
        <v>0</v>
      </c>
      <c r="AG571" s="15" t="n">
        <f aca="false">AA571*N(AD571)</f>
        <v>0</v>
      </c>
      <c r="AH571" s="15" t="n">
        <f aca="false">AA571*N(AE571)</f>
        <v>0</v>
      </c>
      <c r="AI571" s="15" t="n">
        <f aca="false">AA571*N(AF571)</f>
        <v>0</v>
      </c>
      <c r="AJ571" s="15" t="n">
        <f aca="false">AA571*N(R571)</f>
        <v>0</v>
      </c>
      <c r="AK571" s="15" t="n">
        <f aca="false">AB571*N(AD571)</f>
        <v>0</v>
      </c>
      <c r="AL571" s="15" t="n">
        <f aca="false">AB571*N(AE571)</f>
        <v>0</v>
      </c>
      <c r="AM571" s="15" t="n">
        <f aca="false">AB571*N(AF571)</f>
        <v>0</v>
      </c>
      <c r="AN571" s="15" t="n">
        <f aca="false">AB571*N(R571)</f>
        <v>0</v>
      </c>
      <c r="AO571" s="21" t="str">
        <f aca="false">IF(F571&lt;&gt;"Y","n/a",IF(AND(N571&lt;&gt;"",OR(Q571&lt;&gt;"",G571="Other / bench",G571="None"),U571&lt;&gt;""),"OK","Missing"))</f>
        <v>Missing</v>
      </c>
    </row>
    <row r="572" customFormat="false" ht="15" hidden="false" customHeight="false" outlineLevel="0" collapsed="false">
      <c r="A572" s="10" t="s">
        <v>505</v>
      </c>
      <c r="B572" s="10" t="s">
        <v>740</v>
      </c>
      <c r="C572" s="10" t="s">
        <v>437</v>
      </c>
      <c r="D572" s="10" t="s">
        <v>741</v>
      </c>
      <c r="E572" s="21" t="str">
        <f aca="false">IF(A572="","",A572&amp;"|"&amp;D572)</f>
        <v>Vitamin D3|Assay + related substances</v>
      </c>
      <c r="F572" s="16" t="s">
        <v>662</v>
      </c>
      <c r="G572" s="16" t="s">
        <v>147</v>
      </c>
      <c r="H572" s="16" t="s">
        <v>663</v>
      </c>
      <c r="I572" s="16" t="n">
        <v>1</v>
      </c>
      <c r="J572" s="16"/>
      <c r="K572" s="14"/>
      <c r="L572" s="14"/>
      <c r="M572" s="14"/>
      <c r="N572" s="14"/>
      <c r="O572" s="14"/>
      <c r="P572" s="18" t="n">
        <f aca="false">IF(N572="",0,IF(OR(M572="",O572=""),N572,(M572+4*N572+O572)/6))</f>
        <v>0</v>
      </c>
      <c r="Q572" s="14"/>
      <c r="R572" s="14"/>
      <c r="S572" s="14"/>
      <c r="T572" s="14"/>
      <c r="U572" s="16"/>
      <c r="V572" s="13"/>
      <c r="W572" s="16" t="s">
        <v>667</v>
      </c>
      <c r="X572" s="16"/>
      <c r="Y572" s="16"/>
      <c r="Z572" s="16"/>
      <c r="AA572" s="22" t="n">
        <f aca="false">IF(F572&lt;&gt;"Y",0,((SUMIF(Products!$E$5:$E$300,A572,Products!$F$5:$F$300)+SUMIF(RM_Lots!$A$5:$A$400,A572,RM_Lots!$D$5:$D$400))+IF(W572="Y",SUMIF(Products!$E$5:$E$300,A572,Products!$G$5:$G$300),0))*(1+N(V572)))</f>
        <v>0</v>
      </c>
      <c r="AB572" s="22" t="n">
        <f aca="false">IF(F572&lt;&gt;"Y",0,((SUMIF(Products!$E$5:$E$300,A572,Products!$K$5:$K$300)+SUMIF(RM_Lots!$A$5:$A$400,A572,RM_Lots!$F$5:$F$400))+IF(W572="Y",SUMIF(Products!$E$5:$E$300,A572,Products!$L$5:$L$300),0))*(1+N(V572)))</f>
        <v>0</v>
      </c>
      <c r="AC572" s="17" t="n">
        <f aca="false">IF(J572="",1,MAX(1,COUNTIFS($J$5:$J$863,J572,$F$5:$F$863,"Y")))</f>
        <v>1</v>
      </c>
      <c r="AD572" s="18" t="n">
        <f aca="false">(MAX(1,N(I572))*(P572+N(S572))+MAX(1,N(I572))*N(K572)/(MAX(1,N(U572))*AC572))*Settings!$B$9</f>
        <v>0</v>
      </c>
      <c r="AE572" s="18" t="n">
        <f aca="false">(MAX(1,N(I572))*N(Q572)+MAX(1,N(I572))*N(L572)/(MAX(1,N(U572))*AC572))*Settings!$B$8</f>
        <v>0</v>
      </c>
      <c r="AF572" s="18" t="n">
        <f aca="false">MAX(1,N(I572))*N(T572)</f>
        <v>0</v>
      </c>
      <c r="AG572" s="15" t="n">
        <f aca="false">AA572*N(AD572)</f>
        <v>0</v>
      </c>
      <c r="AH572" s="15" t="n">
        <f aca="false">AA572*N(AE572)</f>
        <v>0</v>
      </c>
      <c r="AI572" s="15" t="n">
        <f aca="false">AA572*N(AF572)</f>
        <v>0</v>
      </c>
      <c r="AJ572" s="15" t="n">
        <f aca="false">AA572*N(R572)</f>
        <v>0</v>
      </c>
      <c r="AK572" s="15" t="n">
        <f aca="false">AB572*N(AD572)</f>
        <v>0</v>
      </c>
      <c r="AL572" s="15" t="n">
        <f aca="false">AB572*N(AE572)</f>
        <v>0</v>
      </c>
      <c r="AM572" s="15" t="n">
        <f aca="false">AB572*N(AF572)</f>
        <v>0</v>
      </c>
      <c r="AN572" s="15" t="n">
        <f aca="false">AB572*N(R572)</f>
        <v>0</v>
      </c>
      <c r="AO572" s="21" t="str">
        <f aca="false">IF(F572&lt;&gt;"Y","n/a",IF(AND(N572&lt;&gt;"",OR(Q572&lt;&gt;"",G572="Other / bench",G572="None"),U572&lt;&gt;""),"OK","Missing"))</f>
        <v>Missing</v>
      </c>
    </row>
    <row r="573" customFormat="false" ht="15" hidden="false" customHeight="false" outlineLevel="0" collapsed="false">
      <c r="A573" s="10" t="s">
        <v>505</v>
      </c>
      <c r="B573" s="10" t="s">
        <v>740</v>
      </c>
      <c r="C573" s="10" t="s">
        <v>437</v>
      </c>
      <c r="D573" s="10" t="s">
        <v>742</v>
      </c>
      <c r="E573" s="21" t="str">
        <f aca="false">IF(A573="","",A573&amp;"|"&amp;D573)</f>
        <v>Vitamin D3|Other compendial tests (ID, LOD/KF, heavy metals...)</v>
      </c>
      <c r="F573" s="16" t="s">
        <v>662</v>
      </c>
      <c r="G573" s="16" t="s">
        <v>670</v>
      </c>
      <c r="H573" s="16" t="s">
        <v>672</v>
      </c>
      <c r="I573" s="16" t="n">
        <v>1</v>
      </c>
      <c r="J573" s="16"/>
      <c r="K573" s="14"/>
      <c r="L573" s="14"/>
      <c r="M573" s="14"/>
      <c r="N573" s="14"/>
      <c r="O573" s="14"/>
      <c r="P573" s="18" t="n">
        <f aca="false">IF(N573="",0,IF(OR(M573="",O573=""),N573,(M573+4*N573+O573)/6))</f>
        <v>0</v>
      </c>
      <c r="Q573" s="14"/>
      <c r="R573" s="14"/>
      <c r="S573" s="14"/>
      <c r="T573" s="14"/>
      <c r="U573" s="16"/>
      <c r="V573" s="13"/>
      <c r="W573" s="16" t="s">
        <v>667</v>
      </c>
      <c r="X573" s="16"/>
      <c r="Y573" s="16"/>
      <c r="Z573" s="16"/>
      <c r="AA573" s="22" t="n">
        <f aca="false">IF(F573&lt;&gt;"Y",0,((SUMIF(Products!$E$5:$E$300,A573,Products!$F$5:$F$300)+SUMIF(RM_Lots!$A$5:$A$400,A573,RM_Lots!$D$5:$D$400))+IF(W573="Y",SUMIF(Products!$E$5:$E$300,A573,Products!$G$5:$G$300),0))*(1+N(V573)))</f>
        <v>0</v>
      </c>
      <c r="AB573" s="22" t="n">
        <f aca="false">IF(F573&lt;&gt;"Y",0,((SUMIF(Products!$E$5:$E$300,A573,Products!$K$5:$K$300)+SUMIF(RM_Lots!$A$5:$A$400,A573,RM_Lots!$F$5:$F$400))+IF(W573="Y",SUMIF(Products!$E$5:$E$300,A573,Products!$L$5:$L$300),0))*(1+N(V573)))</f>
        <v>0</v>
      </c>
      <c r="AC573" s="17" t="n">
        <f aca="false">IF(J573="",1,MAX(1,COUNTIFS($J$5:$J$863,J573,$F$5:$F$863,"Y")))</f>
        <v>1</v>
      </c>
      <c r="AD573" s="18" t="n">
        <f aca="false">(MAX(1,N(I573))*(P573+N(S573))+MAX(1,N(I573))*N(K573)/(MAX(1,N(U573))*AC573))*Settings!$B$9</f>
        <v>0</v>
      </c>
      <c r="AE573" s="18" t="n">
        <f aca="false">(MAX(1,N(I573))*N(Q573)+MAX(1,N(I573))*N(L573)/(MAX(1,N(U573))*AC573))*Settings!$B$8</f>
        <v>0</v>
      </c>
      <c r="AF573" s="18" t="n">
        <f aca="false">MAX(1,N(I573))*N(T573)</f>
        <v>0</v>
      </c>
      <c r="AG573" s="15" t="n">
        <f aca="false">AA573*N(AD573)</f>
        <v>0</v>
      </c>
      <c r="AH573" s="15" t="n">
        <f aca="false">AA573*N(AE573)</f>
        <v>0</v>
      </c>
      <c r="AI573" s="15" t="n">
        <f aca="false">AA573*N(AF573)</f>
        <v>0</v>
      </c>
      <c r="AJ573" s="15" t="n">
        <f aca="false">AA573*N(R573)</f>
        <v>0</v>
      </c>
      <c r="AK573" s="15" t="n">
        <f aca="false">AB573*N(AD573)</f>
        <v>0</v>
      </c>
      <c r="AL573" s="15" t="n">
        <f aca="false">AB573*N(AE573)</f>
        <v>0</v>
      </c>
      <c r="AM573" s="15" t="n">
        <f aca="false">AB573*N(AF573)</f>
        <v>0</v>
      </c>
      <c r="AN573" s="15" t="n">
        <f aca="false">AB573*N(R573)</f>
        <v>0</v>
      </c>
      <c r="AO573" s="21" t="str">
        <f aca="false">IF(F573&lt;&gt;"Y","n/a",IF(AND(N573&lt;&gt;"",OR(Q573&lt;&gt;"",G573="Other / bench",G573="None"),U573&lt;&gt;""),"OK","Missing"))</f>
        <v>Missing</v>
      </c>
    </row>
    <row r="574" customFormat="false" ht="15" hidden="false" customHeight="false" outlineLevel="0" collapsed="false">
      <c r="A574" s="10" t="s">
        <v>506</v>
      </c>
      <c r="B574" s="10" t="s">
        <v>740</v>
      </c>
      <c r="C574" s="10" t="s">
        <v>437</v>
      </c>
      <c r="D574" s="10" t="s">
        <v>741</v>
      </c>
      <c r="E574" s="21" t="str">
        <f aca="false">IF(A574="","",A574&amp;"|"&amp;D574)</f>
        <v>Vitamin K1|Assay + related substances</v>
      </c>
      <c r="F574" s="16" t="s">
        <v>662</v>
      </c>
      <c r="G574" s="16" t="s">
        <v>147</v>
      </c>
      <c r="H574" s="16" t="s">
        <v>663</v>
      </c>
      <c r="I574" s="16" t="n">
        <v>1</v>
      </c>
      <c r="J574" s="16"/>
      <c r="K574" s="14"/>
      <c r="L574" s="14"/>
      <c r="M574" s="14"/>
      <c r="N574" s="14"/>
      <c r="O574" s="14"/>
      <c r="P574" s="18" t="n">
        <f aca="false">IF(N574="",0,IF(OR(M574="",O574=""),N574,(M574+4*N574+O574)/6))</f>
        <v>0</v>
      </c>
      <c r="Q574" s="14"/>
      <c r="R574" s="14"/>
      <c r="S574" s="14"/>
      <c r="T574" s="14"/>
      <c r="U574" s="16"/>
      <c r="V574" s="13"/>
      <c r="W574" s="16" t="s">
        <v>667</v>
      </c>
      <c r="X574" s="16"/>
      <c r="Y574" s="16"/>
      <c r="Z574" s="16"/>
      <c r="AA574" s="22" t="n">
        <f aca="false">IF(F574&lt;&gt;"Y",0,((SUMIF(Products!$E$5:$E$300,A574,Products!$F$5:$F$300)+SUMIF(RM_Lots!$A$5:$A$400,A574,RM_Lots!$D$5:$D$400))+IF(W574="Y",SUMIF(Products!$E$5:$E$300,A574,Products!$G$5:$G$300),0))*(1+N(V574)))</f>
        <v>0</v>
      </c>
      <c r="AB574" s="22" t="n">
        <f aca="false">IF(F574&lt;&gt;"Y",0,((SUMIF(Products!$E$5:$E$300,A574,Products!$K$5:$K$300)+SUMIF(RM_Lots!$A$5:$A$400,A574,RM_Lots!$F$5:$F$400))+IF(W574="Y",SUMIF(Products!$E$5:$E$300,A574,Products!$L$5:$L$300),0))*(1+N(V574)))</f>
        <v>0</v>
      </c>
      <c r="AC574" s="17" t="n">
        <f aca="false">IF(J574="",1,MAX(1,COUNTIFS($J$5:$J$863,J574,$F$5:$F$863,"Y")))</f>
        <v>1</v>
      </c>
      <c r="AD574" s="18" t="n">
        <f aca="false">(MAX(1,N(I574))*(P574+N(S574))+MAX(1,N(I574))*N(K574)/(MAX(1,N(U574))*AC574))*Settings!$B$9</f>
        <v>0</v>
      </c>
      <c r="AE574" s="18" t="n">
        <f aca="false">(MAX(1,N(I574))*N(Q574)+MAX(1,N(I574))*N(L574)/(MAX(1,N(U574))*AC574))*Settings!$B$8</f>
        <v>0</v>
      </c>
      <c r="AF574" s="18" t="n">
        <f aca="false">MAX(1,N(I574))*N(T574)</f>
        <v>0</v>
      </c>
      <c r="AG574" s="15" t="n">
        <f aca="false">AA574*N(AD574)</f>
        <v>0</v>
      </c>
      <c r="AH574" s="15" t="n">
        <f aca="false">AA574*N(AE574)</f>
        <v>0</v>
      </c>
      <c r="AI574" s="15" t="n">
        <f aca="false">AA574*N(AF574)</f>
        <v>0</v>
      </c>
      <c r="AJ574" s="15" t="n">
        <f aca="false">AA574*N(R574)</f>
        <v>0</v>
      </c>
      <c r="AK574" s="15" t="n">
        <f aca="false">AB574*N(AD574)</f>
        <v>0</v>
      </c>
      <c r="AL574" s="15" t="n">
        <f aca="false">AB574*N(AE574)</f>
        <v>0</v>
      </c>
      <c r="AM574" s="15" t="n">
        <f aca="false">AB574*N(AF574)</f>
        <v>0</v>
      </c>
      <c r="AN574" s="15" t="n">
        <f aca="false">AB574*N(R574)</f>
        <v>0</v>
      </c>
      <c r="AO574" s="21" t="str">
        <f aca="false">IF(F574&lt;&gt;"Y","n/a",IF(AND(N574&lt;&gt;"",OR(Q574&lt;&gt;"",G574="Other / bench",G574="None"),U574&lt;&gt;""),"OK","Missing"))</f>
        <v>Missing</v>
      </c>
    </row>
    <row r="575" customFormat="false" ht="15" hidden="false" customHeight="false" outlineLevel="0" collapsed="false">
      <c r="A575" s="10" t="s">
        <v>506</v>
      </c>
      <c r="B575" s="10" t="s">
        <v>740</v>
      </c>
      <c r="C575" s="10" t="s">
        <v>437</v>
      </c>
      <c r="D575" s="10" t="s">
        <v>742</v>
      </c>
      <c r="E575" s="21" t="str">
        <f aca="false">IF(A575="","",A575&amp;"|"&amp;D575)</f>
        <v>Vitamin K1|Other compendial tests (ID, LOD/KF, heavy metals...)</v>
      </c>
      <c r="F575" s="16" t="s">
        <v>662</v>
      </c>
      <c r="G575" s="16" t="s">
        <v>670</v>
      </c>
      <c r="H575" s="16" t="s">
        <v>672</v>
      </c>
      <c r="I575" s="16" t="n">
        <v>1</v>
      </c>
      <c r="J575" s="16"/>
      <c r="K575" s="14"/>
      <c r="L575" s="14"/>
      <c r="M575" s="14"/>
      <c r="N575" s="14"/>
      <c r="O575" s="14"/>
      <c r="P575" s="18" t="n">
        <f aca="false">IF(N575="",0,IF(OR(M575="",O575=""),N575,(M575+4*N575+O575)/6))</f>
        <v>0</v>
      </c>
      <c r="Q575" s="14"/>
      <c r="R575" s="14"/>
      <c r="S575" s="14"/>
      <c r="T575" s="14"/>
      <c r="U575" s="16"/>
      <c r="V575" s="13"/>
      <c r="W575" s="16" t="s">
        <v>667</v>
      </c>
      <c r="X575" s="16"/>
      <c r="Y575" s="16"/>
      <c r="Z575" s="16"/>
      <c r="AA575" s="22" t="n">
        <f aca="false">IF(F575&lt;&gt;"Y",0,((SUMIF(Products!$E$5:$E$300,A575,Products!$F$5:$F$300)+SUMIF(RM_Lots!$A$5:$A$400,A575,RM_Lots!$D$5:$D$400))+IF(W575="Y",SUMIF(Products!$E$5:$E$300,A575,Products!$G$5:$G$300),0))*(1+N(V575)))</f>
        <v>0</v>
      </c>
      <c r="AB575" s="22" t="n">
        <f aca="false">IF(F575&lt;&gt;"Y",0,((SUMIF(Products!$E$5:$E$300,A575,Products!$K$5:$K$300)+SUMIF(RM_Lots!$A$5:$A$400,A575,RM_Lots!$F$5:$F$400))+IF(W575="Y",SUMIF(Products!$E$5:$E$300,A575,Products!$L$5:$L$300),0))*(1+N(V575)))</f>
        <v>0</v>
      </c>
      <c r="AC575" s="17" t="n">
        <f aca="false">IF(J575="",1,MAX(1,COUNTIFS($J$5:$J$863,J575,$F$5:$F$863,"Y")))</f>
        <v>1</v>
      </c>
      <c r="AD575" s="18" t="n">
        <f aca="false">(MAX(1,N(I575))*(P575+N(S575))+MAX(1,N(I575))*N(K575)/(MAX(1,N(U575))*AC575))*Settings!$B$9</f>
        <v>0</v>
      </c>
      <c r="AE575" s="18" t="n">
        <f aca="false">(MAX(1,N(I575))*N(Q575)+MAX(1,N(I575))*N(L575)/(MAX(1,N(U575))*AC575))*Settings!$B$8</f>
        <v>0</v>
      </c>
      <c r="AF575" s="18" t="n">
        <f aca="false">MAX(1,N(I575))*N(T575)</f>
        <v>0</v>
      </c>
      <c r="AG575" s="15" t="n">
        <f aca="false">AA575*N(AD575)</f>
        <v>0</v>
      </c>
      <c r="AH575" s="15" t="n">
        <f aca="false">AA575*N(AE575)</f>
        <v>0</v>
      </c>
      <c r="AI575" s="15" t="n">
        <f aca="false">AA575*N(AF575)</f>
        <v>0</v>
      </c>
      <c r="AJ575" s="15" t="n">
        <f aca="false">AA575*N(R575)</f>
        <v>0</v>
      </c>
      <c r="AK575" s="15" t="n">
        <f aca="false">AB575*N(AD575)</f>
        <v>0</v>
      </c>
      <c r="AL575" s="15" t="n">
        <f aca="false">AB575*N(AE575)</f>
        <v>0</v>
      </c>
      <c r="AM575" s="15" t="n">
        <f aca="false">AB575*N(AF575)</f>
        <v>0</v>
      </c>
      <c r="AN575" s="15" t="n">
        <f aca="false">AB575*N(R575)</f>
        <v>0</v>
      </c>
      <c r="AO575" s="21" t="str">
        <f aca="false">IF(F575&lt;&gt;"Y","n/a",IF(AND(N575&lt;&gt;"",OR(Q575&lt;&gt;"",G575="Other / bench",G575="None"),U575&lt;&gt;""),"OK","Missing"))</f>
        <v>Missing</v>
      </c>
    </row>
    <row r="576" customFormat="false" ht="15" hidden="false" customHeight="false" outlineLevel="0" collapsed="false">
      <c r="A576" s="10" t="s">
        <v>507</v>
      </c>
      <c r="B576" s="10" t="s">
        <v>740</v>
      </c>
      <c r="C576" s="10" t="s">
        <v>437</v>
      </c>
      <c r="D576" s="10" t="s">
        <v>741</v>
      </c>
      <c r="E576" s="21" t="str">
        <f aca="false">IF(A576="","",A576&amp;"|"&amp;D576)</f>
        <v>Zinc Gluconate|Assay + related substances</v>
      </c>
      <c r="F576" s="16" t="s">
        <v>662</v>
      </c>
      <c r="G576" s="16" t="s">
        <v>147</v>
      </c>
      <c r="H576" s="16" t="s">
        <v>663</v>
      </c>
      <c r="I576" s="16" t="n">
        <v>1</v>
      </c>
      <c r="J576" s="16"/>
      <c r="K576" s="14"/>
      <c r="L576" s="14"/>
      <c r="M576" s="14"/>
      <c r="N576" s="14"/>
      <c r="O576" s="14"/>
      <c r="P576" s="18" t="n">
        <f aca="false">IF(N576="",0,IF(OR(M576="",O576=""),N576,(M576+4*N576+O576)/6))</f>
        <v>0</v>
      </c>
      <c r="Q576" s="14"/>
      <c r="R576" s="14"/>
      <c r="S576" s="14"/>
      <c r="T576" s="14"/>
      <c r="U576" s="16"/>
      <c r="V576" s="13"/>
      <c r="W576" s="16" t="s">
        <v>667</v>
      </c>
      <c r="X576" s="16"/>
      <c r="Y576" s="16"/>
      <c r="Z576" s="16"/>
      <c r="AA576" s="22" t="n">
        <f aca="false">IF(F576&lt;&gt;"Y",0,((SUMIF(Products!$E$5:$E$300,A576,Products!$F$5:$F$300)+SUMIF(RM_Lots!$A$5:$A$400,A576,RM_Lots!$D$5:$D$400))+IF(W576="Y",SUMIF(Products!$E$5:$E$300,A576,Products!$G$5:$G$300),0))*(1+N(V576)))</f>
        <v>0</v>
      </c>
      <c r="AB576" s="22" t="n">
        <f aca="false">IF(F576&lt;&gt;"Y",0,((SUMIF(Products!$E$5:$E$300,A576,Products!$K$5:$K$300)+SUMIF(RM_Lots!$A$5:$A$400,A576,RM_Lots!$F$5:$F$400))+IF(W576="Y",SUMIF(Products!$E$5:$E$300,A576,Products!$L$5:$L$300),0))*(1+N(V576)))</f>
        <v>0</v>
      </c>
      <c r="AC576" s="17" t="n">
        <f aca="false">IF(J576="",1,MAX(1,COUNTIFS($J$5:$J$863,J576,$F$5:$F$863,"Y")))</f>
        <v>1</v>
      </c>
      <c r="AD576" s="18" t="n">
        <f aca="false">(MAX(1,N(I576))*(P576+N(S576))+MAX(1,N(I576))*N(K576)/(MAX(1,N(U576))*AC576))*Settings!$B$9</f>
        <v>0</v>
      </c>
      <c r="AE576" s="18" t="n">
        <f aca="false">(MAX(1,N(I576))*N(Q576)+MAX(1,N(I576))*N(L576)/(MAX(1,N(U576))*AC576))*Settings!$B$8</f>
        <v>0</v>
      </c>
      <c r="AF576" s="18" t="n">
        <f aca="false">MAX(1,N(I576))*N(T576)</f>
        <v>0</v>
      </c>
      <c r="AG576" s="15" t="n">
        <f aca="false">AA576*N(AD576)</f>
        <v>0</v>
      </c>
      <c r="AH576" s="15" t="n">
        <f aca="false">AA576*N(AE576)</f>
        <v>0</v>
      </c>
      <c r="AI576" s="15" t="n">
        <f aca="false">AA576*N(AF576)</f>
        <v>0</v>
      </c>
      <c r="AJ576" s="15" t="n">
        <f aca="false">AA576*N(R576)</f>
        <v>0</v>
      </c>
      <c r="AK576" s="15" t="n">
        <f aca="false">AB576*N(AD576)</f>
        <v>0</v>
      </c>
      <c r="AL576" s="15" t="n">
        <f aca="false">AB576*N(AE576)</f>
        <v>0</v>
      </c>
      <c r="AM576" s="15" t="n">
        <f aca="false">AB576*N(AF576)</f>
        <v>0</v>
      </c>
      <c r="AN576" s="15" t="n">
        <f aca="false">AB576*N(R576)</f>
        <v>0</v>
      </c>
      <c r="AO576" s="21" t="str">
        <f aca="false">IF(F576&lt;&gt;"Y","n/a",IF(AND(N576&lt;&gt;"",OR(Q576&lt;&gt;"",G576="Other / bench",G576="None"),U576&lt;&gt;""),"OK","Missing"))</f>
        <v>Missing</v>
      </c>
    </row>
    <row r="577" customFormat="false" ht="15" hidden="false" customHeight="false" outlineLevel="0" collapsed="false">
      <c r="A577" s="10" t="s">
        <v>507</v>
      </c>
      <c r="B577" s="10" t="s">
        <v>740</v>
      </c>
      <c r="C577" s="10" t="s">
        <v>437</v>
      </c>
      <c r="D577" s="10" t="s">
        <v>742</v>
      </c>
      <c r="E577" s="21" t="str">
        <f aca="false">IF(A577="","",A577&amp;"|"&amp;D577)</f>
        <v>Zinc Gluconate|Other compendial tests (ID, LOD/KF, heavy metals...)</v>
      </c>
      <c r="F577" s="16" t="s">
        <v>662</v>
      </c>
      <c r="G577" s="16" t="s">
        <v>670</v>
      </c>
      <c r="H577" s="16" t="s">
        <v>672</v>
      </c>
      <c r="I577" s="16" t="n">
        <v>1</v>
      </c>
      <c r="J577" s="16"/>
      <c r="K577" s="14"/>
      <c r="L577" s="14"/>
      <c r="M577" s="14"/>
      <c r="N577" s="14"/>
      <c r="O577" s="14"/>
      <c r="P577" s="18" t="n">
        <f aca="false">IF(N577="",0,IF(OR(M577="",O577=""),N577,(M577+4*N577+O577)/6))</f>
        <v>0</v>
      </c>
      <c r="Q577" s="14"/>
      <c r="R577" s="14"/>
      <c r="S577" s="14"/>
      <c r="T577" s="14"/>
      <c r="U577" s="16"/>
      <c r="V577" s="13"/>
      <c r="W577" s="16" t="s">
        <v>667</v>
      </c>
      <c r="X577" s="16"/>
      <c r="Y577" s="16"/>
      <c r="Z577" s="16"/>
      <c r="AA577" s="22" t="n">
        <f aca="false">IF(F577&lt;&gt;"Y",0,((SUMIF(Products!$E$5:$E$300,A577,Products!$F$5:$F$300)+SUMIF(RM_Lots!$A$5:$A$400,A577,RM_Lots!$D$5:$D$400))+IF(W577="Y",SUMIF(Products!$E$5:$E$300,A577,Products!$G$5:$G$300),0))*(1+N(V577)))</f>
        <v>0</v>
      </c>
      <c r="AB577" s="22" t="n">
        <f aca="false">IF(F577&lt;&gt;"Y",0,((SUMIF(Products!$E$5:$E$300,A577,Products!$K$5:$K$300)+SUMIF(RM_Lots!$A$5:$A$400,A577,RM_Lots!$F$5:$F$400))+IF(W577="Y",SUMIF(Products!$E$5:$E$300,A577,Products!$L$5:$L$300),0))*(1+N(V577)))</f>
        <v>0</v>
      </c>
      <c r="AC577" s="17" t="n">
        <f aca="false">IF(J577="",1,MAX(1,COUNTIFS($J$5:$J$863,J577,$F$5:$F$863,"Y")))</f>
        <v>1</v>
      </c>
      <c r="AD577" s="18" t="n">
        <f aca="false">(MAX(1,N(I577))*(P577+N(S577))+MAX(1,N(I577))*N(K577)/(MAX(1,N(U577))*AC577))*Settings!$B$9</f>
        <v>0</v>
      </c>
      <c r="AE577" s="18" t="n">
        <f aca="false">(MAX(1,N(I577))*N(Q577)+MAX(1,N(I577))*N(L577)/(MAX(1,N(U577))*AC577))*Settings!$B$8</f>
        <v>0</v>
      </c>
      <c r="AF577" s="18" t="n">
        <f aca="false">MAX(1,N(I577))*N(T577)</f>
        <v>0</v>
      </c>
      <c r="AG577" s="15" t="n">
        <f aca="false">AA577*N(AD577)</f>
        <v>0</v>
      </c>
      <c r="AH577" s="15" t="n">
        <f aca="false">AA577*N(AE577)</f>
        <v>0</v>
      </c>
      <c r="AI577" s="15" t="n">
        <f aca="false">AA577*N(AF577)</f>
        <v>0</v>
      </c>
      <c r="AJ577" s="15" t="n">
        <f aca="false">AA577*N(R577)</f>
        <v>0</v>
      </c>
      <c r="AK577" s="15" t="n">
        <f aca="false">AB577*N(AD577)</f>
        <v>0</v>
      </c>
      <c r="AL577" s="15" t="n">
        <f aca="false">AB577*N(AE577)</f>
        <v>0</v>
      </c>
      <c r="AM577" s="15" t="n">
        <f aca="false">AB577*N(AF577)</f>
        <v>0</v>
      </c>
      <c r="AN577" s="15" t="n">
        <f aca="false">AB577*N(R577)</f>
        <v>0</v>
      </c>
      <c r="AO577" s="21" t="str">
        <f aca="false">IF(F577&lt;&gt;"Y","n/a",IF(AND(N577&lt;&gt;"",OR(Q577&lt;&gt;"",G577="Other / bench",G577="None"),U577&lt;&gt;""),"OK","Missing"))</f>
        <v>Missing</v>
      </c>
    </row>
    <row r="578" customFormat="false" ht="15" hidden="false" customHeight="false" outlineLevel="0" collapsed="false">
      <c r="A578" s="10" t="s">
        <v>508</v>
      </c>
      <c r="B578" s="10" t="s">
        <v>740</v>
      </c>
      <c r="C578" s="10" t="s">
        <v>509</v>
      </c>
      <c r="D578" s="10" t="s">
        <v>743</v>
      </c>
      <c r="E578" s="21" t="str">
        <f aca="false">IF(A578="","",A578&amp;"|"&amp;D578)</f>
        <v>Meglumine|Compendial tests</v>
      </c>
      <c r="F578" s="16" t="s">
        <v>662</v>
      </c>
      <c r="G578" s="16" t="s">
        <v>670</v>
      </c>
      <c r="H578" s="16" t="s">
        <v>672</v>
      </c>
      <c r="I578" s="16" t="n">
        <v>1</v>
      </c>
      <c r="J578" s="16"/>
      <c r="K578" s="14"/>
      <c r="L578" s="14"/>
      <c r="M578" s="14"/>
      <c r="N578" s="14"/>
      <c r="O578" s="14"/>
      <c r="P578" s="18" t="n">
        <f aca="false">IF(N578="",0,IF(OR(M578="",O578=""),N578,(M578+4*N578+O578)/6))</f>
        <v>0</v>
      </c>
      <c r="Q578" s="14"/>
      <c r="R578" s="14"/>
      <c r="S578" s="14"/>
      <c r="T578" s="14"/>
      <c r="U578" s="16"/>
      <c r="V578" s="13"/>
      <c r="W578" s="16" t="s">
        <v>667</v>
      </c>
      <c r="X578" s="16"/>
      <c r="Y578" s="16"/>
      <c r="Z578" s="16" t="s">
        <v>744</v>
      </c>
      <c r="AA578" s="22" t="n">
        <f aca="false">IF(F578&lt;&gt;"Y",0,((SUMIF(Products!$E$5:$E$300,A578,Products!$F$5:$F$300)+SUMIF(RM_Lots!$A$5:$A$400,A578,RM_Lots!$D$5:$D$400))+IF(W578="Y",SUMIF(Products!$E$5:$E$300,A578,Products!$G$5:$G$300),0))*(1+N(V578)))</f>
        <v>0</v>
      </c>
      <c r="AB578" s="22" t="n">
        <f aca="false">IF(F578&lt;&gt;"Y",0,((SUMIF(Products!$E$5:$E$300,A578,Products!$K$5:$K$300)+SUMIF(RM_Lots!$A$5:$A$400,A578,RM_Lots!$F$5:$F$400))+IF(W578="Y",SUMIF(Products!$E$5:$E$300,A578,Products!$L$5:$L$300),0))*(1+N(V578)))</f>
        <v>0</v>
      </c>
      <c r="AC578" s="17" t="n">
        <f aca="false">IF(J578="",1,MAX(1,COUNTIFS($J$5:$J$863,J578,$F$5:$F$863,"Y")))</f>
        <v>1</v>
      </c>
      <c r="AD578" s="18" t="n">
        <f aca="false">(MAX(1,N(I578))*(P578+N(S578))+MAX(1,N(I578))*N(K578)/(MAX(1,N(U578))*AC578))*Settings!$B$9</f>
        <v>0</v>
      </c>
      <c r="AE578" s="18" t="n">
        <f aca="false">(MAX(1,N(I578))*N(Q578)+MAX(1,N(I578))*N(L578)/(MAX(1,N(U578))*AC578))*Settings!$B$8</f>
        <v>0</v>
      </c>
      <c r="AF578" s="18" t="n">
        <f aca="false">MAX(1,N(I578))*N(T578)</f>
        <v>0</v>
      </c>
      <c r="AG578" s="15" t="n">
        <f aca="false">AA578*N(AD578)</f>
        <v>0</v>
      </c>
      <c r="AH578" s="15" t="n">
        <f aca="false">AA578*N(AE578)</f>
        <v>0</v>
      </c>
      <c r="AI578" s="15" t="n">
        <f aca="false">AA578*N(AF578)</f>
        <v>0</v>
      </c>
      <c r="AJ578" s="15" t="n">
        <f aca="false">AA578*N(R578)</f>
        <v>0</v>
      </c>
      <c r="AK578" s="15" t="n">
        <f aca="false">AB578*N(AD578)</f>
        <v>0</v>
      </c>
      <c r="AL578" s="15" t="n">
        <f aca="false">AB578*N(AE578)</f>
        <v>0</v>
      </c>
      <c r="AM578" s="15" t="n">
        <f aca="false">AB578*N(AF578)</f>
        <v>0</v>
      </c>
      <c r="AN578" s="15" t="n">
        <f aca="false">AB578*N(R578)</f>
        <v>0</v>
      </c>
      <c r="AO578" s="21" t="str">
        <f aca="false">IF(F578&lt;&gt;"Y","n/a",IF(AND(N578&lt;&gt;"",OR(Q578&lt;&gt;"",G578="Other / bench",G578="None"),U578&lt;&gt;""),"OK","Missing"))</f>
        <v>Missing</v>
      </c>
    </row>
    <row r="579" customFormat="false" ht="15" hidden="false" customHeight="false" outlineLevel="0" collapsed="false">
      <c r="A579" s="10" t="s">
        <v>510</v>
      </c>
      <c r="B579" s="10" t="s">
        <v>740</v>
      </c>
      <c r="C579" s="10" t="s">
        <v>509</v>
      </c>
      <c r="D579" s="10" t="s">
        <v>743</v>
      </c>
      <c r="E579" s="21" t="str">
        <f aca="false">IF(A579="","",A579&amp;"|"&amp;D579)</f>
        <v>Sodium Hydroxide|Compendial tests</v>
      </c>
      <c r="F579" s="16" t="s">
        <v>662</v>
      </c>
      <c r="G579" s="16" t="s">
        <v>670</v>
      </c>
      <c r="H579" s="16" t="s">
        <v>672</v>
      </c>
      <c r="I579" s="16" t="n">
        <v>1</v>
      </c>
      <c r="J579" s="16"/>
      <c r="K579" s="14"/>
      <c r="L579" s="14"/>
      <c r="M579" s="14"/>
      <c r="N579" s="14"/>
      <c r="O579" s="14"/>
      <c r="P579" s="18" t="n">
        <f aca="false">IF(N579="",0,IF(OR(M579="",O579=""),N579,(M579+4*N579+O579)/6))</f>
        <v>0</v>
      </c>
      <c r="Q579" s="14"/>
      <c r="R579" s="14"/>
      <c r="S579" s="14"/>
      <c r="T579" s="14"/>
      <c r="U579" s="16"/>
      <c r="V579" s="13"/>
      <c r="W579" s="16" t="s">
        <v>667</v>
      </c>
      <c r="X579" s="16"/>
      <c r="Y579" s="16"/>
      <c r="Z579" s="16" t="s">
        <v>744</v>
      </c>
      <c r="AA579" s="22" t="n">
        <f aca="false">IF(F579&lt;&gt;"Y",0,((SUMIF(Products!$E$5:$E$300,A579,Products!$F$5:$F$300)+SUMIF(RM_Lots!$A$5:$A$400,A579,RM_Lots!$D$5:$D$400))+IF(W579="Y",SUMIF(Products!$E$5:$E$300,A579,Products!$G$5:$G$300),0))*(1+N(V579)))</f>
        <v>0</v>
      </c>
      <c r="AB579" s="22" t="n">
        <f aca="false">IF(F579&lt;&gt;"Y",0,((SUMIF(Products!$E$5:$E$300,A579,Products!$K$5:$K$300)+SUMIF(RM_Lots!$A$5:$A$400,A579,RM_Lots!$F$5:$F$400))+IF(W579="Y",SUMIF(Products!$E$5:$E$300,A579,Products!$L$5:$L$300),0))*(1+N(V579)))</f>
        <v>0</v>
      </c>
      <c r="AC579" s="17" t="n">
        <f aca="false">IF(J579="",1,MAX(1,COUNTIFS($J$5:$J$863,J579,$F$5:$F$863,"Y")))</f>
        <v>1</v>
      </c>
      <c r="AD579" s="18" t="n">
        <f aca="false">(MAX(1,N(I579))*(P579+N(S579))+MAX(1,N(I579))*N(K579)/(MAX(1,N(U579))*AC579))*Settings!$B$9</f>
        <v>0</v>
      </c>
      <c r="AE579" s="18" t="n">
        <f aca="false">(MAX(1,N(I579))*N(Q579)+MAX(1,N(I579))*N(L579)/(MAX(1,N(U579))*AC579))*Settings!$B$8</f>
        <v>0</v>
      </c>
      <c r="AF579" s="18" t="n">
        <f aca="false">MAX(1,N(I579))*N(T579)</f>
        <v>0</v>
      </c>
      <c r="AG579" s="15" t="n">
        <f aca="false">AA579*N(AD579)</f>
        <v>0</v>
      </c>
      <c r="AH579" s="15" t="n">
        <f aca="false">AA579*N(AE579)</f>
        <v>0</v>
      </c>
      <c r="AI579" s="15" t="n">
        <f aca="false">AA579*N(AF579)</f>
        <v>0</v>
      </c>
      <c r="AJ579" s="15" t="n">
        <f aca="false">AA579*N(R579)</f>
        <v>0</v>
      </c>
      <c r="AK579" s="15" t="n">
        <f aca="false">AB579*N(AD579)</f>
        <v>0</v>
      </c>
      <c r="AL579" s="15" t="n">
        <f aca="false">AB579*N(AE579)</f>
        <v>0</v>
      </c>
      <c r="AM579" s="15" t="n">
        <f aca="false">AB579*N(AF579)</f>
        <v>0</v>
      </c>
      <c r="AN579" s="15" t="n">
        <f aca="false">AB579*N(R579)</f>
        <v>0</v>
      </c>
      <c r="AO579" s="21" t="str">
        <f aca="false">IF(F579&lt;&gt;"Y","n/a",IF(AND(N579&lt;&gt;"",OR(Q579&lt;&gt;"",G579="Other / bench",G579="None"),U579&lt;&gt;""),"OK","Missing"))</f>
        <v>Missing</v>
      </c>
    </row>
    <row r="580" customFormat="false" ht="15" hidden="false" customHeight="false" outlineLevel="0" collapsed="false">
      <c r="A580" s="10" t="s">
        <v>511</v>
      </c>
      <c r="B580" s="10" t="s">
        <v>740</v>
      </c>
      <c r="C580" s="10" t="s">
        <v>512</v>
      </c>
      <c r="D580" s="10" t="s">
        <v>743</v>
      </c>
      <c r="E580" s="21" t="str">
        <f aca="false">IF(A580="","",A580&amp;"|"&amp;D580)</f>
        <v>PVP K30|Compendial tests</v>
      </c>
      <c r="F580" s="16" t="s">
        <v>662</v>
      </c>
      <c r="G580" s="16" t="s">
        <v>670</v>
      </c>
      <c r="H580" s="16" t="s">
        <v>672</v>
      </c>
      <c r="I580" s="16" t="n">
        <v>1</v>
      </c>
      <c r="J580" s="16"/>
      <c r="K580" s="14"/>
      <c r="L580" s="14"/>
      <c r="M580" s="14"/>
      <c r="N580" s="14"/>
      <c r="O580" s="14"/>
      <c r="P580" s="18" t="n">
        <f aca="false">IF(N580="",0,IF(OR(M580="",O580=""),N580,(M580+4*N580+O580)/6))</f>
        <v>0</v>
      </c>
      <c r="Q580" s="14"/>
      <c r="R580" s="14"/>
      <c r="S580" s="14"/>
      <c r="T580" s="14"/>
      <c r="U580" s="16"/>
      <c r="V580" s="13"/>
      <c r="W580" s="16" t="s">
        <v>667</v>
      </c>
      <c r="X580" s="16"/>
      <c r="Y580" s="16"/>
      <c r="Z580" s="16" t="s">
        <v>744</v>
      </c>
      <c r="AA580" s="22" t="n">
        <f aca="false">IF(F580&lt;&gt;"Y",0,((SUMIF(Products!$E$5:$E$300,A580,Products!$F$5:$F$300)+SUMIF(RM_Lots!$A$5:$A$400,A580,RM_Lots!$D$5:$D$400))+IF(W580="Y",SUMIF(Products!$E$5:$E$300,A580,Products!$G$5:$G$300),0))*(1+N(V580)))</f>
        <v>0</v>
      </c>
      <c r="AB580" s="22" t="n">
        <f aca="false">IF(F580&lt;&gt;"Y",0,((SUMIF(Products!$E$5:$E$300,A580,Products!$K$5:$K$300)+SUMIF(RM_Lots!$A$5:$A$400,A580,RM_Lots!$F$5:$F$400))+IF(W580="Y",SUMIF(Products!$E$5:$E$300,A580,Products!$L$5:$L$300),0))*(1+N(V580)))</f>
        <v>0</v>
      </c>
      <c r="AC580" s="17" t="n">
        <f aca="false">IF(J580="",1,MAX(1,COUNTIFS($J$5:$J$863,J580,$F$5:$F$863,"Y")))</f>
        <v>1</v>
      </c>
      <c r="AD580" s="18" t="n">
        <f aca="false">(MAX(1,N(I580))*(P580+N(S580))+MAX(1,N(I580))*N(K580)/(MAX(1,N(U580))*AC580))*Settings!$B$9</f>
        <v>0</v>
      </c>
      <c r="AE580" s="18" t="n">
        <f aca="false">(MAX(1,N(I580))*N(Q580)+MAX(1,N(I580))*N(L580)/(MAX(1,N(U580))*AC580))*Settings!$B$8</f>
        <v>0</v>
      </c>
      <c r="AF580" s="18" t="n">
        <f aca="false">MAX(1,N(I580))*N(T580)</f>
        <v>0</v>
      </c>
      <c r="AG580" s="15" t="n">
        <f aca="false">AA580*N(AD580)</f>
        <v>0</v>
      </c>
      <c r="AH580" s="15" t="n">
        <f aca="false">AA580*N(AE580)</f>
        <v>0</v>
      </c>
      <c r="AI580" s="15" t="n">
        <f aca="false">AA580*N(AF580)</f>
        <v>0</v>
      </c>
      <c r="AJ580" s="15" t="n">
        <f aca="false">AA580*N(R580)</f>
        <v>0</v>
      </c>
      <c r="AK580" s="15" t="n">
        <f aca="false">AB580*N(AD580)</f>
        <v>0</v>
      </c>
      <c r="AL580" s="15" t="n">
        <f aca="false">AB580*N(AE580)</f>
        <v>0</v>
      </c>
      <c r="AM580" s="15" t="n">
        <f aca="false">AB580*N(AF580)</f>
        <v>0</v>
      </c>
      <c r="AN580" s="15" t="n">
        <f aca="false">AB580*N(R580)</f>
        <v>0</v>
      </c>
      <c r="AO580" s="21" t="str">
        <f aca="false">IF(F580&lt;&gt;"Y","n/a",IF(AND(N580&lt;&gt;"",OR(Q580&lt;&gt;"",G580="Other / bench",G580="None"),U580&lt;&gt;""),"OK","Missing"))</f>
        <v>Missing</v>
      </c>
    </row>
    <row r="581" customFormat="false" ht="15" hidden="false" customHeight="false" outlineLevel="0" collapsed="false">
      <c r="A581" s="10" t="s">
        <v>513</v>
      </c>
      <c r="B581" s="10" t="s">
        <v>740</v>
      </c>
      <c r="C581" s="10" t="s">
        <v>512</v>
      </c>
      <c r="D581" s="10" t="s">
        <v>743</v>
      </c>
      <c r="E581" s="21" t="str">
        <f aca="false">IF(A581="","",A581&amp;"|"&amp;D581)</f>
        <v>PVP K90|Compendial tests</v>
      </c>
      <c r="F581" s="16" t="s">
        <v>662</v>
      </c>
      <c r="G581" s="16" t="s">
        <v>670</v>
      </c>
      <c r="H581" s="16" t="s">
        <v>672</v>
      </c>
      <c r="I581" s="16" t="n">
        <v>1</v>
      </c>
      <c r="J581" s="16"/>
      <c r="K581" s="14"/>
      <c r="L581" s="14"/>
      <c r="M581" s="14"/>
      <c r="N581" s="14"/>
      <c r="O581" s="14"/>
      <c r="P581" s="18" t="n">
        <f aca="false">IF(N581="",0,IF(OR(M581="",O581=""),N581,(M581+4*N581+O581)/6))</f>
        <v>0</v>
      </c>
      <c r="Q581" s="14"/>
      <c r="R581" s="14"/>
      <c r="S581" s="14"/>
      <c r="T581" s="14"/>
      <c r="U581" s="16"/>
      <c r="V581" s="13"/>
      <c r="W581" s="16" t="s">
        <v>667</v>
      </c>
      <c r="X581" s="16"/>
      <c r="Y581" s="16"/>
      <c r="Z581" s="16" t="s">
        <v>744</v>
      </c>
      <c r="AA581" s="22" t="n">
        <f aca="false">IF(F581&lt;&gt;"Y",0,((SUMIF(Products!$E$5:$E$300,A581,Products!$F$5:$F$300)+SUMIF(RM_Lots!$A$5:$A$400,A581,RM_Lots!$D$5:$D$400))+IF(W581="Y",SUMIF(Products!$E$5:$E$300,A581,Products!$G$5:$G$300),0))*(1+N(V581)))</f>
        <v>0</v>
      </c>
      <c r="AB581" s="22" t="n">
        <f aca="false">IF(F581&lt;&gt;"Y",0,((SUMIF(Products!$E$5:$E$300,A581,Products!$K$5:$K$300)+SUMIF(RM_Lots!$A$5:$A$400,A581,RM_Lots!$F$5:$F$400))+IF(W581="Y",SUMIF(Products!$E$5:$E$300,A581,Products!$L$5:$L$300),0))*(1+N(V581)))</f>
        <v>0</v>
      </c>
      <c r="AC581" s="17" t="n">
        <f aca="false">IF(J581="",1,MAX(1,COUNTIFS($J$5:$J$863,J581,$F$5:$F$863,"Y")))</f>
        <v>1</v>
      </c>
      <c r="AD581" s="18" t="n">
        <f aca="false">(MAX(1,N(I581))*(P581+N(S581))+MAX(1,N(I581))*N(K581)/(MAX(1,N(U581))*AC581))*Settings!$B$9</f>
        <v>0</v>
      </c>
      <c r="AE581" s="18" t="n">
        <f aca="false">(MAX(1,N(I581))*N(Q581)+MAX(1,N(I581))*N(L581)/(MAX(1,N(U581))*AC581))*Settings!$B$8</f>
        <v>0</v>
      </c>
      <c r="AF581" s="18" t="n">
        <f aca="false">MAX(1,N(I581))*N(T581)</f>
        <v>0</v>
      </c>
      <c r="AG581" s="15" t="n">
        <f aca="false">AA581*N(AD581)</f>
        <v>0</v>
      </c>
      <c r="AH581" s="15" t="n">
        <f aca="false">AA581*N(AE581)</f>
        <v>0</v>
      </c>
      <c r="AI581" s="15" t="n">
        <f aca="false">AA581*N(AF581)</f>
        <v>0</v>
      </c>
      <c r="AJ581" s="15" t="n">
        <f aca="false">AA581*N(R581)</f>
        <v>0</v>
      </c>
      <c r="AK581" s="15" t="n">
        <f aca="false">AB581*N(AD581)</f>
        <v>0</v>
      </c>
      <c r="AL581" s="15" t="n">
        <f aca="false">AB581*N(AE581)</f>
        <v>0</v>
      </c>
      <c r="AM581" s="15" t="n">
        <f aca="false">AB581*N(AF581)</f>
        <v>0</v>
      </c>
      <c r="AN581" s="15" t="n">
        <f aca="false">AB581*N(R581)</f>
        <v>0</v>
      </c>
      <c r="AO581" s="21" t="str">
        <f aca="false">IF(F581&lt;&gt;"Y","n/a",IF(AND(N581&lt;&gt;"",OR(Q581&lt;&gt;"",G581="Other / bench",G581="None"),U581&lt;&gt;""),"OK","Missing"))</f>
        <v>Missing</v>
      </c>
    </row>
    <row r="582" customFormat="false" ht="15" hidden="false" customHeight="false" outlineLevel="0" collapsed="false">
      <c r="A582" s="10" t="s">
        <v>514</v>
      </c>
      <c r="B582" s="10" t="s">
        <v>740</v>
      </c>
      <c r="C582" s="10" t="s">
        <v>515</v>
      </c>
      <c r="D582" s="10" t="s">
        <v>743</v>
      </c>
      <c r="E582" s="21" t="str">
        <f aca="false">IF(A582="","",A582&amp;"|"&amp;D582)</f>
        <v>HPMC 15cps (Hypromellose)|Compendial tests</v>
      </c>
      <c r="F582" s="16" t="s">
        <v>662</v>
      </c>
      <c r="G582" s="16" t="s">
        <v>670</v>
      </c>
      <c r="H582" s="16" t="s">
        <v>672</v>
      </c>
      <c r="I582" s="16" t="n">
        <v>1</v>
      </c>
      <c r="J582" s="16"/>
      <c r="K582" s="14"/>
      <c r="L582" s="14"/>
      <c r="M582" s="14"/>
      <c r="N582" s="14"/>
      <c r="O582" s="14"/>
      <c r="P582" s="18" t="n">
        <f aca="false">IF(N582="",0,IF(OR(M582="",O582=""),N582,(M582+4*N582+O582)/6))</f>
        <v>0</v>
      </c>
      <c r="Q582" s="14"/>
      <c r="R582" s="14"/>
      <c r="S582" s="14"/>
      <c r="T582" s="14"/>
      <c r="U582" s="16"/>
      <c r="V582" s="13"/>
      <c r="W582" s="16" t="s">
        <v>667</v>
      </c>
      <c r="X582" s="16"/>
      <c r="Y582" s="16"/>
      <c r="Z582" s="16" t="s">
        <v>744</v>
      </c>
      <c r="AA582" s="22" t="n">
        <f aca="false">IF(F582&lt;&gt;"Y",0,((SUMIF(Products!$E$5:$E$300,A582,Products!$F$5:$F$300)+SUMIF(RM_Lots!$A$5:$A$400,A582,RM_Lots!$D$5:$D$400))+IF(W582="Y",SUMIF(Products!$E$5:$E$300,A582,Products!$G$5:$G$300),0))*(1+N(V582)))</f>
        <v>0</v>
      </c>
      <c r="AB582" s="22" t="n">
        <f aca="false">IF(F582&lt;&gt;"Y",0,((SUMIF(Products!$E$5:$E$300,A582,Products!$K$5:$K$300)+SUMIF(RM_Lots!$A$5:$A$400,A582,RM_Lots!$F$5:$F$400))+IF(W582="Y",SUMIF(Products!$E$5:$E$300,A582,Products!$L$5:$L$300),0))*(1+N(V582)))</f>
        <v>0</v>
      </c>
      <c r="AC582" s="17" t="n">
        <f aca="false">IF(J582="",1,MAX(1,COUNTIFS($J$5:$J$863,J582,$F$5:$F$863,"Y")))</f>
        <v>1</v>
      </c>
      <c r="AD582" s="18" t="n">
        <f aca="false">(MAX(1,N(I582))*(P582+N(S582))+MAX(1,N(I582))*N(K582)/(MAX(1,N(U582))*AC582))*Settings!$B$9</f>
        <v>0</v>
      </c>
      <c r="AE582" s="18" t="n">
        <f aca="false">(MAX(1,N(I582))*N(Q582)+MAX(1,N(I582))*N(L582)/(MAX(1,N(U582))*AC582))*Settings!$B$8</f>
        <v>0</v>
      </c>
      <c r="AF582" s="18" t="n">
        <f aca="false">MAX(1,N(I582))*N(T582)</f>
        <v>0</v>
      </c>
      <c r="AG582" s="15" t="n">
        <f aca="false">AA582*N(AD582)</f>
        <v>0</v>
      </c>
      <c r="AH582" s="15" t="n">
        <f aca="false">AA582*N(AE582)</f>
        <v>0</v>
      </c>
      <c r="AI582" s="15" t="n">
        <f aca="false">AA582*N(AF582)</f>
        <v>0</v>
      </c>
      <c r="AJ582" s="15" t="n">
        <f aca="false">AA582*N(R582)</f>
        <v>0</v>
      </c>
      <c r="AK582" s="15" t="n">
        <f aca="false">AB582*N(AD582)</f>
        <v>0</v>
      </c>
      <c r="AL582" s="15" t="n">
        <f aca="false">AB582*N(AE582)</f>
        <v>0</v>
      </c>
      <c r="AM582" s="15" t="n">
        <f aca="false">AB582*N(AF582)</f>
        <v>0</v>
      </c>
      <c r="AN582" s="15" t="n">
        <f aca="false">AB582*N(R582)</f>
        <v>0</v>
      </c>
      <c r="AO582" s="21" t="str">
        <f aca="false">IF(F582&lt;&gt;"Y","n/a",IF(AND(N582&lt;&gt;"",OR(Q582&lt;&gt;"",G582="Other / bench",G582="None"),U582&lt;&gt;""),"OK","Missing"))</f>
        <v>Missing</v>
      </c>
    </row>
    <row r="583" customFormat="false" ht="15" hidden="false" customHeight="false" outlineLevel="0" collapsed="false">
      <c r="A583" s="10" t="s">
        <v>516</v>
      </c>
      <c r="B583" s="10" t="s">
        <v>740</v>
      </c>
      <c r="C583" s="10" t="s">
        <v>515</v>
      </c>
      <c r="D583" s="10" t="s">
        <v>743</v>
      </c>
      <c r="E583" s="21" t="str">
        <f aca="false">IF(A583="","",A583&amp;"|"&amp;D583)</f>
        <v>HPMC 6cps (Hypromellose)|Compendial tests</v>
      </c>
      <c r="F583" s="16" t="s">
        <v>662</v>
      </c>
      <c r="G583" s="16" t="s">
        <v>670</v>
      </c>
      <c r="H583" s="16" t="s">
        <v>672</v>
      </c>
      <c r="I583" s="16" t="n">
        <v>1</v>
      </c>
      <c r="J583" s="16"/>
      <c r="K583" s="14"/>
      <c r="L583" s="14"/>
      <c r="M583" s="14"/>
      <c r="N583" s="14"/>
      <c r="O583" s="14"/>
      <c r="P583" s="18" t="n">
        <f aca="false">IF(N583="",0,IF(OR(M583="",O583=""),N583,(M583+4*N583+O583)/6))</f>
        <v>0</v>
      </c>
      <c r="Q583" s="14"/>
      <c r="R583" s="14"/>
      <c r="S583" s="14"/>
      <c r="T583" s="14"/>
      <c r="U583" s="16"/>
      <c r="V583" s="13"/>
      <c r="W583" s="16" t="s">
        <v>667</v>
      </c>
      <c r="X583" s="16"/>
      <c r="Y583" s="16"/>
      <c r="Z583" s="16" t="s">
        <v>744</v>
      </c>
      <c r="AA583" s="22" t="n">
        <f aca="false">IF(F583&lt;&gt;"Y",0,((SUMIF(Products!$E$5:$E$300,A583,Products!$F$5:$F$300)+SUMIF(RM_Lots!$A$5:$A$400,A583,RM_Lots!$D$5:$D$400))+IF(W583="Y",SUMIF(Products!$E$5:$E$300,A583,Products!$G$5:$G$300),0))*(1+N(V583)))</f>
        <v>0</v>
      </c>
      <c r="AB583" s="22" t="n">
        <f aca="false">IF(F583&lt;&gt;"Y",0,((SUMIF(Products!$E$5:$E$300,A583,Products!$K$5:$K$300)+SUMIF(RM_Lots!$A$5:$A$400,A583,RM_Lots!$F$5:$F$400))+IF(W583="Y",SUMIF(Products!$E$5:$E$300,A583,Products!$L$5:$L$300),0))*(1+N(V583)))</f>
        <v>0</v>
      </c>
      <c r="AC583" s="17" t="n">
        <f aca="false">IF(J583="",1,MAX(1,COUNTIFS($J$5:$J$863,J583,$F$5:$F$863,"Y")))</f>
        <v>1</v>
      </c>
      <c r="AD583" s="18" t="n">
        <f aca="false">(MAX(1,N(I583))*(P583+N(S583))+MAX(1,N(I583))*N(K583)/(MAX(1,N(U583))*AC583))*Settings!$B$9</f>
        <v>0</v>
      </c>
      <c r="AE583" s="18" t="n">
        <f aca="false">(MAX(1,N(I583))*N(Q583)+MAX(1,N(I583))*N(L583)/(MAX(1,N(U583))*AC583))*Settings!$B$8</f>
        <v>0</v>
      </c>
      <c r="AF583" s="18" t="n">
        <f aca="false">MAX(1,N(I583))*N(T583)</f>
        <v>0</v>
      </c>
      <c r="AG583" s="15" t="n">
        <f aca="false">AA583*N(AD583)</f>
        <v>0</v>
      </c>
      <c r="AH583" s="15" t="n">
        <f aca="false">AA583*N(AE583)</f>
        <v>0</v>
      </c>
      <c r="AI583" s="15" t="n">
        <f aca="false">AA583*N(AF583)</f>
        <v>0</v>
      </c>
      <c r="AJ583" s="15" t="n">
        <f aca="false">AA583*N(R583)</f>
        <v>0</v>
      </c>
      <c r="AK583" s="15" t="n">
        <f aca="false">AB583*N(AD583)</f>
        <v>0</v>
      </c>
      <c r="AL583" s="15" t="n">
        <f aca="false">AB583*N(AE583)</f>
        <v>0</v>
      </c>
      <c r="AM583" s="15" t="n">
        <f aca="false">AB583*N(AF583)</f>
        <v>0</v>
      </c>
      <c r="AN583" s="15" t="n">
        <f aca="false">AB583*N(R583)</f>
        <v>0</v>
      </c>
      <c r="AO583" s="21" t="str">
        <f aca="false">IF(F583&lt;&gt;"Y","n/a",IF(AND(N583&lt;&gt;"",OR(Q583&lt;&gt;"",G583="Other / bench",G583="None"),U583&lt;&gt;""),"OK","Missing"))</f>
        <v>Missing</v>
      </c>
    </row>
    <row r="584" customFormat="false" ht="15" hidden="false" customHeight="false" outlineLevel="0" collapsed="false">
      <c r="A584" s="10" t="s">
        <v>517</v>
      </c>
      <c r="B584" s="10" t="s">
        <v>740</v>
      </c>
      <c r="C584" s="10" t="s">
        <v>518</v>
      </c>
      <c r="D584" s="10" t="s">
        <v>743</v>
      </c>
      <c r="E584" s="21" t="str">
        <f aca="false">IF(A584="","",A584&amp;"|"&amp;D584)</f>
        <v>Hard Gelatin Capsule|Compendial tests</v>
      </c>
      <c r="F584" s="16" t="s">
        <v>662</v>
      </c>
      <c r="G584" s="16" t="s">
        <v>670</v>
      </c>
      <c r="H584" s="16" t="s">
        <v>672</v>
      </c>
      <c r="I584" s="16" t="n">
        <v>1</v>
      </c>
      <c r="J584" s="16"/>
      <c r="K584" s="14"/>
      <c r="L584" s="14"/>
      <c r="M584" s="14"/>
      <c r="N584" s="14"/>
      <c r="O584" s="14"/>
      <c r="P584" s="18" t="n">
        <f aca="false">IF(N584="",0,IF(OR(M584="",O584=""),N584,(M584+4*N584+O584)/6))</f>
        <v>0</v>
      </c>
      <c r="Q584" s="14"/>
      <c r="R584" s="14"/>
      <c r="S584" s="14"/>
      <c r="T584" s="14"/>
      <c r="U584" s="16"/>
      <c r="V584" s="13"/>
      <c r="W584" s="16" t="s">
        <v>667</v>
      </c>
      <c r="X584" s="16"/>
      <c r="Y584" s="16"/>
      <c r="Z584" s="16" t="s">
        <v>744</v>
      </c>
      <c r="AA584" s="22" t="n">
        <f aca="false">IF(F584&lt;&gt;"Y",0,((SUMIF(Products!$E$5:$E$300,A584,Products!$F$5:$F$300)+SUMIF(RM_Lots!$A$5:$A$400,A584,RM_Lots!$D$5:$D$400))+IF(W584="Y",SUMIF(Products!$E$5:$E$300,A584,Products!$G$5:$G$300),0))*(1+N(V584)))</f>
        <v>0</v>
      </c>
      <c r="AB584" s="22" t="n">
        <f aca="false">IF(F584&lt;&gt;"Y",0,((SUMIF(Products!$E$5:$E$300,A584,Products!$K$5:$K$300)+SUMIF(RM_Lots!$A$5:$A$400,A584,RM_Lots!$F$5:$F$400))+IF(W584="Y",SUMIF(Products!$E$5:$E$300,A584,Products!$L$5:$L$300),0))*(1+N(V584)))</f>
        <v>0</v>
      </c>
      <c r="AC584" s="17" t="n">
        <f aca="false">IF(J584="",1,MAX(1,COUNTIFS($J$5:$J$863,J584,$F$5:$F$863,"Y")))</f>
        <v>1</v>
      </c>
      <c r="AD584" s="18" t="n">
        <f aca="false">(MAX(1,N(I584))*(P584+N(S584))+MAX(1,N(I584))*N(K584)/(MAX(1,N(U584))*AC584))*Settings!$B$9</f>
        <v>0</v>
      </c>
      <c r="AE584" s="18" t="n">
        <f aca="false">(MAX(1,N(I584))*N(Q584)+MAX(1,N(I584))*N(L584)/(MAX(1,N(U584))*AC584))*Settings!$B$8</f>
        <v>0</v>
      </c>
      <c r="AF584" s="18" t="n">
        <f aca="false">MAX(1,N(I584))*N(T584)</f>
        <v>0</v>
      </c>
      <c r="AG584" s="15" t="n">
        <f aca="false">AA584*N(AD584)</f>
        <v>0</v>
      </c>
      <c r="AH584" s="15" t="n">
        <f aca="false">AA584*N(AE584)</f>
        <v>0</v>
      </c>
      <c r="AI584" s="15" t="n">
        <f aca="false">AA584*N(AF584)</f>
        <v>0</v>
      </c>
      <c r="AJ584" s="15" t="n">
        <f aca="false">AA584*N(R584)</f>
        <v>0</v>
      </c>
      <c r="AK584" s="15" t="n">
        <f aca="false">AB584*N(AD584)</f>
        <v>0</v>
      </c>
      <c r="AL584" s="15" t="n">
        <f aca="false">AB584*N(AE584)</f>
        <v>0</v>
      </c>
      <c r="AM584" s="15" t="n">
        <f aca="false">AB584*N(AF584)</f>
        <v>0</v>
      </c>
      <c r="AN584" s="15" t="n">
        <f aca="false">AB584*N(R584)</f>
        <v>0</v>
      </c>
      <c r="AO584" s="21" t="str">
        <f aca="false">IF(F584&lt;&gt;"Y","n/a",IF(AND(N584&lt;&gt;"",OR(Q584&lt;&gt;"",G584="Other / bench",G584="None"),U584&lt;&gt;""),"OK","Missing"))</f>
        <v>Missing</v>
      </c>
    </row>
    <row r="585" customFormat="false" ht="15" hidden="false" customHeight="false" outlineLevel="0" collapsed="false">
      <c r="A585" s="10" t="s">
        <v>519</v>
      </c>
      <c r="B585" s="10" t="s">
        <v>740</v>
      </c>
      <c r="C585" s="10" t="s">
        <v>520</v>
      </c>
      <c r="D585" s="10" t="s">
        <v>743</v>
      </c>
      <c r="E585" s="21" t="str">
        <f aca="false">IF(A585="","",A585&amp;"|"&amp;D585)</f>
        <v>Edetate Disodium|Compendial tests</v>
      </c>
      <c r="F585" s="16" t="s">
        <v>662</v>
      </c>
      <c r="G585" s="16" t="s">
        <v>670</v>
      </c>
      <c r="H585" s="16" t="s">
        <v>672</v>
      </c>
      <c r="I585" s="16" t="n">
        <v>1</v>
      </c>
      <c r="J585" s="16"/>
      <c r="K585" s="14"/>
      <c r="L585" s="14"/>
      <c r="M585" s="14"/>
      <c r="N585" s="14"/>
      <c r="O585" s="14"/>
      <c r="P585" s="18" t="n">
        <f aca="false">IF(N585="",0,IF(OR(M585="",O585=""),N585,(M585+4*N585+O585)/6))</f>
        <v>0</v>
      </c>
      <c r="Q585" s="14"/>
      <c r="R585" s="14"/>
      <c r="S585" s="14"/>
      <c r="T585" s="14"/>
      <c r="U585" s="16"/>
      <c r="V585" s="13"/>
      <c r="W585" s="16" t="s">
        <v>667</v>
      </c>
      <c r="X585" s="16"/>
      <c r="Y585" s="16"/>
      <c r="Z585" s="16" t="s">
        <v>744</v>
      </c>
      <c r="AA585" s="22" t="n">
        <f aca="false">IF(F585&lt;&gt;"Y",0,((SUMIF(Products!$E$5:$E$300,A585,Products!$F$5:$F$300)+SUMIF(RM_Lots!$A$5:$A$400,A585,RM_Lots!$D$5:$D$400))+IF(W585="Y",SUMIF(Products!$E$5:$E$300,A585,Products!$G$5:$G$300),0))*(1+N(V585)))</f>
        <v>0</v>
      </c>
      <c r="AB585" s="22" t="n">
        <f aca="false">IF(F585&lt;&gt;"Y",0,((SUMIF(Products!$E$5:$E$300,A585,Products!$K$5:$K$300)+SUMIF(RM_Lots!$A$5:$A$400,A585,RM_Lots!$F$5:$F$400))+IF(W585="Y",SUMIF(Products!$E$5:$E$300,A585,Products!$L$5:$L$300),0))*(1+N(V585)))</f>
        <v>0</v>
      </c>
      <c r="AC585" s="17" t="n">
        <f aca="false">IF(J585="",1,MAX(1,COUNTIFS($J$5:$J$863,J585,$F$5:$F$863,"Y")))</f>
        <v>1</v>
      </c>
      <c r="AD585" s="18" t="n">
        <f aca="false">(MAX(1,N(I585))*(P585+N(S585))+MAX(1,N(I585))*N(K585)/(MAX(1,N(U585))*AC585))*Settings!$B$9</f>
        <v>0</v>
      </c>
      <c r="AE585" s="18" t="n">
        <f aca="false">(MAX(1,N(I585))*N(Q585)+MAX(1,N(I585))*N(L585)/(MAX(1,N(U585))*AC585))*Settings!$B$8</f>
        <v>0</v>
      </c>
      <c r="AF585" s="18" t="n">
        <f aca="false">MAX(1,N(I585))*N(T585)</f>
        <v>0</v>
      </c>
      <c r="AG585" s="15" t="n">
        <f aca="false">AA585*N(AD585)</f>
        <v>0</v>
      </c>
      <c r="AH585" s="15" t="n">
        <f aca="false">AA585*N(AE585)</f>
        <v>0</v>
      </c>
      <c r="AI585" s="15" t="n">
        <f aca="false">AA585*N(AF585)</f>
        <v>0</v>
      </c>
      <c r="AJ585" s="15" t="n">
        <f aca="false">AA585*N(R585)</f>
        <v>0</v>
      </c>
      <c r="AK585" s="15" t="n">
        <f aca="false">AB585*N(AD585)</f>
        <v>0</v>
      </c>
      <c r="AL585" s="15" t="n">
        <f aca="false">AB585*N(AE585)</f>
        <v>0</v>
      </c>
      <c r="AM585" s="15" t="n">
        <f aca="false">AB585*N(AF585)</f>
        <v>0</v>
      </c>
      <c r="AN585" s="15" t="n">
        <f aca="false">AB585*N(R585)</f>
        <v>0</v>
      </c>
      <c r="AO585" s="21" t="str">
        <f aca="false">IF(F585&lt;&gt;"Y","n/a",IF(AND(N585&lt;&gt;"",OR(Q585&lt;&gt;"",G585="Other / bench",G585="None"),U585&lt;&gt;""),"OK","Missing"))</f>
        <v>Missing</v>
      </c>
    </row>
    <row r="586" customFormat="false" ht="15" hidden="false" customHeight="false" outlineLevel="0" collapsed="false">
      <c r="A586" s="10" t="s">
        <v>521</v>
      </c>
      <c r="B586" s="10" t="s">
        <v>740</v>
      </c>
      <c r="C586" s="10" t="s">
        <v>522</v>
      </c>
      <c r="D586" s="10" t="s">
        <v>743</v>
      </c>
      <c r="E586" s="21" t="str">
        <f aca="false">IF(A586="","",A586&amp;"|"&amp;D586)</f>
        <v>Allura Red|Compendial tests</v>
      </c>
      <c r="F586" s="16" t="s">
        <v>662</v>
      </c>
      <c r="G586" s="16" t="s">
        <v>670</v>
      </c>
      <c r="H586" s="16" t="s">
        <v>672</v>
      </c>
      <c r="I586" s="16" t="n">
        <v>1</v>
      </c>
      <c r="J586" s="16"/>
      <c r="K586" s="14"/>
      <c r="L586" s="14"/>
      <c r="M586" s="14"/>
      <c r="N586" s="14"/>
      <c r="O586" s="14"/>
      <c r="P586" s="18" t="n">
        <f aca="false">IF(N586="",0,IF(OR(M586="",O586=""),N586,(M586+4*N586+O586)/6))</f>
        <v>0</v>
      </c>
      <c r="Q586" s="14"/>
      <c r="R586" s="14"/>
      <c r="S586" s="14"/>
      <c r="T586" s="14"/>
      <c r="U586" s="16"/>
      <c r="V586" s="13"/>
      <c r="W586" s="16" t="s">
        <v>667</v>
      </c>
      <c r="X586" s="16"/>
      <c r="Y586" s="16"/>
      <c r="Z586" s="16" t="s">
        <v>744</v>
      </c>
      <c r="AA586" s="22" t="n">
        <f aca="false">IF(F586&lt;&gt;"Y",0,((SUMIF(Products!$E$5:$E$300,A586,Products!$F$5:$F$300)+SUMIF(RM_Lots!$A$5:$A$400,A586,RM_Lots!$D$5:$D$400))+IF(W586="Y",SUMIF(Products!$E$5:$E$300,A586,Products!$G$5:$G$300),0))*(1+N(V586)))</f>
        <v>0</v>
      </c>
      <c r="AB586" s="22" t="n">
        <f aca="false">IF(F586&lt;&gt;"Y",0,((SUMIF(Products!$E$5:$E$300,A586,Products!$K$5:$K$300)+SUMIF(RM_Lots!$A$5:$A$400,A586,RM_Lots!$F$5:$F$400))+IF(W586="Y",SUMIF(Products!$E$5:$E$300,A586,Products!$L$5:$L$300),0))*(1+N(V586)))</f>
        <v>0</v>
      </c>
      <c r="AC586" s="17" t="n">
        <f aca="false">IF(J586="",1,MAX(1,COUNTIFS($J$5:$J$863,J586,$F$5:$F$863,"Y")))</f>
        <v>1</v>
      </c>
      <c r="AD586" s="18" t="n">
        <f aca="false">(MAX(1,N(I586))*(P586+N(S586))+MAX(1,N(I586))*N(K586)/(MAX(1,N(U586))*AC586))*Settings!$B$9</f>
        <v>0</v>
      </c>
      <c r="AE586" s="18" t="n">
        <f aca="false">(MAX(1,N(I586))*N(Q586)+MAX(1,N(I586))*N(L586)/(MAX(1,N(U586))*AC586))*Settings!$B$8</f>
        <v>0</v>
      </c>
      <c r="AF586" s="18" t="n">
        <f aca="false">MAX(1,N(I586))*N(T586)</f>
        <v>0</v>
      </c>
      <c r="AG586" s="15" t="n">
        <f aca="false">AA586*N(AD586)</f>
        <v>0</v>
      </c>
      <c r="AH586" s="15" t="n">
        <f aca="false">AA586*N(AE586)</f>
        <v>0</v>
      </c>
      <c r="AI586" s="15" t="n">
        <f aca="false">AA586*N(AF586)</f>
        <v>0</v>
      </c>
      <c r="AJ586" s="15" t="n">
        <f aca="false">AA586*N(R586)</f>
        <v>0</v>
      </c>
      <c r="AK586" s="15" t="n">
        <f aca="false">AB586*N(AD586)</f>
        <v>0</v>
      </c>
      <c r="AL586" s="15" t="n">
        <f aca="false">AB586*N(AE586)</f>
        <v>0</v>
      </c>
      <c r="AM586" s="15" t="n">
        <f aca="false">AB586*N(AF586)</f>
        <v>0</v>
      </c>
      <c r="AN586" s="15" t="n">
        <f aca="false">AB586*N(R586)</f>
        <v>0</v>
      </c>
      <c r="AO586" s="21" t="str">
        <f aca="false">IF(F586&lt;&gt;"Y","n/a",IF(AND(N586&lt;&gt;"",OR(Q586&lt;&gt;"",G586="Other / bench",G586="None"),U586&lt;&gt;""),"OK","Missing"))</f>
        <v>Missing</v>
      </c>
    </row>
    <row r="587" customFormat="false" ht="15" hidden="false" customHeight="false" outlineLevel="0" collapsed="false">
      <c r="A587" s="10" t="s">
        <v>523</v>
      </c>
      <c r="B587" s="10" t="s">
        <v>740</v>
      </c>
      <c r="C587" s="10" t="s">
        <v>522</v>
      </c>
      <c r="D587" s="10" t="s">
        <v>743</v>
      </c>
      <c r="E587" s="21" t="str">
        <f aca="false">IF(A587="","",A587&amp;"|"&amp;D587)</f>
        <v>Apple Green Color|Compendial tests</v>
      </c>
      <c r="F587" s="16" t="s">
        <v>662</v>
      </c>
      <c r="G587" s="16" t="s">
        <v>670</v>
      </c>
      <c r="H587" s="16" t="s">
        <v>672</v>
      </c>
      <c r="I587" s="16" t="n">
        <v>1</v>
      </c>
      <c r="J587" s="16"/>
      <c r="K587" s="14"/>
      <c r="L587" s="14"/>
      <c r="M587" s="14"/>
      <c r="N587" s="14"/>
      <c r="O587" s="14"/>
      <c r="P587" s="18" t="n">
        <f aca="false">IF(N587="",0,IF(OR(M587="",O587=""),N587,(M587+4*N587+O587)/6))</f>
        <v>0</v>
      </c>
      <c r="Q587" s="14"/>
      <c r="R587" s="14"/>
      <c r="S587" s="14"/>
      <c r="T587" s="14"/>
      <c r="U587" s="16"/>
      <c r="V587" s="13"/>
      <c r="W587" s="16" t="s">
        <v>667</v>
      </c>
      <c r="X587" s="16"/>
      <c r="Y587" s="16"/>
      <c r="Z587" s="16" t="s">
        <v>744</v>
      </c>
      <c r="AA587" s="22" t="n">
        <f aca="false">IF(F587&lt;&gt;"Y",0,((SUMIF(Products!$E$5:$E$300,A587,Products!$F$5:$F$300)+SUMIF(RM_Lots!$A$5:$A$400,A587,RM_Lots!$D$5:$D$400))+IF(W587="Y",SUMIF(Products!$E$5:$E$300,A587,Products!$G$5:$G$300),0))*(1+N(V587)))</f>
        <v>0</v>
      </c>
      <c r="AB587" s="22" t="n">
        <f aca="false">IF(F587&lt;&gt;"Y",0,((SUMIF(Products!$E$5:$E$300,A587,Products!$K$5:$K$300)+SUMIF(RM_Lots!$A$5:$A$400,A587,RM_Lots!$F$5:$F$400))+IF(W587="Y",SUMIF(Products!$E$5:$E$300,A587,Products!$L$5:$L$300),0))*(1+N(V587)))</f>
        <v>0</v>
      </c>
      <c r="AC587" s="17" t="n">
        <f aca="false">IF(J587="",1,MAX(1,COUNTIFS($J$5:$J$863,J587,$F$5:$F$863,"Y")))</f>
        <v>1</v>
      </c>
      <c r="AD587" s="18" t="n">
        <f aca="false">(MAX(1,N(I587))*(P587+N(S587))+MAX(1,N(I587))*N(K587)/(MAX(1,N(U587))*AC587))*Settings!$B$9</f>
        <v>0</v>
      </c>
      <c r="AE587" s="18" t="n">
        <f aca="false">(MAX(1,N(I587))*N(Q587)+MAX(1,N(I587))*N(L587)/(MAX(1,N(U587))*AC587))*Settings!$B$8</f>
        <v>0</v>
      </c>
      <c r="AF587" s="18" t="n">
        <f aca="false">MAX(1,N(I587))*N(T587)</f>
        <v>0</v>
      </c>
      <c r="AG587" s="15" t="n">
        <f aca="false">AA587*N(AD587)</f>
        <v>0</v>
      </c>
      <c r="AH587" s="15" t="n">
        <f aca="false">AA587*N(AE587)</f>
        <v>0</v>
      </c>
      <c r="AI587" s="15" t="n">
        <f aca="false">AA587*N(AF587)</f>
        <v>0</v>
      </c>
      <c r="AJ587" s="15" t="n">
        <f aca="false">AA587*N(R587)</f>
        <v>0</v>
      </c>
      <c r="AK587" s="15" t="n">
        <f aca="false">AB587*N(AD587)</f>
        <v>0</v>
      </c>
      <c r="AL587" s="15" t="n">
        <f aca="false">AB587*N(AE587)</f>
        <v>0</v>
      </c>
      <c r="AM587" s="15" t="n">
        <f aca="false">AB587*N(AF587)</f>
        <v>0</v>
      </c>
      <c r="AN587" s="15" t="n">
        <f aca="false">AB587*N(R587)</f>
        <v>0</v>
      </c>
      <c r="AO587" s="21" t="str">
        <f aca="false">IF(F587&lt;&gt;"Y","n/a",IF(AND(N587&lt;&gt;"",OR(Q587&lt;&gt;"",G587="Other / bench",G587="None"),U587&lt;&gt;""),"OK","Missing"))</f>
        <v>Missing</v>
      </c>
    </row>
    <row r="588" customFormat="false" ht="15" hidden="false" customHeight="false" outlineLevel="0" collapsed="false">
      <c r="A588" s="10" t="s">
        <v>524</v>
      </c>
      <c r="B588" s="10" t="s">
        <v>740</v>
      </c>
      <c r="C588" s="10" t="s">
        <v>522</v>
      </c>
      <c r="D588" s="10" t="s">
        <v>743</v>
      </c>
      <c r="E588" s="21" t="str">
        <f aca="false">IF(A588="","",A588&amp;"|"&amp;D588)</f>
        <v>Apple Green Lake|Compendial tests</v>
      </c>
      <c r="F588" s="16" t="s">
        <v>662</v>
      </c>
      <c r="G588" s="16" t="s">
        <v>670</v>
      </c>
      <c r="H588" s="16" t="s">
        <v>672</v>
      </c>
      <c r="I588" s="16" t="n">
        <v>1</v>
      </c>
      <c r="J588" s="16"/>
      <c r="K588" s="14"/>
      <c r="L588" s="14"/>
      <c r="M588" s="14"/>
      <c r="N588" s="14"/>
      <c r="O588" s="14"/>
      <c r="P588" s="18" t="n">
        <f aca="false">IF(N588="",0,IF(OR(M588="",O588=""),N588,(M588+4*N588+O588)/6))</f>
        <v>0</v>
      </c>
      <c r="Q588" s="14"/>
      <c r="R588" s="14"/>
      <c r="S588" s="14"/>
      <c r="T588" s="14"/>
      <c r="U588" s="16"/>
      <c r="V588" s="13"/>
      <c r="W588" s="16" t="s">
        <v>667</v>
      </c>
      <c r="X588" s="16"/>
      <c r="Y588" s="16"/>
      <c r="Z588" s="16" t="s">
        <v>744</v>
      </c>
      <c r="AA588" s="22" t="n">
        <f aca="false">IF(F588&lt;&gt;"Y",0,((SUMIF(Products!$E$5:$E$300,A588,Products!$F$5:$F$300)+SUMIF(RM_Lots!$A$5:$A$400,A588,RM_Lots!$D$5:$D$400))+IF(W588="Y",SUMIF(Products!$E$5:$E$300,A588,Products!$G$5:$G$300),0))*(1+N(V588)))</f>
        <v>0</v>
      </c>
      <c r="AB588" s="22" t="n">
        <f aca="false">IF(F588&lt;&gt;"Y",0,((SUMIF(Products!$E$5:$E$300,A588,Products!$K$5:$K$300)+SUMIF(RM_Lots!$A$5:$A$400,A588,RM_Lots!$F$5:$F$400))+IF(W588="Y",SUMIF(Products!$E$5:$E$300,A588,Products!$L$5:$L$300),0))*(1+N(V588)))</f>
        <v>0</v>
      </c>
      <c r="AC588" s="17" t="n">
        <f aca="false">IF(J588="",1,MAX(1,COUNTIFS($J$5:$J$863,J588,$F$5:$F$863,"Y")))</f>
        <v>1</v>
      </c>
      <c r="AD588" s="18" t="n">
        <f aca="false">(MAX(1,N(I588))*(P588+N(S588))+MAX(1,N(I588))*N(K588)/(MAX(1,N(U588))*AC588))*Settings!$B$9</f>
        <v>0</v>
      </c>
      <c r="AE588" s="18" t="n">
        <f aca="false">(MAX(1,N(I588))*N(Q588)+MAX(1,N(I588))*N(L588)/(MAX(1,N(U588))*AC588))*Settings!$B$8</f>
        <v>0</v>
      </c>
      <c r="AF588" s="18" t="n">
        <f aca="false">MAX(1,N(I588))*N(T588)</f>
        <v>0</v>
      </c>
      <c r="AG588" s="15" t="n">
        <f aca="false">AA588*N(AD588)</f>
        <v>0</v>
      </c>
      <c r="AH588" s="15" t="n">
        <f aca="false">AA588*N(AE588)</f>
        <v>0</v>
      </c>
      <c r="AI588" s="15" t="n">
        <f aca="false">AA588*N(AF588)</f>
        <v>0</v>
      </c>
      <c r="AJ588" s="15" t="n">
        <f aca="false">AA588*N(R588)</f>
        <v>0</v>
      </c>
      <c r="AK588" s="15" t="n">
        <f aca="false">AB588*N(AD588)</f>
        <v>0</v>
      </c>
      <c r="AL588" s="15" t="n">
        <f aca="false">AB588*N(AE588)</f>
        <v>0</v>
      </c>
      <c r="AM588" s="15" t="n">
        <f aca="false">AB588*N(AF588)</f>
        <v>0</v>
      </c>
      <c r="AN588" s="15" t="n">
        <f aca="false">AB588*N(R588)</f>
        <v>0</v>
      </c>
      <c r="AO588" s="21" t="str">
        <f aca="false">IF(F588&lt;&gt;"Y","n/a",IF(AND(N588&lt;&gt;"",OR(Q588&lt;&gt;"",G588="Other / bench",G588="None"),U588&lt;&gt;""),"OK","Missing"))</f>
        <v>Missing</v>
      </c>
    </row>
    <row r="589" customFormat="false" ht="15" hidden="false" customHeight="false" outlineLevel="0" collapsed="false">
      <c r="A589" s="10" t="s">
        <v>525</v>
      </c>
      <c r="B589" s="10" t="s">
        <v>740</v>
      </c>
      <c r="C589" s="10" t="s">
        <v>522</v>
      </c>
      <c r="D589" s="10" t="s">
        <v>743</v>
      </c>
      <c r="E589" s="21" t="str">
        <f aca="false">IF(A589="","",A589&amp;"|"&amp;D589)</f>
        <v>Blue Color No.2|Compendial tests</v>
      </c>
      <c r="F589" s="16" t="s">
        <v>662</v>
      </c>
      <c r="G589" s="16" t="s">
        <v>670</v>
      </c>
      <c r="H589" s="16" t="s">
        <v>672</v>
      </c>
      <c r="I589" s="16" t="n">
        <v>1</v>
      </c>
      <c r="J589" s="16"/>
      <c r="K589" s="14"/>
      <c r="L589" s="14"/>
      <c r="M589" s="14"/>
      <c r="N589" s="14"/>
      <c r="O589" s="14"/>
      <c r="P589" s="18" t="n">
        <f aca="false">IF(N589="",0,IF(OR(M589="",O589=""),N589,(M589+4*N589+O589)/6))</f>
        <v>0</v>
      </c>
      <c r="Q589" s="14"/>
      <c r="R589" s="14"/>
      <c r="S589" s="14"/>
      <c r="T589" s="14"/>
      <c r="U589" s="16"/>
      <c r="V589" s="13"/>
      <c r="W589" s="16" t="s">
        <v>667</v>
      </c>
      <c r="X589" s="16"/>
      <c r="Y589" s="16"/>
      <c r="Z589" s="16" t="s">
        <v>744</v>
      </c>
      <c r="AA589" s="22" t="n">
        <f aca="false">IF(F589&lt;&gt;"Y",0,((SUMIF(Products!$E$5:$E$300,A589,Products!$F$5:$F$300)+SUMIF(RM_Lots!$A$5:$A$400,A589,RM_Lots!$D$5:$D$400))+IF(W589="Y",SUMIF(Products!$E$5:$E$300,A589,Products!$G$5:$G$300),0))*(1+N(V589)))</f>
        <v>0</v>
      </c>
      <c r="AB589" s="22" t="n">
        <f aca="false">IF(F589&lt;&gt;"Y",0,((SUMIF(Products!$E$5:$E$300,A589,Products!$K$5:$K$300)+SUMIF(RM_Lots!$A$5:$A$400,A589,RM_Lots!$F$5:$F$400))+IF(W589="Y",SUMIF(Products!$E$5:$E$300,A589,Products!$L$5:$L$300),0))*(1+N(V589)))</f>
        <v>0</v>
      </c>
      <c r="AC589" s="17" t="n">
        <f aca="false">IF(J589="",1,MAX(1,COUNTIFS($J$5:$J$863,J589,$F$5:$F$863,"Y")))</f>
        <v>1</v>
      </c>
      <c r="AD589" s="18" t="n">
        <f aca="false">(MAX(1,N(I589))*(P589+N(S589))+MAX(1,N(I589))*N(K589)/(MAX(1,N(U589))*AC589))*Settings!$B$9</f>
        <v>0</v>
      </c>
      <c r="AE589" s="18" t="n">
        <f aca="false">(MAX(1,N(I589))*N(Q589)+MAX(1,N(I589))*N(L589)/(MAX(1,N(U589))*AC589))*Settings!$B$8</f>
        <v>0</v>
      </c>
      <c r="AF589" s="18" t="n">
        <f aca="false">MAX(1,N(I589))*N(T589)</f>
        <v>0</v>
      </c>
      <c r="AG589" s="15" t="n">
        <f aca="false">AA589*N(AD589)</f>
        <v>0</v>
      </c>
      <c r="AH589" s="15" t="n">
        <f aca="false">AA589*N(AE589)</f>
        <v>0</v>
      </c>
      <c r="AI589" s="15" t="n">
        <f aca="false">AA589*N(AF589)</f>
        <v>0</v>
      </c>
      <c r="AJ589" s="15" t="n">
        <f aca="false">AA589*N(R589)</f>
        <v>0</v>
      </c>
      <c r="AK589" s="15" t="n">
        <f aca="false">AB589*N(AD589)</f>
        <v>0</v>
      </c>
      <c r="AL589" s="15" t="n">
        <f aca="false">AB589*N(AE589)</f>
        <v>0</v>
      </c>
      <c r="AM589" s="15" t="n">
        <f aca="false">AB589*N(AF589)</f>
        <v>0</v>
      </c>
      <c r="AN589" s="15" t="n">
        <f aca="false">AB589*N(R589)</f>
        <v>0</v>
      </c>
      <c r="AO589" s="21" t="str">
        <f aca="false">IF(F589&lt;&gt;"Y","n/a",IF(AND(N589&lt;&gt;"",OR(Q589&lt;&gt;"",G589="Other / bench",G589="None"),U589&lt;&gt;""),"OK","Missing"))</f>
        <v>Missing</v>
      </c>
    </row>
    <row r="590" customFormat="false" ht="15" hidden="false" customHeight="false" outlineLevel="0" collapsed="false">
      <c r="A590" s="10" t="s">
        <v>526</v>
      </c>
      <c r="B590" s="10" t="s">
        <v>740</v>
      </c>
      <c r="C590" s="10" t="s">
        <v>522</v>
      </c>
      <c r="D590" s="10" t="s">
        <v>743</v>
      </c>
      <c r="E590" s="21" t="str">
        <f aca="false">IF(A590="","",A590&amp;"|"&amp;D590)</f>
        <v>Brilliant Blue|Compendial tests</v>
      </c>
      <c r="F590" s="16" t="s">
        <v>662</v>
      </c>
      <c r="G590" s="16" t="s">
        <v>670</v>
      </c>
      <c r="H590" s="16" t="s">
        <v>672</v>
      </c>
      <c r="I590" s="16" t="n">
        <v>1</v>
      </c>
      <c r="J590" s="16"/>
      <c r="K590" s="14"/>
      <c r="L590" s="14"/>
      <c r="M590" s="14"/>
      <c r="N590" s="14"/>
      <c r="O590" s="14"/>
      <c r="P590" s="18" t="n">
        <f aca="false">IF(N590="",0,IF(OR(M590="",O590=""),N590,(M590+4*N590+O590)/6))</f>
        <v>0</v>
      </c>
      <c r="Q590" s="14"/>
      <c r="R590" s="14"/>
      <c r="S590" s="14"/>
      <c r="T590" s="14"/>
      <c r="U590" s="16"/>
      <c r="V590" s="13"/>
      <c r="W590" s="16" t="s">
        <v>667</v>
      </c>
      <c r="X590" s="16"/>
      <c r="Y590" s="16"/>
      <c r="Z590" s="16" t="s">
        <v>744</v>
      </c>
      <c r="AA590" s="22" t="n">
        <f aca="false">IF(F590&lt;&gt;"Y",0,((SUMIF(Products!$E$5:$E$300,A590,Products!$F$5:$F$300)+SUMIF(RM_Lots!$A$5:$A$400,A590,RM_Lots!$D$5:$D$400))+IF(W590="Y",SUMIF(Products!$E$5:$E$300,A590,Products!$G$5:$G$300),0))*(1+N(V590)))</f>
        <v>0</v>
      </c>
      <c r="AB590" s="22" t="n">
        <f aca="false">IF(F590&lt;&gt;"Y",0,((SUMIF(Products!$E$5:$E$300,A590,Products!$K$5:$K$300)+SUMIF(RM_Lots!$A$5:$A$400,A590,RM_Lots!$F$5:$F$400))+IF(W590="Y",SUMIF(Products!$E$5:$E$300,A590,Products!$L$5:$L$300),0))*(1+N(V590)))</f>
        <v>0</v>
      </c>
      <c r="AC590" s="17" t="n">
        <f aca="false">IF(J590="",1,MAX(1,COUNTIFS($J$5:$J$863,J590,$F$5:$F$863,"Y")))</f>
        <v>1</v>
      </c>
      <c r="AD590" s="18" t="n">
        <f aca="false">(MAX(1,N(I590))*(P590+N(S590))+MAX(1,N(I590))*N(K590)/(MAX(1,N(U590))*AC590))*Settings!$B$9</f>
        <v>0</v>
      </c>
      <c r="AE590" s="18" t="n">
        <f aca="false">(MAX(1,N(I590))*N(Q590)+MAX(1,N(I590))*N(L590)/(MAX(1,N(U590))*AC590))*Settings!$B$8</f>
        <v>0</v>
      </c>
      <c r="AF590" s="18" t="n">
        <f aca="false">MAX(1,N(I590))*N(T590)</f>
        <v>0</v>
      </c>
      <c r="AG590" s="15" t="n">
        <f aca="false">AA590*N(AD590)</f>
        <v>0</v>
      </c>
      <c r="AH590" s="15" t="n">
        <f aca="false">AA590*N(AE590)</f>
        <v>0</v>
      </c>
      <c r="AI590" s="15" t="n">
        <f aca="false">AA590*N(AF590)</f>
        <v>0</v>
      </c>
      <c r="AJ590" s="15" t="n">
        <f aca="false">AA590*N(R590)</f>
        <v>0</v>
      </c>
      <c r="AK590" s="15" t="n">
        <f aca="false">AB590*N(AD590)</f>
        <v>0</v>
      </c>
      <c r="AL590" s="15" t="n">
        <f aca="false">AB590*N(AE590)</f>
        <v>0</v>
      </c>
      <c r="AM590" s="15" t="n">
        <f aca="false">AB590*N(AF590)</f>
        <v>0</v>
      </c>
      <c r="AN590" s="15" t="n">
        <f aca="false">AB590*N(R590)</f>
        <v>0</v>
      </c>
      <c r="AO590" s="21" t="str">
        <f aca="false">IF(F590&lt;&gt;"Y","n/a",IF(AND(N590&lt;&gt;"",OR(Q590&lt;&gt;"",G590="Other / bench",G590="None"),U590&lt;&gt;""),"OK","Missing"))</f>
        <v>Missing</v>
      </c>
    </row>
    <row r="591" customFormat="false" ht="15" hidden="false" customHeight="false" outlineLevel="0" collapsed="false">
      <c r="A591" s="10" t="s">
        <v>527</v>
      </c>
      <c r="B591" s="10" t="s">
        <v>740</v>
      </c>
      <c r="C591" s="10" t="s">
        <v>522</v>
      </c>
      <c r="D591" s="10" t="s">
        <v>743</v>
      </c>
      <c r="E591" s="21" t="str">
        <f aca="false">IF(A591="","",A591&amp;"|"&amp;D591)</f>
        <v>Brown Color|Compendial tests</v>
      </c>
      <c r="F591" s="16" t="s">
        <v>662</v>
      </c>
      <c r="G591" s="16" t="s">
        <v>670</v>
      </c>
      <c r="H591" s="16" t="s">
        <v>672</v>
      </c>
      <c r="I591" s="16" t="n">
        <v>1</v>
      </c>
      <c r="J591" s="16"/>
      <c r="K591" s="14"/>
      <c r="L591" s="14"/>
      <c r="M591" s="14"/>
      <c r="N591" s="14"/>
      <c r="O591" s="14"/>
      <c r="P591" s="18" t="n">
        <f aca="false">IF(N591="",0,IF(OR(M591="",O591=""),N591,(M591+4*N591+O591)/6))</f>
        <v>0</v>
      </c>
      <c r="Q591" s="14"/>
      <c r="R591" s="14"/>
      <c r="S591" s="14"/>
      <c r="T591" s="14"/>
      <c r="U591" s="16"/>
      <c r="V591" s="13"/>
      <c r="W591" s="16" t="s">
        <v>667</v>
      </c>
      <c r="X591" s="16"/>
      <c r="Y591" s="16"/>
      <c r="Z591" s="16" t="s">
        <v>744</v>
      </c>
      <c r="AA591" s="22" t="n">
        <f aca="false">IF(F591&lt;&gt;"Y",0,((SUMIF(Products!$E$5:$E$300,A591,Products!$F$5:$F$300)+SUMIF(RM_Lots!$A$5:$A$400,A591,RM_Lots!$D$5:$D$400))+IF(W591="Y",SUMIF(Products!$E$5:$E$300,A591,Products!$G$5:$G$300),0))*(1+N(V591)))</f>
        <v>0</v>
      </c>
      <c r="AB591" s="22" t="n">
        <f aca="false">IF(F591&lt;&gt;"Y",0,((SUMIF(Products!$E$5:$E$300,A591,Products!$K$5:$K$300)+SUMIF(RM_Lots!$A$5:$A$400,A591,RM_Lots!$F$5:$F$400))+IF(W591="Y",SUMIF(Products!$E$5:$E$300,A591,Products!$L$5:$L$300),0))*(1+N(V591)))</f>
        <v>0</v>
      </c>
      <c r="AC591" s="17" t="n">
        <f aca="false">IF(J591="",1,MAX(1,COUNTIFS($J$5:$J$863,J591,$F$5:$F$863,"Y")))</f>
        <v>1</v>
      </c>
      <c r="AD591" s="18" t="n">
        <f aca="false">(MAX(1,N(I591))*(P591+N(S591))+MAX(1,N(I591))*N(K591)/(MAX(1,N(U591))*AC591))*Settings!$B$9</f>
        <v>0</v>
      </c>
      <c r="AE591" s="18" t="n">
        <f aca="false">(MAX(1,N(I591))*N(Q591)+MAX(1,N(I591))*N(L591)/(MAX(1,N(U591))*AC591))*Settings!$B$8</f>
        <v>0</v>
      </c>
      <c r="AF591" s="18" t="n">
        <f aca="false">MAX(1,N(I591))*N(T591)</f>
        <v>0</v>
      </c>
      <c r="AG591" s="15" t="n">
        <f aca="false">AA591*N(AD591)</f>
        <v>0</v>
      </c>
      <c r="AH591" s="15" t="n">
        <f aca="false">AA591*N(AE591)</f>
        <v>0</v>
      </c>
      <c r="AI591" s="15" t="n">
        <f aca="false">AA591*N(AF591)</f>
        <v>0</v>
      </c>
      <c r="AJ591" s="15" t="n">
        <f aca="false">AA591*N(R591)</f>
        <v>0</v>
      </c>
      <c r="AK591" s="15" t="n">
        <f aca="false">AB591*N(AD591)</f>
        <v>0</v>
      </c>
      <c r="AL591" s="15" t="n">
        <f aca="false">AB591*N(AE591)</f>
        <v>0</v>
      </c>
      <c r="AM591" s="15" t="n">
        <f aca="false">AB591*N(AF591)</f>
        <v>0</v>
      </c>
      <c r="AN591" s="15" t="n">
        <f aca="false">AB591*N(R591)</f>
        <v>0</v>
      </c>
      <c r="AO591" s="21" t="str">
        <f aca="false">IF(F591&lt;&gt;"Y","n/a",IF(AND(N591&lt;&gt;"",OR(Q591&lt;&gt;"",G591="Other / bench",G591="None"),U591&lt;&gt;""),"OK","Missing"))</f>
        <v>Missing</v>
      </c>
    </row>
    <row r="592" customFormat="false" ht="15" hidden="false" customHeight="false" outlineLevel="0" collapsed="false">
      <c r="A592" s="10" t="s">
        <v>528</v>
      </c>
      <c r="B592" s="10" t="s">
        <v>740</v>
      </c>
      <c r="C592" s="10" t="s">
        <v>522</v>
      </c>
      <c r="D592" s="10" t="s">
        <v>743</v>
      </c>
      <c r="E592" s="21" t="str">
        <f aca="false">IF(A592="","",A592&amp;"|"&amp;D592)</f>
        <v>Caramel Colour|Compendial tests</v>
      </c>
      <c r="F592" s="16" t="s">
        <v>662</v>
      </c>
      <c r="G592" s="16" t="s">
        <v>670</v>
      </c>
      <c r="H592" s="16" t="s">
        <v>672</v>
      </c>
      <c r="I592" s="16" t="n">
        <v>1</v>
      </c>
      <c r="J592" s="16"/>
      <c r="K592" s="14"/>
      <c r="L592" s="14"/>
      <c r="M592" s="14"/>
      <c r="N592" s="14"/>
      <c r="O592" s="14"/>
      <c r="P592" s="18" t="n">
        <f aca="false">IF(N592="",0,IF(OR(M592="",O592=""),N592,(M592+4*N592+O592)/6))</f>
        <v>0</v>
      </c>
      <c r="Q592" s="14"/>
      <c r="R592" s="14"/>
      <c r="S592" s="14"/>
      <c r="T592" s="14"/>
      <c r="U592" s="16"/>
      <c r="V592" s="13"/>
      <c r="W592" s="16" t="s">
        <v>667</v>
      </c>
      <c r="X592" s="16"/>
      <c r="Y592" s="16"/>
      <c r="Z592" s="16" t="s">
        <v>744</v>
      </c>
      <c r="AA592" s="22" t="n">
        <f aca="false">IF(F592&lt;&gt;"Y",0,((SUMIF(Products!$E$5:$E$300,A592,Products!$F$5:$F$300)+SUMIF(RM_Lots!$A$5:$A$400,A592,RM_Lots!$D$5:$D$400))+IF(W592="Y",SUMIF(Products!$E$5:$E$300,A592,Products!$G$5:$G$300),0))*(1+N(V592)))</f>
        <v>0</v>
      </c>
      <c r="AB592" s="22" t="n">
        <f aca="false">IF(F592&lt;&gt;"Y",0,((SUMIF(Products!$E$5:$E$300,A592,Products!$K$5:$K$300)+SUMIF(RM_Lots!$A$5:$A$400,A592,RM_Lots!$F$5:$F$400))+IF(W592="Y",SUMIF(Products!$E$5:$E$300,A592,Products!$L$5:$L$300),0))*(1+N(V592)))</f>
        <v>0</v>
      </c>
      <c r="AC592" s="17" t="n">
        <f aca="false">IF(J592="",1,MAX(1,COUNTIFS($J$5:$J$863,J592,$F$5:$F$863,"Y")))</f>
        <v>1</v>
      </c>
      <c r="AD592" s="18" t="n">
        <f aca="false">(MAX(1,N(I592))*(P592+N(S592))+MAX(1,N(I592))*N(K592)/(MAX(1,N(U592))*AC592))*Settings!$B$9</f>
        <v>0</v>
      </c>
      <c r="AE592" s="18" t="n">
        <f aca="false">(MAX(1,N(I592))*N(Q592)+MAX(1,N(I592))*N(L592)/(MAX(1,N(U592))*AC592))*Settings!$B$8</f>
        <v>0</v>
      </c>
      <c r="AF592" s="18" t="n">
        <f aca="false">MAX(1,N(I592))*N(T592)</f>
        <v>0</v>
      </c>
      <c r="AG592" s="15" t="n">
        <f aca="false">AA592*N(AD592)</f>
        <v>0</v>
      </c>
      <c r="AH592" s="15" t="n">
        <f aca="false">AA592*N(AE592)</f>
        <v>0</v>
      </c>
      <c r="AI592" s="15" t="n">
        <f aca="false">AA592*N(AF592)</f>
        <v>0</v>
      </c>
      <c r="AJ592" s="15" t="n">
        <f aca="false">AA592*N(R592)</f>
        <v>0</v>
      </c>
      <c r="AK592" s="15" t="n">
        <f aca="false">AB592*N(AD592)</f>
        <v>0</v>
      </c>
      <c r="AL592" s="15" t="n">
        <f aca="false">AB592*N(AE592)</f>
        <v>0</v>
      </c>
      <c r="AM592" s="15" t="n">
        <f aca="false">AB592*N(AF592)</f>
        <v>0</v>
      </c>
      <c r="AN592" s="15" t="n">
        <f aca="false">AB592*N(R592)</f>
        <v>0</v>
      </c>
      <c r="AO592" s="21" t="str">
        <f aca="false">IF(F592&lt;&gt;"Y","n/a",IF(AND(N592&lt;&gt;"",OR(Q592&lt;&gt;"",G592="Other / bench",G592="None"),U592&lt;&gt;""),"OK","Missing"))</f>
        <v>Missing</v>
      </c>
    </row>
    <row r="593" customFormat="false" ht="15" hidden="false" customHeight="false" outlineLevel="0" collapsed="false">
      <c r="A593" s="10" t="s">
        <v>529</v>
      </c>
      <c r="B593" s="10" t="s">
        <v>740</v>
      </c>
      <c r="C593" s="10" t="s">
        <v>522</v>
      </c>
      <c r="D593" s="10" t="s">
        <v>743</v>
      </c>
      <c r="E593" s="21" t="str">
        <f aca="false">IF(A593="","",A593&amp;"|"&amp;D593)</f>
        <v>Erythrosine Pink|Compendial tests</v>
      </c>
      <c r="F593" s="16" t="s">
        <v>662</v>
      </c>
      <c r="G593" s="16" t="s">
        <v>670</v>
      </c>
      <c r="H593" s="16" t="s">
        <v>672</v>
      </c>
      <c r="I593" s="16" t="n">
        <v>1</v>
      </c>
      <c r="J593" s="16"/>
      <c r="K593" s="14"/>
      <c r="L593" s="14"/>
      <c r="M593" s="14"/>
      <c r="N593" s="14"/>
      <c r="O593" s="14"/>
      <c r="P593" s="18" t="n">
        <f aca="false">IF(N593="",0,IF(OR(M593="",O593=""),N593,(M593+4*N593+O593)/6))</f>
        <v>0</v>
      </c>
      <c r="Q593" s="14"/>
      <c r="R593" s="14"/>
      <c r="S593" s="14"/>
      <c r="T593" s="14"/>
      <c r="U593" s="16"/>
      <c r="V593" s="13"/>
      <c r="W593" s="16" t="s">
        <v>667</v>
      </c>
      <c r="X593" s="16"/>
      <c r="Y593" s="16"/>
      <c r="Z593" s="16" t="s">
        <v>744</v>
      </c>
      <c r="AA593" s="22" t="n">
        <f aca="false">IF(F593&lt;&gt;"Y",0,((SUMIF(Products!$E$5:$E$300,A593,Products!$F$5:$F$300)+SUMIF(RM_Lots!$A$5:$A$400,A593,RM_Lots!$D$5:$D$400))+IF(W593="Y",SUMIF(Products!$E$5:$E$300,A593,Products!$G$5:$G$300),0))*(1+N(V593)))</f>
        <v>0</v>
      </c>
      <c r="AB593" s="22" t="n">
        <f aca="false">IF(F593&lt;&gt;"Y",0,((SUMIF(Products!$E$5:$E$300,A593,Products!$K$5:$K$300)+SUMIF(RM_Lots!$A$5:$A$400,A593,RM_Lots!$F$5:$F$400))+IF(W593="Y",SUMIF(Products!$E$5:$E$300,A593,Products!$L$5:$L$300),0))*(1+N(V593)))</f>
        <v>0</v>
      </c>
      <c r="AC593" s="17" t="n">
        <f aca="false">IF(J593="",1,MAX(1,COUNTIFS($J$5:$J$863,J593,$F$5:$F$863,"Y")))</f>
        <v>1</v>
      </c>
      <c r="AD593" s="18" t="n">
        <f aca="false">(MAX(1,N(I593))*(P593+N(S593))+MAX(1,N(I593))*N(K593)/(MAX(1,N(U593))*AC593))*Settings!$B$9</f>
        <v>0</v>
      </c>
      <c r="AE593" s="18" t="n">
        <f aca="false">(MAX(1,N(I593))*N(Q593)+MAX(1,N(I593))*N(L593)/(MAX(1,N(U593))*AC593))*Settings!$B$8</f>
        <v>0</v>
      </c>
      <c r="AF593" s="18" t="n">
        <f aca="false">MAX(1,N(I593))*N(T593)</f>
        <v>0</v>
      </c>
      <c r="AG593" s="15" t="n">
        <f aca="false">AA593*N(AD593)</f>
        <v>0</v>
      </c>
      <c r="AH593" s="15" t="n">
        <f aca="false">AA593*N(AE593)</f>
        <v>0</v>
      </c>
      <c r="AI593" s="15" t="n">
        <f aca="false">AA593*N(AF593)</f>
        <v>0</v>
      </c>
      <c r="AJ593" s="15" t="n">
        <f aca="false">AA593*N(R593)</f>
        <v>0</v>
      </c>
      <c r="AK593" s="15" t="n">
        <f aca="false">AB593*N(AD593)</f>
        <v>0</v>
      </c>
      <c r="AL593" s="15" t="n">
        <f aca="false">AB593*N(AE593)</f>
        <v>0</v>
      </c>
      <c r="AM593" s="15" t="n">
        <f aca="false">AB593*N(AF593)</f>
        <v>0</v>
      </c>
      <c r="AN593" s="15" t="n">
        <f aca="false">AB593*N(R593)</f>
        <v>0</v>
      </c>
      <c r="AO593" s="21" t="str">
        <f aca="false">IF(F593&lt;&gt;"Y","n/a",IF(AND(N593&lt;&gt;"",OR(Q593&lt;&gt;"",G593="Other / bench",G593="None"),U593&lt;&gt;""),"OK","Missing"))</f>
        <v>Missing</v>
      </c>
    </row>
    <row r="594" customFormat="false" ht="15" hidden="false" customHeight="false" outlineLevel="0" collapsed="false">
      <c r="A594" s="10" t="s">
        <v>530</v>
      </c>
      <c r="B594" s="10" t="s">
        <v>740</v>
      </c>
      <c r="C594" s="10" t="s">
        <v>522</v>
      </c>
      <c r="D594" s="10" t="s">
        <v>743</v>
      </c>
      <c r="E594" s="21" t="str">
        <f aca="false">IF(A594="","",A594&amp;"|"&amp;D594)</f>
        <v>Exacol Brown HT|Compendial tests</v>
      </c>
      <c r="F594" s="16" t="s">
        <v>662</v>
      </c>
      <c r="G594" s="16" t="s">
        <v>670</v>
      </c>
      <c r="H594" s="16" t="s">
        <v>672</v>
      </c>
      <c r="I594" s="16" t="n">
        <v>1</v>
      </c>
      <c r="J594" s="16"/>
      <c r="K594" s="14"/>
      <c r="L594" s="14"/>
      <c r="M594" s="14"/>
      <c r="N594" s="14"/>
      <c r="O594" s="14"/>
      <c r="P594" s="18" t="n">
        <f aca="false">IF(N594="",0,IF(OR(M594="",O594=""),N594,(M594+4*N594+O594)/6))</f>
        <v>0</v>
      </c>
      <c r="Q594" s="14"/>
      <c r="R594" s="14"/>
      <c r="S594" s="14"/>
      <c r="T594" s="14"/>
      <c r="U594" s="16"/>
      <c r="V594" s="13"/>
      <c r="W594" s="16" t="s">
        <v>667</v>
      </c>
      <c r="X594" s="16"/>
      <c r="Y594" s="16"/>
      <c r="Z594" s="16" t="s">
        <v>744</v>
      </c>
      <c r="AA594" s="22" t="n">
        <f aca="false">IF(F594&lt;&gt;"Y",0,((SUMIF(Products!$E$5:$E$300,A594,Products!$F$5:$F$300)+SUMIF(RM_Lots!$A$5:$A$400,A594,RM_Lots!$D$5:$D$400))+IF(W594="Y",SUMIF(Products!$E$5:$E$300,A594,Products!$G$5:$G$300),0))*(1+N(V594)))</f>
        <v>0</v>
      </c>
      <c r="AB594" s="22" t="n">
        <f aca="false">IF(F594&lt;&gt;"Y",0,((SUMIF(Products!$E$5:$E$300,A594,Products!$K$5:$K$300)+SUMIF(RM_Lots!$A$5:$A$400,A594,RM_Lots!$F$5:$F$400))+IF(W594="Y",SUMIF(Products!$E$5:$E$300,A594,Products!$L$5:$L$300),0))*(1+N(V594)))</f>
        <v>0</v>
      </c>
      <c r="AC594" s="17" t="n">
        <f aca="false">IF(J594="",1,MAX(1,COUNTIFS($J$5:$J$863,J594,$F$5:$F$863,"Y")))</f>
        <v>1</v>
      </c>
      <c r="AD594" s="18" t="n">
        <f aca="false">(MAX(1,N(I594))*(P594+N(S594))+MAX(1,N(I594))*N(K594)/(MAX(1,N(U594))*AC594))*Settings!$B$9</f>
        <v>0</v>
      </c>
      <c r="AE594" s="18" t="n">
        <f aca="false">(MAX(1,N(I594))*N(Q594)+MAX(1,N(I594))*N(L594)/(MAX(1,N(U594))*AC594))*Settings!$B$8</f>
        <v>0</v>
      </c>
      <c r="AF594" s="18" t="n">
        <f aca="false">MAX(1,N(I594))*N(T594)</f>
        <v>0</v>
      </c>
      <c r="AG594" s="15" t="n">
        <f aca="false">AA594*N(AD594)</f>
        <v>0</v>
      </c>
      <c r="AH594" s="15" t="n">
        <f aca="false">AA594*N(AE594)</f>
        <v>0</v>
      </c>
      <c r="AI594" s="15" t="n">
        <f aca="false">AA594*N(AF594)</f>
        <v>0</v>
      </c>
      <c r="AJ594" s="15" t="n">
        <f aca="false">AA594*N(R594)</f>
        <v>0</v>
      </c>
      <c r="AK594" s="15" t="n">
        <f aca="false">AB594*N(AD594)</f>
        <v>0</v>
      </c>
      <c r="AL594" s="15" t="n">
        <f aca="false">AB594*N(AE594)</f>
        <v>0</v>
      </c>
      <c r="AM594" s="15" t="n">
        <f aca="false">AB594*N(AF594)</f>
        <v>0</v>
      </c>
      <c r="AN594" s="15" t="n">
        <f aca="false">AB594*N(R594)</f>
        <v>0</v>
      </c>
      <c r="AO594" s="21" t="str">
        <f aca="false">IF(F594&lt;&gt;"Y","n/a",IF(AND(N594&lt;&gt;"",OR(Q594&lt;&gt;"",G594="Other / bench",G594="None"),U594&lt;&gt;""),"OK","Missing"))</f>
        <v>Missing</v>
      </c>
    </row>
    <row r="595" customFormat="false" ht="15" hidden="false" customHeight="false" outlineLevel="0" collapsed="false">
      <c r="A595" s="10" t="s">
        <v>531</v>
      </c>
      <c r="B595" s="10" t="s">
        <v>740</v>
      </c>
      <c r="C595" s="10" t="s">
        <v>522</v>
      </c>
      <c r="D595" s="10" t="s">
        <v>743</v>
      </c>
      <c r="E595" s="21" t="str">
        <f aca="false">IF(A595="","",A595&amp;"|"&amp;D595)</f>
        <v>Ferric Oxide Black|Compendial tests</v>
      </c>
      <c r="F595" s="16" t="s">
        <v>662</v>
      </c>
      <c r="G595" s="16" t="s">
        <v>670</v>
      </c>
      <c r="H595" s="16" t="s">
        <v>672</v>
      </c>
      <c r="I595" s="16" t="n">
        <v>1</v>
      </c>
      <c r="J595" s="16"/>
      <c r="K595" s="14"/>
      <c r="L595" s="14"/>
      <c r="M595" s="14"/>
      <c r="N595" s="14"/>
      <c r="O595" s="14"/>
      <c r="P595" s="18" t="n">
        <f aca="false">IF(N595="",0,IF(OR(M595="",O595=""),N595,(M595+4*N595+O595)/6))</f>
        <v>0</v>
      </c>
      <c r="Q595" s="14"/>
      <c r="R595" s="14"/>
      <c r="S595" s="14"/>
      <c r="T595" s="14"/>
      <c r="U595" s="16"/>
      <c r="V595" s="13"/>
      <c r="W595" s="16" t="s">
        <v>667</v>
      </c>
      <c r="X595" s="16"/>
      <c r="Y595" s="16"/>
      <c r="Z595" s="16" t="s">
        <v>744</v>
      </c>
      <c r="AA595" s="22" t="n">
        <f aca="false">IF(F595&lt;&gt;"Y",0,((SUMIF(Products!$E$5:$E$300,A595,Products!$F$5:$F$300)+SUMIF(RM_Lots!$A$5:$A$400,A595,RM_Lots!$D$5:$D$400))+IF(W595="Y",SUMIF(Products!$E$5:$E$300,A595,Products!$G$5:$G$300),0))*(1+N(V595)))</f>
        <v>0</v>
      </c>
      <c r="AB595" s="22" t="n">
        <f aca="false">IF(F595&lt;&gt;"Y",0,((SUMIF(Products!$E$5:$E$300,A595,Products!$K$5:$K$300)+SUMIF(RM_Lots!$A$5:$A$400,A595,RM_Lots!$F$5:$F$400))+IF(W595="Y",SUMIF(Products!$E$5:$E$300,A595,Products!$L$5:$L$300),0))*(1+N(V595)))</f>
        <v>0</v>
      </c>
      <c r="AC595" s="17" t="n">
        <f aca="false">IF(J595="",1,MAX(1,COUNTIFS($J$5:$J$863,J595,$F$5:$F$863,"Y")))</f>
        <v>1</v>
      </c>
      <c r="AD595" s="18" t="n">
        <f aca="false">(MAX(1,N(I595))*(P595+N(S595))+MAX(1,N(I595))*N(K595)/(MAX(1,N(U595))*AC595))*Settings!$B$9</f>
        <v>0</v>
      </c>
      <c r="AE595" s="18" t="n">
        <f aca="false">(MAX(1,N(I595))*N(Q595)+MAX(1,N(I595))*N(L595)/(MAX(1,N(U595))*AC595))*Settings!$B$8</f>
        <v>0</v>
      </c>
      <c r="AF595" s="18" t="n">
        <f aca="false">MAX(1,N(I595))*N(T595)</f>
        <v>0</v>
      </c>
      <c r="AG595" s="15" t="n">
        <f aca="false">AA595*N(AD595)</f>
        <v>0</v>
      </c>
      <c r="AH595" s="15" t="n">
        <f aca="false">AA595*N(AE595)</f>
        <v>0</v>
      </c>
      <c r="AI595" s="15" t="n">
        <f aca="false">AA595*N(AF595)</f>
        <v>0</v>
      </c>
      <c r="AJ595" s="15" t="n">
        <f aca="false">AA595*N(R595)</f>
        <v>0</v>
      </c>
      <c r="AK595" s="15" t="n">
        <f aca="false">AB595*N(AD595)</f>
        <v>0</v>
      </c>
      <c r="AL595" s="15" t="n">
        <f aca="false">AB595*N(AE595)</f>
        <v>0</v>
      </c>
      <c r="AM595" s="15" t="n">
        <f aca="false">AB595*N(AF595)</f>
        <v>0</v>
      </c>
      <c r="AN595" s="15" t="n">
        <f aca="false">AB595*N(R595)</f>
        <v>0</v>
      </c>
      <c r="AO595" s="21" t="str">
        <f aca="false">IF(F595&lt;&gt;"Y","n/a",IF(AND(N595&lt;&gt;"",OR(Q595&lt;&gt;"",G595="Other / bench",G595="None"),U595&lt;&gt;""),"OK","Missing"))</f>
        <v>Missing</v>
      </c>
    </row>
    <row r="596" customFormat="false" ht="15" hidden="false" customHeight="false" outlineLevel="0" collapsed="false">
      <c r="A596" s="10" t="s">
        <v>532</v>
      </c>
      <c r="B596" s="10" t="s">
        <v>740</v>
      </c>
      <c r="C596" s="10" t="s">
        <v>522</v>
      </c>
      <c r="D596" s="10" t="s">
        <v>743</v>
      </c>
      <c r="E596" s="21" t="str">
        <f aca="false">IF(A596="","",A596&amp;"|"&amp;D596)</f>
        <v>Ferric Oxide Red|Compendial tests</v>
      </c>
      <c r="F596" s="16" t="s">
        <v>662</v>
      </c>
      <c r="G596" s="16" t="s">
        <v>670</v>
      </c>
      <c r="H596" s="16" t="s">
        <v>672</v>
      </c>
      <c r="I596" s="16" t="n">
        <v>1</v>
      </c>
      <c r="J596" s="16"/>
      <c r="K596" s="14"/>
      <c r="L596" s="14"/>
      <c r="M596" s="14"/>
      <c r="N596" s="14"/>
      <c r="O596" s="14"/>
      <c r="P596" s="18" t="n">
        <f aca="false">IF(N596="",0,IF(OR(M596="",O596=""),N596,(M596+4*N596+O596)/6))</f>
        <v>0</v>
      </c>
      <c r="Q596" s="14"/>
      <c r="R596" s="14"/>
      <c r="S596" s="14"/>
      <c r="T596" s="14"/>
      <c r="U596" s="16"/>
      <c r="V596" s="13"/>
      <c r="W596" s="16" t="s">
        <v>667</v>
      </c>
      <c r="X596" s="16"/>
      <c r="Y596" s="16"/>
      <c r="Z596" s="16" t="s">
        <v>744</v>
      </c>
      <c r="AA596" s="22" t="n">
        <f aca="false">IF(F596&lt;&gt;"Y",0,((SUMIF(Products!$E$5:$E$300,A596,Products!$F$5:$F$300)+SUMIF(RM_Lots!$A$5:$A$400,A596,RM_Lots!$D$5:$D$400))+IF(W596="Y",SUMIF(Products!$E$5:$E$300,A596,Products!$G$5:$G$300),0))*(1+N(V596)))</f>
        <v>0</v>
      </c>
      <c r="AB596" s="22" t="n">
        <f aca="false">IF(F596&lt;&gt;"Y",0,((SUMIF(Products!$E$5:$E$300,A596,Products!$K$5:$K$300)+SUMIF(RM_Lots!$A$5:$A$400,A596,RM_Lots!$F$5:$F$400))+IF(W596="Y",SUMIF(Products!$E$5:$E$300,A596,Products!$L$5:$L$300),0))*(1+N(V596)))</f>
        <v>0</v>
      </c>
      <c r="AC596" s="17" t="n">
        <f aca="false">IF(J596="",1,MAX(1,COUNTIFS($J$5:$J$863,J596,$F$5:$F$863,"Y")))</f>
        <v>1</v>
      </c>
      <c r="AD596" s="18" t="n">
        <f aca="false">(MAX(1,N(I596))*(P596+N(S596))+MAX(1,N(I596))*N(K596)/(MAX(1,N(U596))*AC596))*Settings!$B$9</f>
        <v>0</v>
      </c>
      <c r="AE596" s="18" t="n">
        <f aca="false">(MAX(1,N(I596))*N(Q596)+MAX(1,N(I596))*N(L596)/(MAX(1,N(U596))*AC596))*Settings!$B$8</f>
        <v>0</v>
      </c>
      <c r="AF596" s="18" t="n">
        <f aca="false">MAX(1,N(I596))*N(T596)</f>
        <v>0</v>
      </c>
      <c r="AG596" s="15" t="n">
        <f aca="false">AA596*N(AD596)</f>
        <v>0</v>
      </c>
      <c r="AH596" s="15" t="n">
        <f aca="false">AA596*N(AE596)</f>
        <v>0</v>
      </c>
      <c r="AI596" s="15" t="n">
        <f aca="false">AA596*N(AF596)</f>
        <v>0</v>
      </c>
      <c r="AJ596" s="15" t="n">
        <f aca="false">AA596*N(R596)</f>
        <v>0</v>
      </c>
      <c r="AK596" s="15" t="n">
        <f aca="false">AB596*N(AD596)</f>
        <v>0</v>
      </c>
      <c r="AL596" s="15" t="n">
        <f aca="false">AB596*N(AE596)</f>
        <v>0</v>
      </c>
      <c r="AM596" s="15" t="n">
        <f aca="false">AB596*N(AF596)</f>
        <v>0</v>
      </c>
      <c r="AN596" s="15" t="n">
        <f aca="false">AB596*N(R596)</f>
        <v>0</v>
      </c>
      <c r="AO596" s="21" t="str">
        <f aca="false">IF(F596&lt;&gt;"Y","n/a",IF(AND(N596&lt;&gt;"",OR(Q596&lt;&gt;"",G596="Other / bench",G596="None"),U596&lt;&gt;""),"OK","Missing"))</f>
        <v>Missing</v>
      </c>
    </row>
    <row r="597" customFormat="false" ht="15" hidden="false" customHeight="false" outlineLevel="0" collapsed="false">
      <c r="A597" s="10" t="s">
        <v>533</v>
      </c>
      <c r="B597" s="10" t="s">
        <v>740</v>
      </c>
      <c r="C597" s="10" t="s">
        <v>522</v>
      </c>
      <c r="D597" s="10" t="s">
        <v>743</v>
      </c>
      <c r="E597" s="21" t="str">
        <f aca="false">IF(A597="","",A597&amp;"|"&amp;D597)</f>
        <v>Ferric Oxide Yellow|Compendial tests</v>
      </c>
      <c r="F597" s="16" t="s">
        <v>662</v>
      </c>
      <c r="G597" s="16" t="s">
        <v>670</v>
      </c>
      <c r="H597" s="16" t="s">
        <v>672</v>
      </c>
      <c r="I597" s="16" t="n">
        <v>1</v>
      </c>
      <c r="J597" s="16"/>
      <c r="K597" s="14"/>
      <c r="L597" s="14"/>
      <c r="M597" s="14"/>
      <c r="N597" s="14"/>
      <c r="O597" s="14"/>
      <c r="P597" s="18" t="n">
        <f aca="false">IF(N597="",0,IF(OR(M597="",O597=""),N597,(M597+4*N597+O597)/6))</f>
        <v>0</v>
      </c>
      <c r="Q597" s="14"/>
      <c r="R597" s="14"/>
      <c r="S597" s="14"/>
      <c r="T597" s="14"/>
      <c r="U597" s="16"/>
      <c r="V597" s="13"/>
      <c r="W597" s="16" t="s">
        <v>667</v>
      </c>
      <c r="X597" s="16"/>
      <c r="Y597" s="16"/>
      <c r="Z597" s="16" t="s">
        <v>744</v>
      </c>
      <c r="AA597" s="22" t="n">
        <f aca="false">IF(F597&lt;&gt;"Y",0,((SUMIF(Products!$E$5:$E$300,A597,Products!$F$5:$F$300)+SUMIF(RM_Lots!$A$5:$A$400,A597,RM_Lots!$D$5:$D$400))+IF(W597="Y",SUMIF(Products!$E$5:$E$300,A597,Products!$G$5:$G$300),0))*(1+N(V597)))</f>
        <v>0</v>
      </c>
      <c r="AB597" s="22" t="n">
        <f aca="false">IF(F597&lt;&gt;"Y",0,((SUMIF(Products!$E$5:$E$300,A597,Products!$K$5:$K$300)+SUMIF(RM_Lots!$A$5:$A$400,A597,RM_Lots!$F$5:$F$400))+IF(W597="Y",SUMIF(Products!$E$5:$E$300,A597,Products!$L$5:$L$300),0))*(1+N(V597)))</f>
        <v>0</v>
      </c>
      <c r="AC597" s="17" t="n">
        <f aca="false">IF(J597="",1,MAX(1,COUNTIFS($J$5:$J$863,J597,$F$5:$F$863,"Y")))</f>
        <v>1</v>
      </c>
      <c r="AD597" s="18" t="n">
        <f aca="false">(MAX(1,N(I597))*(P597+N(S597))+MAX(1,N(I597))*N(K597)/(MAX(1,N(U597))*AC597))*Settings!$B$9</f>
        <v>0</v>
      </c>
      <c r="AE597" s="18" t="n">
        <f aca="false">(MAX(1,N(I597))*N(Q597)+MAX(1,N(I597))*N(L597)/(MAX(1,N(U597))*AC597))*Settings!$B$8</f>
        <v>0</v>
      </c>
      <c r="AF597" s="18" t="n">
        <f aca="false">MAX(1,N(I597))*N(T597)</f>
        <v>0</v>
      </c>
      <c r="AG597" s="15" t="n">
        <f aca="false">AA597*N(AD597)</f>
        <v>0</v>
      </c>
      <c r="AH597" s="15" t="n">
        <f aca="false">AA597*N(AE597)</f>
        <v>0</v>
      </c>
      <c r="AI597" s="15" t="n">
        <f aca="false">AA597*N(AF597)</f>
        <v>0</v>
      </c>
      <c r="AJ597" s="15" t="n">
        <f aca="false">AA597*N(R597)</f>
        <v>0</v>
      </c>
      <c r="AK597" s="15" t="n">
        <f aca="false">AB597*N(AD597)</f>
        <v>0</v>
      </c>
      <c r="AL597" s="15" t="n">
        <f aca="false">AB597*N(AE597)</f>
        <v>0</v>
      </c>
      <c r="AM597" s="15" t="n">
        <f aca="false">AB597*N(AF597)</f>
        <v>0</v>
      </c>
      <c r="AN597" s="15" t="n">
        <f aca="false">AB597*N(R597)</f>
        <v>0</v>
      </c>
      <c r="AO597" s="21" t="str">
        <f aca="false">IF(F597&lt;&gt;"Y","n/a",IF(AND(N597&lt;&gt;"",OR(Q597&lt;&gt;"",G597="Other / bench",G597="None"),U597&lt;&gt;""),"OK","Missing"))</f>
        <v>Missing</v>
      </c>
    </row>
    <row r="598" customFormat="false" ht="15" hidden="false" customHeight="false" outlineLevel="0" collapsed="false">
      <c r="A598" s="10" t="s">
        <v>534</v>
      </c>
      <c r="B598" s="10" t="s">
        <v>740</v>
      </c>
      <c r="C598" s="10" t="s">
        <v>522</v>
      </c>
      <c r="D598" s="10" t="s">
        <v>743</v>
      </c>
      <c r="E598" s="21" t="str">
        <f aca="false">IF(A598="","",A598&amp;"|"&amp;D598)</f>
        <v>Sunset Yellow|Compendial tests</v>
      </c>
      <c r="F598" s="16" t="s">
        <v>662</v>
      </c>
      <c r="G598" s="16" t="s">
        <v>670</v>
      </c>
      <c r="H598" s="16" t="s">
        <v>672</v>
      </c>
      <c r="I598" s="16" t="n">
        <v>1</v>
      </c>
      <c r="J598" s="16"/>
      <c r="K598" s="14"/>
      <c r="L598" s="14"/>
      <c r="M598" s="14"/>
      <c r="N598" s="14"/>
      <c r="O598" s="14"/>
      <c r="P598" s="18" t="n">
        <f aca="false">IF(N598="",0,IF(OR(M598="",O598=""),N598,(M598+4*N598+O598)/6))</f>
        <v>0</v>
      </c>
      <c r="Q598" s="14"/>
      <c r="R598" s="14"/>
      <c r="S598" s="14"/>
      <c r="T598" s="14"/>
      <c r="U598" s="16"/>
      <c r="V598" s="13"/>
      <c r="W598" s="16" t="s">
        <v>667</v>
      </c>
      <c r="X598" s="16"/>
      <c r="Y598" s="16"/>
      <c r="Z598" s="16" t="s">
        <v>744</v>
      </c>
      <c r="AA598" s="22" t="n">
        <f aca="false">IF(F598&lt;&gt;"Y",0,((SUMIF(Products!$E$5:$E$300,A598,Products!$F$5:$F$300)+SUMIF(RM_Lots!$A$5:$A$400,A598,RM_Lots!$D$5:$D$400))+IF(W598="Y",SUMIF(Products!$E$5:$E$300,A598,Products!$G$5:$G$300),0))*(1+N(V598)))</f>
        <v>0</v>
      </c>
      <c r="AB598" s="22" t="n">
        <f aca="false">IF(F598&lt;&gt;"Y",0,((SUMIF(Products!$E$5:$E$300,A598,Products!$K$5:$K$300)+SUMIF(RM_Lots!$A$5:$A$400,A598,RM_Lots!$F$5:$F$400))+IF(W598="Y",SUMIF(Products!$E$5:$E$300,A598,Products!$L$5:$L$300),0))*(1+N(V598)))</f>
        <v>0</v>
      </c>
      <c r="AC598" s="17" t="n">
        <f aca="false">IF(J598="",1,MAX(1,COUNTIFS($J$5:$J$863,J598,$F$5:$F$863,"Y")))</f>
        <v>1</v>
      </c>
      <c r="AD598" s="18" t="n">
        <f aca="false">(MAX(1,N(I598))*(P598+N(S598))+MAX(1,N(I598))*N(K598)/(MAX(1,N(U598))*AC598))*Settings!$B$9</f>
        <v>0</v>
      </c>
      <c r="AE598" s="18" t="n">
        <f aca="false">(MAX(1,N(I598))*N(Q598)+MAX(1,N(I598))*N(L598)/(MAX(1,N(U598))*AC598))*Settings!$B$8</f>
        <v>0</v>
      </c>
      <c r="AF598" s="18" t="n">
        <f aca="false">MAX(1,N(I598))*N(T598)</f>
        <v>0</v>
      </c>
      <c r="AG598" s="15" t="n">
        <f aca="false">AA598*N(AD598)</f>
        <v>0</v>
      </c>
      <c r="AH598" s="15" t="n">
        <f aca="false">AA598*N(AE598)</f>
        <v>0</v>
      </c>
      <c r="AI598" s="15" t="n">
        <f aca="false">AA598*N(AF598)</f>
        <v>0</v>
      </c>
      <c r="AJ598" s="15" t="n">
        <f aca="false">AA598*N(R598)</f>
        <v>0</v>
      </c>
      <c r="AK598" s="15" t="n">
        <f aca="false">AB598*N(AD598)</f>
        <v>0</v>
      </c>
      <c r="AL598" s="15" t="n">
        <f aca="false">AB598*N(AE598)</f>
        <v>0</v>
      </c>
      <c r="AM598" s="15" t="n">
        <f aca="false">AB598*N(AF598)</f>
        <v>0</v>
      </c>
      <c r="AN598" s="15" t="n">
        <f aca="false">AB598*N(R598)</f>
        <v>0</v>
      </c>
      <c r="AO598" s="21" t="str">
        <f aca="false">IF(F598&lt;&gt;"Y","n/a",IF(AND(N598&lt;&gt;"",OR(Q598&lt;&gt;"",G598="Other / bench",G598="None"),U598&lt;&gt;""),"OK","Missing"))</f>
        <v>Missing</v>
      </c>
    </row>
    <row r="599" customFormat="false" ht="15" hidden="false" customHeight="false" outlineLevel="0" collapsed="false">
      <c r="A599" s="10" t="s">
        <v>535</v>
      </c>
      <c r="B599" s="10" t="s">
        <v>740</v>
      </c>
      <c r="C599" s="10" t="s">
        <v>536</v>
      </c>
      <c r="D599" s="10" t="s">
        <v>743</v>
      </c>
      <c r="E599" s="21" t="str">
        <f aca="false">IF(A599="","",A599&amp;"|"&amp;D599)</f>
        <v>Croscarmellose Sodium|Compendial tests</v>
      </c>
      <c r="F599" s="16" t="s">
        <v>662</v>
      </c>
      <c r="G599" s="16" t="s">
        <v>670</v>
      </c>
      <c r="H599" s="16" t="s">
        <v>672</v>
      </c>
      <c r="I599" s="16" t="n">
        <v>1</v>
      </c>
      <c r="J599" s="16"/>
      <c r="K599" s="14"/>
      <c r="L599" s="14"/>
      <c r="M599" s="14"/>
      <c r="N599" s="14"/>
      <c r="O599" s="14"/>
      <c r="P599" s="18" t="n">
        <f aca="false">IF(N599="",0,IF(OR(M599="",O599=""),N599,(M599+4*N599+O599)/6))</f>
        <v>0</v>
      </c>
      <c r="Q599" s="14"/>
      <c r="R599" s="14"/>
      <c r="S599" s="14"/>
      <c r="T599" s="14"/>
      <c r="U599" s="16"/>
      <c r="V599" s="13"/>
      <c r="W599" s="16" t="s">
        <v>667</v>
      </c>
      <c r="X599" s="16"/>
      <c r="Y599" s="16"/>
      <c r="Z599" s="16" t="s">
        <v>744</v>
      </c>
      <c r="AA599" s="22" t="n">
        <f aca="false">IF(F599&lt;&gt;"Y",0,((SUMIF(Products!$E$5:$E$300,A599,Products!$F$5:$F$300)+SUMIF(RM_Lots!$A$5:$A$400,A599,RM_Lots!$D$5:$D$400))+IF(W599="Y",SUMIF(Products!$E$5:$E$300,A599,Products!$G$5:$G$300),0))*(1+N(V599)))</f>
        <v>0</v>
      </c>
      <c r="AB599" s="22" t="n">
        <f aca="false">IF(F599&lt;&gt;"Y",0,((SUMIF(Products!$E$5:$E$300,A599,Products!$K$5:$K$300)+SUMIF(RM_Lots!$A$5:$A$400,A599,RM_Lots!$F$5:$F$400))+IF(W599="Y",SUMIF(Products!$E$5:$E$300,A599,Products!$L$5:$L$300),0))*(1+N(V599)))</f>
        <v>0</v>
      </c>
      <c r="AC599" s="17" t="n">
        <f aca="false">IF(J599="",1,MAX(1,COUNTIFS($J$5:$J$863,J599,$F$5:$F$863,"Y")))</f>
        <v>1</v>
      </c>
      <c r="AD599" s="18" t="n">
        <f aca="false">(MAX(1,N(I599))*(P599+N(S599))+MAX(1,N(I599))*N(K599)/(MAX(1,N(U599))*AC599))*Settings!$B$9</f>
        <v>0</v>
      </c>
      <c r="AE599" s="18" t="n">
        <f aca="false">(MAX(1,N(I599))*N(Q599)+MAX(1,N(I599))*N(L599)/(MAX(1,N(U599))*AC599))*Settings!$B$8</f>
        <v>0</v>
      </c>
      <c r="AF599" s="18" t="n">
        <f aca="false">MAX(1,N(I599))*N(T599)</f>
        <v>0</v>
      </c>
      <c r="AG599" s="15" t="n">
        <f aca="false">AA599*N(AD599)</f>
        <v>0</v>
      </c>
      <c r="AH599" s="15" t="n">
        <f aca="false">AA599*N(AE599)</f>
        <v>0</v>
      </c>
      <c r="AI599" s="15" t="n">
        <f aca="false">AA599*N(AF599)</f>
        <v>0</v>
      </c>
      <c r="AJ599" s="15" t="n">
        <f aca="false">AA599*N(R599)</f>
        <v>0</v>
      </c>
      <c r="AK599" s="15" t="n">
        <f aca="false">AB599*N(AD599)</f>
        <v>0</v>
      </c>
      <c r="AL599" s="15" t="n">
        <f aca="false">AB599*N(AE599)</f>
        <v>0</v>
      </c>
      <c r="AM599" s="15" t="n">
        <f aca="false">AB599*N(AF599)</f>
        <v>0</v>
      </c>
      <c r="AN599" s="15" t="n">
        <f aca="false">AB599*N(R599)</f>
        <v>0</v>
      </c>
      <c r="AO599" s="21" t="str">
        <f aca="false">IF(F599&lt;&gt;"Y","n/a",IF(AND(N599&lt;&gt;"",OR(Q599&lt;&gt;"",G599="Other / bench",G599="None"),U599&lt;&gt;""),"OK","Missing"))</f>
        <v>Missing</v>
      </c>
    </row>
    <row r="600" customFormat="false" ht="15" hidden="false" customHeight="false" outlineLevel="0" collapsed="false">
      <c r="A600" s="10" t="s">
        <v>537</v>
      </c>
      <c r="B600" s="10" t="s">
        <v>740</v>
      </c>
      <c r="C600" s="10" t="s">
        <v>536</v>
      </c>
      <c r="D600" s="10" t="s">
        <v>743</v>
      </c>
      <c r="E600" s="21" t="str">
        <f aca="false">IF(A600="","",A600&amp;"|"&amp;D600)</f>
        <v>Crospovidone|Compendial tests</v>
      </c>
      <c r="F600" s="16" t="s">
        <v>662</v>
      </c>
      <c r="G600" s="16" t="s">
        <v>670</v>
      </c>
      <c r="H600" s="16" t="s">
        <v>672</v>
      </c>
      <c r="I600" s="16" t="n">
        <v>1</v>
      </c>
      <c r="J600" s="16"/>
      <c r="K600" s="14"/>
      <c r="L600" s="14"/>
      <c r="M600" s="14"/>
      <c r="N600" s="14"/>
      <c r="O600" s="14"/>
      <c r="P600" s="18" t="n">
        <f aca="false">IF(N600="",0,IF(OR(M600="",O600=""),N600,(M600+4*N600+O600)/6))</f>
        <v>0</v>
      </c>
      <c r="Q600" s="14"/>
      <c r="R600" s="14"/>
      <c r="S600" s="14"/>
      <c r="T600" s="14"/>
      <c r="U600" s="16"/>
      <c r="V600" s="13"/>
      <c r="W600" s="16" t="s">
        <v>667</v>
      </c>
      <c r="X600" s="16"/>
      <c r="Y600" s="16"/>
      <c r="Z600" s="16" t="s">
        <v>744</v>
      </c>
      <c r="AA600" s="22" t="n">
        <f aca="false">IF(F600&lt;&gt;"Y",0,((SUMIF(Products!$E$5:$E$300,A600,Products!$F$5:$F$300)+SUMIF(RM_Lots!$A$5:$A$400,A600,RM_Lots!$D$5:$D$400))+IF(W600="Y",SUMIF(Products!$E$5:$E$300,A600,Products!$G$5:$G$300),0))*(1+N(V600)))</f>
        <v>0</v>
      </c>
      <c r="AB600" s="22" t="n">
        <f aca="false">IF(F600&lt;&gt;"Y",0,((SUMIF(Products!$E$5:$E$300,A600,Products!$K$5:$K$300)+SUMIF(RM_Lots!$A$5:$A$400,A600,RM_Lots!$F$5:$F$400))+IF(W600="Y",SUMIF(Products!$E$5:$E$300,A600,Products!$L$5:$L$300),0))*(1+N(V600)))</f>
        <v>0</v>
      </c>
      <c r="AC600" s="17" t="n">
        <f aca="false">IF(J600="",1,MAX(1,COUNTIFS($J$5:$J$863,J600,$F$5:$F$863,"Y")))</f>
        <v>1</v>
      </c>
      <c r="AD600" s="18" t="n">
        <f aca="false">(MAX(1,N(I600))*(P600+N(S600))+MAX(1,N(I600))*N(K600)/(MAX(1,N(U600))*AC600))*Settings!$B$9</f>
        <v>0</v>
      </c>
      <c r="AE600" s="18" t="n">
        <f aca="false">(MAX(1,N(I600))*N(Q600)+MAX(1,N(I600))*N(L600)/(MAX(1,N(U600))*AC600))*Settings!$B$8</f>
        <v>0</v>
      </c>
      <c r="AF600" s="18" t="n">
        <f aca="false">MAX(1,N(I600))*N(T600)</f>
        <v>0</v>
      </c>
      <c r="AG600" s="15" t="n">
        <f aca="false">AA600*N(AD600)</f>
        <v>0</v>
      </c>
      <c r="AH600" s="15" t="n">
        <f aca="false">AA600*N(AE600)</f>
        <v>0</v>
      </c>
      <c r="AI600" s="15" t="n">
        <f aca="false">AA600*N(AF600)</f>
        <v>0</v>
      </c>
      <c r="AJ600" s="15" t="n">
        <f aca="false">AA600*N(R600)</f>
        <v>0</v>
      </c>
      <c r="AK600" s="15" t="n">
        <f aca="false">AB600*N(AD600)</f>
        <v>0</v>
      </c>
      <c r="AL600" s="15" t="n">
        <f aca="false">AB600*N(AE600)</f>
        <v>0</v>
      </c>
      <c r="AM600" s="15" t="n">
        <f aca="false">AB600*N(AF600)</f>
        <v>0</v>
      </c>
      <c r="AN600" s="15" t="n">
        <f aca="false">AB600*N(R600)</f>
        <v>0</v>
      </c>
      <c r="AO600" s="21" t="str">
        <f aca="false">IF(F600&lt;&gt;"Y","n/a",IF(AND(N600&lt;&gt;"",OR(Q600&lt;&gt;"",G600="Other / bench",G600="None"),U600&lt;&gt;""),"OK","Missing"))</f>
        <v>Missing</v>
      </c>
    </row>
    <row r="601" customFormat="false" ht="15" hidden="false" customHeight="false" outlineLevel="0" collapsed="false">
      <c r="A601" s="10" t="s">
        <v>538</v>
      </c>
      <c r="B601" s="10" t="s">
        <v>740</v>
      </c>
      <c r="C601" s="10" t="s">
        <v>536</v>
      </c>
      <c r="D601" s="10" t="s">
        <v>743</v>
      </c>
      <c r="E601" s="21" t="str">
        <f aca="false">IF(A601="","",A601&amp;"|"&amp;D601)</f>
        <v>Sodium Starch Glycolate|Compendial tests</v>
      </c>
      <c r="F601" s="16" t="s">
        <v>662</v>
      </c>
      <c r="G601" s="16" t="s">
        <v>670</v>
      </c>
      <c r="H601" s="16" t="s">
        <v>672</v>
      </c>
      <c r="I601" s="16" t="n">
        <v>1</v>
      </c>
      <c r="J601" s="16"/>
      <c r="K601" s="14"/>
      <c r="L601" s="14"/>
      <c r="M601" s="14"/>
      <c r="N601" s="14"/>
      <c r="O601" s="14"/>
      <c r="P601" s="18" t="n">
        <f aca="false">IF(N601="",0,IF(OR(M601="",O601=""),N601,(M601+4*N601+O601)/6))</f>
        <v>0</v>
      </c>
      <c r="Q601" s="14"/>
      <c r="R601" s="14"/>
      <c r="S601" s="14"/>
      <c r="T601" s="14"/>
      <c r="U601" s="16"/>
      <c r="V601" s="13"/>
      <c r="W601" s="16" t="s">
        <v>667</v>
      </c>
      <c r="X601" s="16"/>
      <c r="Y601" s="16"/>
      <c r="Z601" s="16" t="s">
        <v>744</v>
      </c>
      <c r="AA601" s="22" t="n">
        <f aca="false">IF(F601&lt;&gt;"Y",0,((SUMIF(Products!$E$5:$E$300,A601,Products!$F$5:$F$300)+SUMIF(RM_Lots!$A$5:$A$400,A601,RM_Lots!$D$5:$D$400))+IF(W601="Y",SUMIF(Products!$E$5:$E$300,A601,Products!$G$5:$G$300),0))*(1+N(V601)))</f>
        <v>0</v>
      </c>
      <c r="AB601" s="22" t="n">
        <f aca="false">IF(F601&lt;&gt;"Y",0,((SUMIF(Products!$E$5:$E$300,A601,Products!$K$5:$K$300)+SUMIF(RM_Lots!$A$5:$A$400,A601,RM_Lots!$F$5:$F$400))+IF(W601="Y",SUMIF(Products!$E$5:$E$300,A601,Products!$L$5:$L$300),0))*(1+N(V601)))</f>
        <v>0</v>
      </c>
      <c r="AC601" s="17" t="n">
        <f aca="false">IF(J601="",1,MAX(1,COUNTIFS($J$5:$J$863,J601,$F$5:$F$863,"Y")))</f>
        <v>1</v>
      </c>
      <c r="AD601" s="18" t="n">
        <f aca="false">(MAX(1,N(I601))*(P601+N(S601))+MAX(1,N(I601))*N(K601)/(MAX(1,N(U601))*AC601))*Settings!$B$9</f>
        <v>0</v>
      </c>
      <c r="AE601" s="18" t="n">
        <f aca="false">(MAX(1,N(I601))*N(Q601)+MAX(1,N(I601))*N(L601)/(MAX(1,N(U601))*AC601))*Settings!$B$8</f>
        <v>0</v>
      </c>
      <c r="AF601" s="18" t="n">
        <f aca="false">MAX(1,N(I601))*N(T601)</f>
        <v>0</v>
      </c>
      <c r="AG601" s="15" t="n">
        <f aca="false">AA601*N(AD601)</f>
        <v>0</v>
      </c>
      <c r="AH601" s="15" t="n">
        <f aca="false">AA601*N(AE601)</f>
        <v>0</v>
      </c>
      <c r="AI601" s="15" t="n">
        <f aca="false">AA601*N(AF601)</f>
        <v>0</v>
      </c>
      <c r="AJ601" s="15" t="n">
        <f aca="false">AA601*N(R601)</f>
        <v>0</v>
      </c>
      <c r="AK601" s="15" t="n">
        <f aca="false">AB601*N(AD601)</f>
        <v>0</v>
      </c>
      <c r="AL601" s="15" t="n">
        <f aca="false">AB601*N(AE601)</f>
        <v>0</v>
      </c>
      <c r="AM601" s="15" t="n">
        <f aca="false">AB601*N(AF601)</f>
        <v>0</v>
      </c>
      <c r="AN601" s="15" t="n">
        <f aca="false">AB601*N(R601)</f>
        <v>0</v>
      </c>
      <c r="AO601" s="21" t="str">
        <f aca="false">IF(F601&lt;&gt;"Y","n/a",IF(AND(N601&lt;&gt;"",OR(Q601&lt;&gt;"",G601="Other / bench",G601="None"),U601&lt;&gt;""),"OK","Missing"))</f>
        <v>Missing</v>
      </c>
    </row>
    <row r="602" customFormat="false" ht="15" hidden="false" customHeight="false" outlineLevel="0" collapsed="false">
      <c r="A602" s="10" t="s">
        <v>539</v>
      </c>
      <c r="B602" s="10" t="s">
        <v>740</v>
      </c>
      <c r="C602" s="10" t="s">
        <v>540</v>
      </c>
      <c r="D602" s="10" t="s">
        <v>743</v>
      </c>
      <c r="E602" s="21" t="str">
        <f aca="false">IF(A602="","",A602&amp;"|"&amp;D602)</f>
        <v>Calcium Hydrogen Phosphate (Dicalcium Phosphate)|Compendial tests</v>
      </c>
      <c r="F602" s="16" t="s">
        <v>662</v>
      </c>
      <c r="G602" s="16" t="s">
        <v>670</v>
      </c>
      <c r="H602" s="16" t="s">
        <v>672</v>
      </c>
      <c r="I602" s="16" t="n">
        <v>1</v>
      </c>
      <c r="J602" s="16"/>
      <c r="K602" s="14"/>
      <c r="L602" s="14"/>
      <c r="M602" s="14"/>
      <c r="N602" s="14"/>
      <c r="O602" s="14"/>
      <c r="P602" s="18" t="n">
        <f aca="false">IF(N602="",0,IF(OR(M602="",O602=""),N602,(M602+4*N602+O602)/6))</f>
        <v>0</v>
      </c>
      <c r="Q602" s="14"/>
      <c r="R602" s="14"/>
      <c r="S602" s="14"/>
      <c r="T602" s="14"/>
      <c r="U602" s="16"/>
      <c r="V602" s="13"/>
      <c r="W602" s="16" t="s">
        <v>667</v>
      </c>
      <c r="X602" s="16"/>
      <c r="Y602" s="16"/>
      <c r="Z602" s="16" t="s">
        <v>744</v>
      </c>
      <c r="AA602" s="22" t="n">
        <f aca="false">IF(F602&lt;&gt;"Y",0,((SUMIF(Products!$E$5:$E$300,A602,Products!$F$5:$F$300)+SUMIF(RM_Lots!$A$5:$A$400,A602,RM_Lots!$D$5:$D$400))+IF(W602="Y",SUMIF(Products!$E$5:$E$300,A602,Products!$G$5:$G$300),0))*(1+N(V602)))</f>
        <v>0</v>
      </c>
      <c r="AB602" s="22" t="n">
        <f aca="false">IF(F602&lt;&gt;"Y",0,((SUMIF(Products!$E$5:$E$300,A602,Products!$K$5:$K$300)+SUMIF(RM_Lots!$A$5:$A$400,A602,RM_Lots!$F$5:$F$400))+IF(W602="Y",SUMIF(Products!$E$5:$E$300,A602,Products!$L$5:$L$300),0))*(1+N(V602)))</f>
        <v>0</v>
      </c>
      <c r="AC602" s="17" t="n">
        <f aca="false">IF(J602="",1,MAX(1,COUNTIFS($J$5:$J$863,J602,$F$5:$F$863,"Y")))</f>
        <v>1</v>
      </c>
      <c r="AD602" s="18" t="n">
        <f aca="false">(MAX(1,N(I602))*(P602+N(S602))+MAX(1,N(I602))*N(K602)/(MAX(1,N(U602))*AC602))*Settings!$B$9</f>
        <v>0</v>
      </c>
      <c r="AE602" s="18" t="n">
        <f aca="false">(MAX(1,N(I602))*N(Q602)+MAX(1,N(I602))*N(L602)/(MAX(1,N(U602))*AC602))*Settings!$B$8</f>
        <v>0</v>
      </c>
      <c r="AF602" s="18" t="n">
        <f aca="false">MAX(1,N(I602))*N(T602)</f>
        <v>0</v>
      </c>
      <c r="AG602" s="15" t="n">
        <f aca="false">AA602*N(AD602)</f>
        <v>0</v>
      </c>
      <c r="AH602" s="15" t="n">
        <f aca="false">AA602*N(AE602)</f>
        <v>0</v>
      </c>
      <c r="AI602" s="15" t="n">
        <f aca="false">AA602*N(AF602)</f>
        <v>0</v>
      </c>
      <c r="AJ602" s="15" t="n">
        <f aca="false">AA602*N(R602)</f>
        <v>0</v>
      </c>
      <c r="AK602" s="15" t="n">
        <f aca="false">AB602*N(AD602)</f>
        <v>0</v>
      </c>
      <c r="AL602" s="15" t="n">
        <f aca="false">AB602*N(AE602)</f>
        <v>0</v>
      </c>
      <c r="AM602" s="15" t="n">
        <f aca="false">AB602*N(AF602)</f>
        <v>0</v>
      </c>
      <c r="AN602" s="15" t="n">
        <f aca="false">AB602*N(R602)</f>
        <v>0</v>
      </c>
      <c r="AO602" s="21" t="str">
        <f aca="false">IF(F602&lt;&gt;"Y","n/a",IF(AND(N602&lt;&gt;"",OR(Q602&lt;&gt;"",G602="Other / bench",G602="None"),U602&lt;&gt;""),"OK","Missing"))</f>
        <v>Missing</v>
      </c>
    </row>
    <row r="603" customFormat="false" ht="15" hidden="false" customHeight="false" outlineLevel="0" collapsed="false">
      <c r="A603" s="10" t="s">
        <v>541</v>
      </c>
      <c r="B603" s="10" t="s">
        <v>740</v>
      </c>
      <c r="C603" s="10" t="s">
        <v>540</v>
      </c>
      <c r="D603" s="10" t="s">
        <v>743</v>
      </c>
      <c r="E603" s="21" t="str">
        <f aca="false">IF(A603="","",A603&amp;"|"&amp;D603)</f>
        <v>Corn Starch|Compendial tests</v>
      </c>
      <c r="F603" s="16" t="s">
        <v>662</v>
      </c>
      <c r="G603" s="16" t="s">
        <v>670</v>
      </c>
      <c r="H603" s="16" t="s">
        <v>672</v>
      </c>
      <c r="I603" s="16" t="n">
        <v>1</v>
      </c>
      <c r="J603" s="16"/>
      <c r="K603" s="14"/>
      <c r="L603" s="14"/>
      <c r="M603" s="14"/>
      <c r="N603" s="14"/>
      <c r="O603" s="14"/>
      <c r="P603" s="18" t="n">
        <f aca="false">IF(N603="",0,IF(OR(M603="",O603=""),N603,(M603+4*N603+O603)/6))</f>
        <v>0</v>
      </c>
      <c r="Q603" s="14"/>
      <c r="R603" s="14"/>
      <c r="S603" s="14"/>
      <c r="T603" s="14"/>
      <c r="U603" s="16"/>
      <c r="V603" s="13"/>
      <c r="W603" s="16" t="s">
        <v>667</v>
      </c>
      <c r="X603" s="16"/>
      <c r="Y603" s="16"/>
      <c r="Z603" s="16" t="s">
        <v>744</v>
      </c>
      <c r="AA603" s="22" t="n">
        <f aca="false">IF(F603&lt;&gt;"Y",0,((SUMIF(Products!$E$5:$E$300,A603,Products!$F$5:$F$300)+SUMIF(RM_Lots!$A$5:$A$400,A603,RM_Lots!$D$5:$D$400))+IF(W603="Y",SUMIF(Products!$E$5:$E$300,A603,Products!$G$5:$G$300),0))*(1+N(V603)))</f>
        <v>0</v>
      </c>
      <c r="AB603" s="22" t="n">
        <f aca="false">IF(F603&lt;&gt;"Y",0,((SUMIF(Products!$E$5:$E$300,A603,Products!$K$5:$K$300)+SUMIF(RM_Lots!$A$5:$A$400,A603,RM_Lots!$F$5:$F$400))+IF(W603="Y",SUMIF(Products!$E$5:$E$300,A603,Products!$L$5:$L$300),0))*(1+N(V603)))</f>
        <v>0</v>
      </c>
      <c r="AC603" s="17" t="n">
        <f aca="false">IF(J603="",1,MAX(1,COUNTIFS($J$5:$J$863,J603,$F$5:$F$863,"Y")))</f>
        <v>1</v>
      </c>
      <c r="AD603" s="18" t="n">
        <f aca="false">(MAX(1,N(I603))*(P603+N(S603))+MAX(1,N(I603))*N(K603)/(MAX(1,N(U603))*AC603))*Settings!$B$9</f>
        <v>0</v>
      </c>
      <c r="AE603" s="18" t="n">
        <f aca="false">(MAX(1,N(I603))*N(Q603)+MAX(1,N(I603))*N(L603)/(MAX(1,N(U603))*AC603))*Settings!$B$8</f>
        <v>0</v>
      </c>
      <c r="AF603" s="18" t="n">
        <f aca="false">MAX(1,N(I603))*N(T603)</f>
        <v>0</v>
      </c>
      <c r="AG603" s="15" t="n">
        <f aca="false">AA603*N(AD603)</f>
        <v>0</v>
      </c>
      <c r="AH603" s="15" t="n">
        <f aca="false">AA603*N(AE603)</f>
        <v>0</v>
      </c>
      <c r="AI603" s="15" t="n">
        <f aca="false">AA603*N(AF603)</f>
        <v>0</v>
      </c>
      <c r="AJ603" s="15" t="n">
        <f aca="false">AA603*N(R603)</f>
        <v>0</v>
      </c>
      <c r="AK603" s="15" t="n">
        <f aca="false">AB603*N(AD603)</f>
        <v>0</v>
      </c>
      <c r="AL603" s="15" t="n">
        <f aca="false">AB603*N(AE603)</f>
        <v>0</v>
      </c>
      <c r="AM603" s="15" t="n">
        <f aca="false">AB603*N(AF603)</f>
        <v>0</v>
      </c>
      <c r="AN603" s="15" t="n">
        <f aca="false">AB603*N(R603)</f>
        <v>0</v>
      </c>
      <c r="AO603" s="21" t="str">
        <f aca="false">IF(F603&lt;&gt;"Y","n/a",IF(AND(N603&lt;&gt;"",OR(Q603&lt;&gt;"",G603="Other / bench",G603="None"),U603&lt;&gt;""),"OK","Missing"))</f>
        <v>Missing</v>
      </c>
    </row>
    <row r="604" customFormat="false" ht="15" hidden="false" customHeight="false" outlineLevel="0" collapsed="false">
      <c r="A604" s="10" t="s">
        <v>542</v>
      </c>
      <c r="B604" s="10" t="s">
        <v>740</v>
      </c>
      <c r="C604" s="10" t="s">
        <v>540</v>
      </c>
      <c r="D604" s="10" t="s">
        <v>743</v>
      </c>
      <c r="E604" s="21" t="str">
        <f aca="false">IF(A604="","",A604&amp;"|"&amp;D604)</f>
        <v>Dibasic Calcium Phosphate Dihydrate|Compendial tests</v>
      </c>
      <c r="F604" s="16" t="s">
        <v>662</v>
      </c>
      <c r="G604" s="16" t="s">
        <v>670</v>
      </c>
      <c r="H604" s="16" t="s">
        <v>672</v>
      </c>
      <c r="I604" s="16" t="n">
        <v>1</v>
      </c>
      <c r="J604" s="16"/>
      <c r="K604" s="14"/>
      <c r="L604" s="14"/>
      <c r="M604" s="14"/>
      <c r="N604" s="14"/>
      <c r="O604" s="14"/>
      <c r="P604" s="18" t="n">
        <f aca="false">IF(N604="",0,IF(OR(M604="",O604=""),N604,(M604+4*N604+O604)/6))</f>
        <v>0</v>
      </c>
      <c r="Q604" s="14"/>
      <c r="R604" s="14"/>
      <c r="S604" s="14"/>
      <c r="T604" s="14"/>
      <c r="U604" s="16"/>
      <c r="V604" s="13"/>
      <c r="W604" s="16" t="s">
        <v>667</v>
      </c>
      <c r="X604" s="16"/>
      <c r="Y604" s="16"/>
      <c r="Z604" s="16" t="s">
        <v>744</v>
      </c>
      <c r="AA604" s="22" t="n">
        <f aca="false">IF(F604&lt;&gt;"Y",0,((SUMIF(Products!$E$5:$E$300,A604,Products!$F$5:$F$300)+SUMIF(RM_Lots!$A$5:$A$400,A604,RM_Lots!$D$5:$D$400))+IF(W604="Y",SUMIF(Products!$E$5:$E$300,A604,Products!$G$5:$G$300),0))*(1+N(V604)))</f>
        <v>0</v>
      </c>
      <c r="AB604" s="22" t="n">
        <f aca="false">IF(F604&lt;&gt;"Y",0,((SUMIF(Products!$E$5:$E$300,A604,Products!$K$5:$K$300)+SUMIF(RM_Lots!$A$5:$A$400,A604,RM_Lots!$F$5:$F$400))+IF(W604="Y",SUMIF(Products!$E$5:$E$300,A604,Products!$L$5:$L$300),0))*(1+N(V604)))</f>
        <v>0</v>
      </c>
      <c r="AC604" s="17" t="n">
        <f aca="false">IF(J604="",1,MAX(1,COUNTIFS($J$5:$J$863,J604,$F$5:$F$863,"Y")))</f>
        <v>1</v>
      </c>
      <c r="AD604" s="18" t="n">
        <f aca="false">(MAX(1,N(I604))*(P604+N(S604))+MAX(1,N(I604))*N(K604)/(MAX(1,N(U604))*AC604))*Settings!$B$9</f>
        <v>0</v>
      </c>
      <c r="AE604" s="18" t="n">
        <f aca="false">(MAX(1,N(I604))*N(Q604)+MAX(1,N(I604))*N(L604)/(MAX(1,N(U604))*AC604))*Settings!$B$8</f>
        <v>0</v>
      </c>
      <c r="AF604" s="18" t="n">
        <f aca="false">MAX(1,N(I604))*N(T604)</f>
        <v>0</v>
      </c>
      <c r="AG604" s="15" t="n">
        <f aca="false">AA604*N(AD604)</f>
        <v>0</v>
      </c>
      <c r="AH604" s="15" t="n">
        <f aca="false">AA604*N(AE604)</f>
        <v>0</v>
      </c>
      <c r="AI604" s="15" t="n">
        <f aca="false">AA604*N(AF604)</f>
        <v>0</v>
      </c>
      <c r="AJ604" s="15" t="n">
        <f aca="false">AA604*N(R604)</f>
        <v>0</v>
      </c>
      <c r="AK604" s="15" t="n">
        <f aca="false">AB604*N(AD604)</f>
        <v>0</v>
      </c>
      <c r="AL604" s="15" t="n">
        <f aca="false">AB604*N(AE604)</f>
        <v>0</v>
      </c>
      <c r="AM604" s="15" t="n">
        <f aca="false">AB604*N(AF604)</f>
        <v>0</v>
      </c>
      <c r="AN604" s="15" t="n">
        <f aca="false">AB604*N(R604)</f>
        <v>0</v>
      </c>
      <c r="AO604" s="21" t="str">
        <f aca="false">IF(F604&lt;&gt;"Y","n/a",IF(AND(N604&lt;&gt;"",OR(Q604&lt;&gt;"",G604="Other / bench",G604="None"),U604&lt;&gt;""),"OK","Missing"))</f>
        <v>Missing</v>
      </c>
    </row>
    <row r="605" customFormat="false" ht="15" hidden="false" customHeight="false" outlineLevel="0" collapsed="false">
      <c r="A605" s="10" t="s">
        <v>543</v>
      </c>
      <c r="B605" s="10" t="s">
        <v>740</v>
      </c>
      <c r="C605" s="10" t="s">
        <v>540</v>
      </c>
      <c r="D605" s="10" t="s">
        <v>743</v>
      </c>
      <c r="E605" s="21" t="str">
        <f aca="false">IF(A605="","",A605&amp;"|"&amp;D605)</f>
        <v>Lactose Monohydrate|Compendial tests</v>
      </c>
      <c r="F605" s="16" t="s">
        <v>662</v>
      </c>
      <c r="G605" s="16" t="s">
        <v>670</v>
      </c>
      <c r="H605" s="16" t="s">
        <v>672</v>
      </c>
      <c r="I605" s="16" t="n">
        <v>1</v>
      </c>
      <c r="J605" s="16"/>
      <c r="K605" s="14"/>
      <c r="L605" s="14"/>
      <c r="M605" s="14"/>
      <c r="N605" s="14"/>
      <c r="O605" s="14"/>
      <c r="P605" s="18" t="n">
        <f aca="false">IF(N605="",0,IF(OR(M605="",O605=""),N605,(M605+4*N605+O605)/6))</f>
        <v>0</v>
      </c>
      <c r="Q605" s="14"/>
      <c r="R605" s="14"/>
      <c r="S605" s="14"/>
      <c r="T605" s="14"/>
      <c r="U605" s="16"/>
      <c r="V605" s="13"/>
      <c r="W605" s="16" t="s">
        <v>667</v>
      </c>
      <c r="X605" s="16"/>
      <c r="Y605" s="16"/>
      <c r="Z605" s="16" t="s">
        <v>744</v>
      </c>
      <c r="AA605" s="22" t="n">
        <f aca="false">IF(F605&lt;&gt;"Y",0,((SUMIF(Products!$E$5:$E$300,A605,Products!$F$5:$F$300)+SUMIF(RM_Lots!$A$5:$A$400,A605,RM_Lots!$D$5:$D$400))+IF(W605="Y",SUMIF(Products!$E$5:$E$300,A605,Products!$G$5:$G$300),0))*(1+N(V605)))</f>
        <v>0</v>
      </c>
      <c r="AB605" s="22" t="n">
        <f aca="false">IF(F605&lt;&gt;"Y",0,((SUMIF(Products!$E$5:$E$300,A605,Products!$K$5:$K$300)+SUMIF(RM_Lots!$A$5:$A$400,A605,RM_Lots!$F$5:$F$400))+IF(W605="Y",SUMIF(Products!$E$5:$E$300,A605,Products!$L$5:$L$300),0))*(1+N(V605)))</f>
        <v>0</v>
      </c>
      <c r="AC605" s="17" t="n">
        <f aca="false">IF(J605="",1,MAX(1,COUNTIFS($J$5:$J$863,J605,$F$5:$F$863,"Y")))</f>
        <v>1</v>
      </c>
      <c r="AD605" s="18" t="n">
        <f aca="false">(MAX(1,N(I605))*(P605+N(S605))+MAX(1,N(I605))*N(K605)/(MAX(1,N(U605))*AC605))*Settings!$B$9</f>
        <v>0</v>
      </c>
      <c r="AE605" s="18" t="n">
        <f aca="false">(MAX(1,N(I605))*N(Q605)+MAX(1,N(I605))*N(L605)/(MAX(1,N(U605))*AC605))*Settings!$B$8</f>
        <v>0</v>
      </c>
      <c r="AF605" s="18" t="n">
        <f aca="false">MAX(1,N(I605))*N(T605)</f>
        <v>0</v>
      </c>
      <c r="AG605" s="15" t="n">
        <f aca="false">AA605*N(AD605)</f>
        <v>0</v>
      </c>
      <c r="AH605" s="15" t="n">
        <f aca="false">AA605*N(AE605)</f>
        <v>0</v>
      </c>
      <c r="AI605" s="15" t="n">
        <f aca="false">AA605*N(AF605)</f>
        <v>0</v>
      </c>
      <c r="AJ605" s="15" t="n">
        <f aca="false">AA605*N(R605)</f>
        <v>0</v>
      </c>
      <c r="AK605" s="15" t="n">
        <f aca="false">AB605*N(AD605)</f>
        <v>0</v>
      </c>
      <c r="AL605" s="15" t="n">
        <f aca="false">AB605*N(AE605)</f>
        <v>0</v>
      </c>
      <c r="AM605" s="15" t="n">
        <f aca="false">AB605*N(AF605)</f>
        <v>0</v>
      </c>
      <c r="AN605" s="15" t="n">
        <f aca="false">AB605*N(R605)</f>
        <v>0</v>
      </c>
      <c r="AO605" s="21" t="str">
        <f aca="false">IF(F605&lt;&gt;"Y","n/a",IF(AND(N605&lt;&gt;"",OR(Q605&lt;&gt;"",G605="Other / bench",G605="None"),U605&lt;&gt;""),"OK","Missing"))</f>
        <v>Missing</v>
      </c>
    </row>
    <row r="606" customFormat="false" ht="15" hidden="false" customHeight="false" outlineLevel="0" collapsed="false">
      <c r="A606" s="10" t="s">
        <v>544</v>
      </c>
      <c r="B606" s="10" t="s">
        <v>740</v>
      </c>
      <c r="C606" s="10" t="s">
        <v>540</v>
      </c>
      <c r="D606" s="10" t="s">
        <v>743</v>
      </c>
      <c r="E606" s="21" t="str">
        <f aca="false">IF(A606="","",A606&amp;"|"&amp;D606)</f>
        <v>Maltodextrin|Compendial tests</v>
      </c>
      <c r="F606" s="16" t="s">
        <v>662</v>
      </c>
      <c r="G606" s="16" t="s">
        <v>670</v>
      </c>
      <c r="H606" s="16" t="s">
        <v>672</v>
      </c>
      <c r="I606" s="16" t="n">
        <v>1</v>
      </c>
      <c r="J606" s="16"/>
      <c r="K606" s="14"/>
      <c r="L606" s="14"/>
      <c r="M606" s="14"/>
      <c r="N606" s="14"/>
      <c r="O606" s="14"/>
      <c r="P606" s="18" t="n">
        <f aca="false">IF(N606="",0,IF(OR(M606="",O606=""),N606,(M606+4*N606+O606)/6))</f>
        <v>0</v>
      </c>
      <c r="Q606" s="14"/>
      <c r="R606" s="14"/>
      <c r="S606" s="14"/>
      <c r="T606" s="14"/>
      <c r="U606" s="16"/>
      <c r="V606" s="13"/>
      <c r="W606" s="16" t="s">
        <v>667</v>
      </c>
      <c r="X606" s="16"/>
      <c r="Y606" s="16"/>
      <c r="Z606" s="16" t="s">
        <v>744</v>
      </c>
      <c r="AA606" s="22" t="n">
        <f aca="false">IF(F606&lt;&gt;"Y",0,((SUMIF(Products!$E$5:$E$300,A606,Products!$F$5:$F$300)+SUMIF(RM_Lots!$A$5:$A$400,A606,RM_Lots!$D$5:$D$400))+IF(W606="Y",SUMIF(Products!$E$5:$E$300,A606,Products!$G$5:$G$300),0))*(1+N(V606)))</f>
        <v>0</v>
      </c>
      <c r="AB606" s="22" t="n">
        <f aca="false">IF(F606&lt;&gt;"Y",0,((SUMIF(Products!$E$5:$E$300,A606,Products!$K$5:$K$300)+SUMIF(RM_Lots!$A$5:$A$400,A606,RM_Lots!$F$5:$F$400))+IF(W606="Y",SUMIF(Products!$E$5:$E$300,A606,Products!$L$5:$L$300),0))*(1+N(V606)))</f>
        <v>0</v>
      </c>
      <c r="AC606" s="17" t="n">
        <f aca="false">IF(J606="",1,MAX(1,COUNTIFS($J$5:$J$863,J606,$F$5:$F$863,"Y")))</f>
        <v>1</v>
      </c>
      <c r="AD606" s="18" t="n">
        <f aca="false">(MAX(1,N(I606))*(P606+N(S606))+MAX(1,N(I606))*N(K606)/(MAX(1,N(U606))*AC606))*Settings!$B$9</f>
        <v>0</v>
      </c>
      <c r="AE606" s="18" t="n">
        <f aca="false">(MAX(1,N(I606))*N(Q606)+MAX(1,N(I606))*N(L606)/(MAX(1,N(U606))*AC606))*Settings!$B$8</f>
        <v>0</v>
      </c>
      <c r="AF606" s="18" t="n">
        <f aca="false">MAX(1,N(I606))*N(T606)</f>
        <v>0</v>
      </c>
      <c r="AG606" s="15" t="n">
        <f aca="false">AA606*N(AD606)</f>
        <v>0</v>
      </c>
      <c r="AH606" s="15" t="n">
        <f aca="false">AA606*N(AE606)</f>
        <v>0</v>
      </c>
      <c r="AI606" s="15" t="n">
        <f aca="false">AA606*N(AF606)</f>
        <v>0</v>
      </c>
      <c r="AJ606" s="15" t="n">
        <f aca="false">AA606*N(R606)</f>
        <v>0</v>
      </c>
      <c r="AK606" s="15" t="n">
        <f aca="false">AB606*N(AD606)</f>
        <v>0</v>
      </c>
      <c r="AL606" s="15" t="n">
        <f aca="false">AB606*N(AE606)</f>
        <v>0</v>
      </c>
      <c r="AM606" s="15" t="n">
        <f aca="false">AB606*N(AF606)</f>
        <v>0</v>
      </c>
      <c r="AN606" s="15" t="n">
        <f aca="false">AB606*N(R606)</f>
        <v>0</v>
      </c>
      <c r="AO606" s="21" t="str">
        <f aca="false">IF(F606&lt;&gt;"Y","n/a",IF(AND(N606&lt;&gt;"",OR(Q606&lt;&gt;"",G606="Other / bench",G606="None"),U606&lt;&gt;""),"OK","Missing"))</f>
        <v>Missing</v>
      </c>
    </row>
    <row r="607" customFormat="false" ht="15" hidden="false" customHeight="false" outlineLevel="0" collapsed="false">
      <c r="A607" s="10" t="s">
        <v>545</v>
      </c>
      <c r="B607" s="10" t="s">
        <v>740</v>
      </c>
      <c r="C607" s="10" t="s">
        <v>540</v>
      </c>
      <c r="D607" s="10" t="s">
        <v>743</v>
      </c>
      <c r="E607" s="21" t="str">
        <f aca="false">IF(A607="","",A607&amp;"|"&amp;D607)</f>
        <v>Mannitol|Compendial tests</v>
      </c>
      <c r="F607" s="16" t="s">
        <v>662</v>
      </c>
      <c r="G607" s="16" t="s">
        <v>670</v>
      </c>
      <c r="H607" s="16" t="s">
        <v>672</v>
      </c>
      <c r="I607" s="16" t="n">
        <v>1</v>
      </c>
      <c r="J607" s="16"/>
      <c r="K607" s="14"/>
      <c r="L607" s="14"/>
      <c r="M607" s="14"/>
      <c r="N607" s="14"/>
      <c r="O607" s="14"/>
      <c r="P607" s="18" t="n">
        <f aca="false">IF(N607="",0,IF(OR(M607="",O607=""),N607,(M607+4*N607+O607)/6))</f>
        <v>0</v>
      </c>
      <c r="Q607" s="14"/>
      <c r="R607" s="14"/>
      <c r="S607" s="14"/>
      <c r="T607" s="14"/>
      <c r="U607" s="16"/>
      <c r="V607" s="13"/>
      <c r="W607" s="16" t="s">
        <v>667</v>
      </c>
      <c r="X607" s="16"/>
      <c r="Y607" s="16"/>
      <c r="Z607" s="16" t="s">
        <v>744</v>
      </c>
      <c r="AA607" s="22" t="n">
        <f aca="false">IF(F607&lt;&gt;"Y",0,((SUMIF(Products!$E$5:$E$300,A607,Products!$F$5:$F$300)+SUMIF(RM_Lots!$A$5:$A$400,A607,RM_Lots!$D$5:$D$400))+IF(W607="Y",SUMIF(Products!$E$5:$E$300,A607,Products!$G$5:$G$300),0))*(1+N(V607)))</f>
        <v>0</v>
      </c>
      <c r="AB607" s="22" t="n">
        <f aca="false">IF(F607&lt;&gt;"Y",0,((SUMIF(Products!$E$5:$E$300,A607,Products!$K$5:$K$300)+SUMIF(RM_Lots!$A$5:$A$400,A607,RM_Lots!$F$5:$F$400))+IF(W607="Y",SUMIF(Products!$E$5:$E$300,A607,Products!$L$5:$L$300),0))*(1+N(V607)))</f>
        <v>0</v>
      </c>
      <c r="AC607" s="17" t="n">
        <f aca="false">IF(J607="",1,MAX(1,COUNTIFS($J$5:$J$863,J607,$F$5:$F$863,"Y")))</f>
        <v>1</v>
      </c>
      <c r="AD607" s="18" t="n">
        <f aca="false">(MAX(1,N(I607))*(P607+N(S607))+MAX(1,N(I607))*N(K607)/(MAX(1,N(U607))*AC607))*Settings!$B$9</f>
        <v>0</v>
      </c>
      <c r="AE607" s="18" t="n">
        <f aca="false">(MAX(1,N(I607))*N(Q607)+MAX(1,N(I607))*N(L607)/(MAX(1,N(U607))*AC607))*Settings!$B$8</f>
        <v>0</v>
      </c>
      <c r="AF607" s="18" t="n">
        <f aca="false">MAX(1,N(I607))*N(T607)</f>
        <v>0</v>
      </c>
      <c r="AG607" s="15" t="n">
        <f aca="false">AA607*N(AD607)</f>
        <v>0</v>
      </c>
      <c r="AH607" s="15" t="n">
        <f aca="false">AA607*N(AE607)</f>
        <v>0</v>
      </c>
      <c r="AI607" s="15" t="n">
        <f aca="false">AA607*N(AF607)</f>
        <v>0</v>
      </c>
      <c r="AJ607" s="15" t="n">
        <f aca="false">AA607*N(R607)</f>
        <v>0</v>
      </c>
      <c r="AK607" s="15" t="n">
        <f aca="false">AB607*N(AD607)</f>
        <v>0</v>
      </c>
      <c r="AL607" s="15" t="n">
        <f aca="false">AB607*N(AE607)</f>
        <v>0</v>
      </c>
      <c r="AM607" s="15" t="n">
        <f aca="false">AB607*N(AF607)</f>
        <v>0</v>
      </c>
      <c r="AN607" s="15" t="n">
        <f aca="false">AB607*N(R607)</f>
        <v>0</v>
      </c>
      <c r="AO607" s="21" t="str">
        <f aca="false">IF(F607&lt;&gt;"Y","n/a",IF(AND(N607&lt;&gt;"",OR(Q607&lt;&gt;"",G607="Other / bench",G607="None"),U607&lt;&gt;""),"OK","Missing"))</f>
        <v>Missing</v>
      </c>
    </row>
    <row r="608" customFormat="false" ht="15" hidden="false" customHeight="false" outlineLevel="0" collapsed="false">
      <c r="A608" s="10" t="s">
        <v>546</v>
      </c>
      <c r="B608" s="10" t="s">
        <v>740</v>
      </c>
      <c r="C608" s="10" t="s">
        <v>540</v>
      </c>
      <c r="D608" s="10" t="s">
        <v>743</v>
      </c>
      <c r="E608" s="21" t="str">
        <f aca="false">IF(A608="","",A608&amp;"|"&amp;D608)</f>
        <v>Microcrystalline Cellulose PH 101|Compendial tests</v>
      </c>
      <c r="F608" s="16" t="s">
        <v>662</v>
      </c>
      <c r="G608" s="16" t="s">
        <v>670</v>
      </c>
      <c r="H608" s="16" t="s">
        <v>672</v>
      </c>
      <c r="I608" s="16" t="n">
        <v>1</v>
      </c>
      <c r="J608" s="16"/>
      <c r="K608" s="14"/>
      <c r="L608" s="14"/>
      <c r="M608" s="14"/>
      <c r="N608" s="14"/>
      <c r="O608" s="14"/>
      <c r="P608" s="18" t="n">
        <f aca="false">IF(N608="",0,IF(OR(M608="",O608=""),N608,(M608+4*N608+O608)/6))</f>
        <v>0</v>
      </c>
      <c r="Q608" s="14"/>
      <c r="R608" s="14"/>
      <c r="S608" s="14"/>
      <c r="T608" s="14"/>
      <c r="U608" s="16"/>
      <c r="V608" s="13"/>
      <c r="W608" s="16" t="s">
        <v>667</v>
      </c>
      <c r="X608" s="16"/>
      <c r="Y608" s="16"/>
      <c r="Z608" s="16" t="s">
        <v>744</v>
      </c>
      <c r="AA608" s="22" t="n">
        <f aca="false">IF(F608&lt;&gt;"Y",0,((SUMIF(Products!$E$5:$E$300,A608,Products!$F$5:$F$300)+SUMIF(RM_Lots!$A$5:$A$400,A608,RM_Lots!$D$5:$D$400))+IF(W608="Y",SUMIF(Products!$E$5:$E$300,A608,Products!$G$5:$G$300),0))*(1+N(V608)))</f>
        <v>0</v>
      </c>
      <c r="AB608" s="22" t="n">
        <f aca="false">IF(F608&lt;&gt;"Y",0,((SUMIF(Products!$E$5:$E$300,A608,Products!$K$5:$K$300)+SUMIF(RM_Lots!$A$5:$A$400,A608,RM_Lots!$F$5:$F$400))+IF(W608="Y",SUMIF(Products!$E$5:$E$300,A608,Products!$L$5:$L$300),0))*(1+N(V608)))</f>
        <v>0</v>
      </c>
      <c r="AC608" s="17" t="n">
        <f aca="false">IF(J608="",1,MAX(1,COUNTIFS($J$5:$J$863,J608,$F$5:$F$863,"Y")))</f>
        <v>1</v>
      </c>
      <c r="AD608" s="18" t="n">
        <f aca="false">(MAX(1,N(I608))*(P608+N(S608))+MAX(1,N(I608))*N(K608)/(MAX(1,N(U608))*AC608))*Settings!$B$9</f>
        <v>0</v>
      </c>
      <c r="AE608" s="18" t="n">
        <f aca="false">(MAX(1,N(I608))*N(Q608)+MAX(1,N(I608))*N(L608)/(MAX(1,N(U608))*AC608))*Settings!$B$8</f>
        <v>0</v>
      </c>
      <c r="AF608" s="18" t="n">
        <f aca="false">MAX(1,N(I608))*N(T608)</f>
        <v>0</v>
      </c>
      <c r="AG608" s="15" t="n">
        <f aca="false">AA608*N(AD608)</f>
        <v>0</v>
      </c>
      <c r="AH608" s="15" t="n">
        <f aca="false">AA608*N(AE608)</f>
        <v>0</v>
      </c>
      <c r="AI608" s="15" t="n">
        <f aca="false">AA608*N(AF608)</f>
        <v>0</v>
      </c>
      <c r="AJ608" s="15" t="n">
        <f aca="false">AA608*N(R608)</f>
        <v>0</v>
      </c>
      <c r="AK608" s="15" t="n">
        <f aca="false">AB608*N(AD608)</f>
        <v>0</v>
      </c>
      <c r="AL608" s="15" t="n">
        <f aca="false">AB608*N(AE608)</f>
        <v>0</v>
      </c>
      <c r="AM608" s="15" t="n">
        <f aca="false">AB608*N(AF608)</f>
        <v>0</v>
      </c>
      <c r="AN608" s="15" t="n">
        <f aca="false">AB608*N(R608)</f>
        <v>0</v>
      </c>
      <c r="AO608" s="21" t="str">
        <f aca="false">IF(F608&lt;&gt;"Y","n/a",IF(AND(N608&lt;&gt;"",OR(Q608&lt;&gt;"",G608="Other / bench",G608="None"),U608&lt;&gt;""),"OK","Missing"))</f>
        <v>Missing</v>
      </c>
    </row>
    <row r="609" customFormat="false" ht="15" hidden="false" customHeight="false" outlineLevel="0" collapsed="false">
      <c r="A609" s="10" t="s">
        <v>547</v>
      </c>
      <c r="B609" s="10" t="s">
        <v>740</v>
      </c>
      <c r="C609" s="10" t="s">
        <v>540</v>
      </c>
      <c r="D609" s="10" t="s">
        <v>743</v>
      </c>
      <c r="E609" s="21" t="str">
        <f aca="false">IF(A609="","",A609&amp;"|"&amp;D609)</f>
        <v>Microcrystalline Cellulose PH 102|Compendial tests</v>
      </c>
      <c r="F609" s="16" t="s">
        <v>662</v>
      </c>
      <c r="G609" s="16" t="s">
        <v>670</v>
      </c>
      <c r="H609" s="16" t="s">
        <v>672</v>
      </c>
      <c r="I609" s="16" t="n">
        <v>1</v>
      </c>
      <c r="J609" s="16"/>
      <c r="K609" s="14"/>
      <c r="L609" s="14"/>
      <c r="M609" s="14"/>
      <c r="N609" s="14"/>
      <c r="O609" s="14"/>
      <c r="P609" s="18" t="n">
        <f aca="false">IF(N609="",0,IF(OR(M609="",O609=""),N609,(M609+4*N609+O609)/6))</f>
        <v>0</v>
      </c>
      <c r="Q609" s="14"/>
      <c r="R609" s="14"/>
      <c r="S609" s="14"/>
      <c r="T609" s="14"/>
      <c r="U609" s="16"/>
      <c r="V609" s="13"/>
      <c r="W609" s="16" t="s">
        <v>667</v>
      </c>
      <c r="X609" s="16"/>
      <c r="Y609" s="16"/>
      <c r="Z609" s="16" t="s">
        <v>744</v>
      </c>
      <c r="AA609" s="22" t="n">
        <f aca="false">IF(F609&lt;&gt;"Y",0,((SUMIF(Products!$E$5:$E$300,A609,Products!$F$5:$F$300)+SUMIF(RM_Lots!$A$5:$A$400,A609,RM_Lots!$D$5:$D$400))+IF(W609="Y",SUMIF(Products!$E$5:$E$300,A609,Products!$G$5:$G$300),0))*(1+N(V609)))</f>
        <v>0</v>
      </c>
      <c r="AB609" s="22" t="n">
        <f aca="false">IF(F609&lt;&gt;"Y",0,((SUMIF(Products!$E$5:$E$300,A609,Products!$K$5:$K$300)+SUMIF(RM_Lots!$A$5:$A$400,A609,RM_Lots!$F$5:$F$400))+IF(W609="Y",SUMIF(Products!$E$5:$E$300,A609,Products!$L$5:$L$300),0))*(1+N(V609)))</f>
        <v>0</v>
      </c>
      <c r="AC609" s="17" t="n">
        <f aca="false">IF(J609="",1,MAX(1,COUNTIFS($J$5:$J$863,J609,$F$5:$F$863,"Y")))</f>
        <v>1</v>
      </c>
      <c r="AD609" s="18" t="n">
        <f aca="false">(MAX(1,N(I609))*(P609+N(S609))+MAX(1,N(I609))*N(K609)/(MAX(1,N(U609))*AC609))*Settings!$B$9</f>
        <v>0</v>
      </c>
      <c r="AE609" s="18" t="n">
        <f aca="false">(MAX(1,N(I609))*N(Q609)+MAX(1,N(I609))*N(L609)/(MAX(1,N(U609))*AC609))*Settings!$B$8</f>
        <v>0</v>
      </c>
      <c r="AF609" s="18" t="n">
        <f aca="false">MAX(1,N(I609))*N(T609)</f>
        <v>0</v>
      </c>
      <c r="AG609" s="15" t="n">
        <f aca="false">AA609*N(AD609)</f>
        <v>0</v>
      </c>
      <c r="AH609" s="15" t="n">
        <f aca="false">AA609*N(AE609)</f>
        <v>0</v>
      </c>
      <c r="AI609" s="15" t="n">
        <f aca="false">AA609*N(AF609)</f>
        <v>0</v>
      </c>
      <c r="AJ609" s="15" t="n">
        <f aca="false">AA609*N(R609)</f>
        <v>0</v>
      </c>
      <c r="AK609" s="15" t="n">
        <f aca="false">AB609*N(AD609)</f>
        <v>0</v>
      </c>
      <c r="AL609" s="15" t="n">
        <f aca="false">AB609*N(AE609)</f>
        <v>0</v>
      </c>
      <c r="AM609" s="15" t="n">
        <f aca="false">AB609*N(AF609)</f>
        <v>0</v>
      </c>
      <c r="AN609" s="15" t="n">
        <f aca="false">AB609*N(R609)</f>
        <v>0</v>
      </c>
      <c r="AO609" s="21" t="str">
        <f aca="false">IF(F609&lt;&gt;"Y","n/a",IF(AND(N609&lt;&gt;"",OR(Q609&lt;&gt;"",G609="Other / bench",G609="None"),U609&lt;&gt;""),"OK","Missing"))</f>
        <v>Missing</v>
      </c>
    </row>
    <row r="610" customFormat="false" ht="15" hidden="false" customHeight="false" outlineLevel="0" collapsed="false">
      <c r="A610" s="10" t="s">
        <v>548</v>
      </c>
      <c r="B610" s="10" t="s">
        <v>740</v>
      </c>
      <c r="C610" s="10" t="s">
        <v>540</v>
      </c>
      <c r="D610" s="10" t="s">
        <v>743</v>
      </c>
      <c r="E610" s="21" t="str">
        <f aca="false">IF(A610="","",A610&amp;"|"&amp;D610)</f>
        <v>Pregelatinized Starch|Compendial tests</v>
      </c>
      <c r="F610" s="16" t="s">
        <v>662</v>
      </c>
      <c r="G610" s="16" t="s">
        <v>670</v>
      </c>
      <c r="H610" s="16" t="s">
        <v>672</v>
      </c>
      <c r="I610" s="16" t="n">
        <v>1</v>
      </c>
      <c r="J610" s="16"/>
      <c r="K610" s="14"/>
      <c r="L610" s="14"/>
      <c r="M610" s="14"/>
      <c r="N610" s="14"/>
      <c r="O610" s="14"/>
      <c r="P610" s="18" t="n">
        <f aca="false">IF(N610="",0,IF(OR(M610="",O610=""),N610,(M610+4*N610+O610)/6))</f>
        <v>0</v>
      </c>
      <c r="Q610" s="14"/>
      <c r="R610" s="14"/>
      <c r="S610" s="14"/>
      <c r="T610" s="14"/>
      <c r="U610" s="16"/>
      <c r="V610" s="13"/>
      <c r="W610" s="16" t="s">
        <v>667</v>
      </c>
      <c r="X610" s="16"/>
      <c r="Y610" s="16"/>
      <c r="Z610" s="16" t="s">
        <v>744</v>
      </c>
      <c r="AA610" s="22" t="n">
        <f aca="false">IF(F610&lt;&gt;"Y",0,((SUMIF(Products!$E$5:$E$300,A610,Products!$F$5:$F$300)+SUMIF(RM_Lots!$A$5:$A$400,A610,RM_Lots!$D$5:$D$400))+IF(W610="Y",SUMIF(Products!$E$5:$E$300,A610,Products!$G$5:$G$300),0))*(1+N(V610)))</f>
        <v>0</v>
      </c>
      <c r="AB610" s="22" t="n">
        <f aca="false">IF(F610&lt;&gt;"Y",0,((SUMIF(Products!$E$5:$E$300,A610,Products!$K$5:$K$300)+SUMIF(RM_Lots!$A$5:$A$400,A610,RM_Lots!$F$5:$F$400))+IF(W610="Y",SUMIF(Products!$E$5:$E$300,A610,Products!$L$5:$L$300),0))*(1+N(V610)))</f>
        <v>0</v>
      </c>
      <c r="AC610" s="17" t="n">
        <f aca="false">IF(J610="",1,MAX(1,COUNTIFS($J$5:$J$863,J610,$F$5:$F$863,"Y")))</f>
        <v>1</v>
      </c>
      <c r="AD610" s="18" t="n">
        <f aca="false">(MAX(1,N(I610))*(P610+N(S610))+MAX(1,N(I610))*N(K610)/(MAX(1,N(U610))*AC610))*Settings!$B$9</f>
        <v>0</v>
      </c>
      <c r="AE610" s="18" t="n">
        <f aca="false">(MAX(1,N(I610))*N(Q610)+MAX(1,N(I610))*N(L610)/(MAX(1,N(U610))*AC610))*Settings!$B$8</f>
        <v>0</v>
      </c>
      <c r="AF610" s="18" t="n">
        <f aca="false">MAX(1,N(I610))*N(T610)</f>
        <v>0</v>
      </c>
      <c r="AG610" s="15" t="n">
        <f aca="false">AA610*N(AD610)</f>
        <v>0</v>
      </c>
      <c r="AH610" s="15" t="n">
        <f aca="false">AA610*N(AE610)</f>
        <v>0</v>
      </c>
      <c r="AI610" s="15" t="n">
        <f aca="false">AA610*N(AF610)</f>
        <v>0</v>
      </c>
      <c r="AJ610" s="15" t="n">
        <f aca="false">AA610*N(R610)</f>
        <v>0</v>
      </c>
      <c r="AK610" s="15" t="n">
        <f aca="false">AB610*N(AD610)</f>
        <v>0</v>
      </c>
      <c r="AL610" s="15" t="n">
        <f aca="false">AB610*N(AE610)</f>
        <v>0</v>
      </c>
      <c r="AM610" s="15" t="n">
        <f aca="false">AB610*N(AF610)</f>
        <v>0</v>
      </c>
      <c r="AN610" s="15" t="n">
        <f aca="false">AB610*N(R610)</f>
        <v>0</v>
      </c>
      <c r="AO610" s="21" t="str">
        <f aca="false">IF(F610&lt;&gt;"Y","n/a",IF(AND(N610&lt;&gt;"",OR(Q610&lt;&gt;"",G610="Other / bench",G610="None"),U610&lt;&gt;""),"OK","Missing"))</f>
        <v>Missing</v>
      </c>
    </row>
    <row r="611" customFormat="false" ht="15" hidden="false" customHeight="false" outlineLevel="0" collapsed="false">
      <c r="A611" s="10" t="s">
        <v>549</v>
      </c>
      <c r="B611" s="10" t="s">
        <v>740</v>
      </c>
      <c r="C611" s="10" t="s">
        <v>550</v>
      </c>
      <c r="D611" s="10" t="s">
        <v>743</v>
      </c>
      <c r="E611" s="21" t="str">
        <f aca="false">IF(A611="","",A611&amp;"|"&amp;D611)</f>
        <v>Cola Flavour|Compendial tests</v>
      </c>
      <c r="F611" s="16" t="s">
        <v>662</v>
      </c>
      <c r="G611" s="16" t="s">
        <v>670</v>
      </c>
      <c r="H611" s="16" t="s">
        <v>672</v>
      </c>
      <c r="I611" s="16" t="n">
        <v>1</v>
      </c>
      <c r="J611" s="16"/>
      <c r="K611" s="14"/>
      <c r="L611" s="14"/>
      <c r="M611" s="14"/>
      <c r="N611" s="14"/>
      <c r="O611" s="14"/>
      <c r="P611" s="18" t="n">
        <f aca="false">IF(N611="",0,IF(OR(M611="",O611=""),N611,(M611+4*N611+O611)/6))</f>
        <v>0</v>
      </c>
      <c r="Q611" s="14"/>
      <c r="R611" s="14"/>
      <c r="S611" s="14"/>
      <c r="T611" s="14"/>
      <c r="U611" s="16"/>
      <c r="V611" s="13"/>
      <c r="W611" s="16" t="s">
        <v>667</v>
      </c>
      <c r="X611" s="16"/>
      <c r="Y611" s="16"/>
      <c r="Z611" s="16" t="s">
        <v>744</v>
      </c>
      <c r="AA611" s="22" t="n">
        <f aca="false">IF(F611&lt;&gt;"Y",0,((SUMIF(Products!$E$5:$E$300,A611,Products!$F$5:$F$300)+SUMIF(RM_Lots!$A$5:$A$400,A611,RM_Lots!$D$5:$D$400))+IF(W611="Y",SUMIF(Products!$E$5:$E$300,A611,Products!$G$5:$G$300),0))*(1+N(V611)))</f>
        <v>0</v>
      </c>
      <c r="AB611" s="22" t="n">
        <f aca="false">IF(F611&lt;&gt;"Y",0,((SUMIF(Products!$E$5:$E$300,A611,Products!$K$5:$K$300)+SUMIF(RM_Lots!$A$5:$A$400,A611,RM_Lots!$F$5:$F$400))+IF(W611="Y",SUMIF(Products!$E$5:$E$300,A611,Products!$L$5:$L$300),0))*(1+N(V611)))</f>
        <v>0</v>
      </c>
      <c r="AC611" s="17" t="n">
        <f aca="false">IF(J611="",1,MAX(1,COUNTIFS($J$5:$J$863,J611,$F$5:$F$863,"Y")))</f>
        <v>1</v>
      </c>
      <c r="AD611" s="18" t="n">
        <f aca="false">(MAX(1,N(I611))*(P611+N(S611))+MAX(1,N(I611))*N(K611)/(MAX(1,N(U611))*AC611))*Settings!$B$9</f>
        <v>0</v>
      </c>
      <c r="AE611" s="18" t="n">
        <f aca="false">(MAX(1,N(I611))*N(Q611)+MAX(1,N(I611))*N(L611)/(MAX(1,N(U611))*AC611))*Settings!$B$8</f>
        <v>0</v>
      </c>
      <c r="AF611" s="18" t="n">
        <f aca="false">MAX(1,N(I611))*N(T611)</f>
        <v>0</v>
      </c>
      <c r="AG611" s="15" t="n">
        <f aca="false">AA611*N(AD611)</f>
        <v>0</v>
      </c>
      <c r="AH611" s="15" t="n">
        <f aca="false">AA611*N(AE611)</f>
        <v>0</v>
      </c>
      <c r="AI611" s="15" t="n">
        <f aca="false">AA611*N(AF611)</f>
        <v>0</v>
      </c>
      <c r="AJ611" s="15" t="n">
        <f aca="false">AA611*N(R611)</f>
        <v>0</v>
      </c>
      <c r="AK611" s="15" t="n">
        <f aca="false">AB611*N(AD611)</f>
        <v>0</v>
      </c>
      <c r="AL611" s="15" t="n">
        <f aca="false">AB611*N(AE611)</f>
        <v>0</v>
      </c>
      <c r="AM611" s="15" t="n">
        <f aca="false">AB611*N(AF611)</f>
        <v>0</v>
      </c>
      <c r="AN611" s="15" t="n">
        <f aca="false">AB611*N(R611)</f>
        <v>0</v>
      </c>
      <c r="AO611" s="21" t="str">
        <f aca="false">IF(F611&lt;&gt;"Y","n/a",IF(AND(N611&lt;&gt;"",OR(Q611&lt;&gt;"",G611="Other / bench",G611="None"),U611&lt;&gt;""),"OK","Missing"))</f>
        <v>Missing</v>
      </c>
    </row>
    <row r="612" customFormat="false" ht="15" hidden="false" customHeight="false" outlineLevel="0" collapsed="false">
      <c r="A612" s="10" t="s">
        <v>551</v>
      </c>
      <c r="B612" s="10" t="s">
        <v>740</v>
      </c>
      <c r="C612" s="10" t="s">
        <v>550</v>
      </c>
      <c r="D612" s="10" t="s">
        <v>743</v>
      </c>
      <c r="E612" s="21" t="str">
        <f aca="false">IF(A612="","",A612&amp;"|"&amp;D612)</f>
        <v>Honey Flavour|Compendial tests</v>
      </c>
      <c r="F612" s="16" t="s">
        <v>662</v>
      </c>
      <c r="G612" s="16" t="s">
        <v>670</v>
      </c>
      <c r="H612" s="16" t="s">
        <v>672</v>
      </c>
      <c r="I612" s="16" t="n">
        <v>1</v>
      </c>
      <c r="J612" s="16"/>
      <c r="K612" s="14"/>
      <c r="L612" s="14"/>
      <c r="M612" s="14"/>
      <c r="N612" s="14"/>
      <c r="O612" s="14"/>
      <c r="P612" s="18" t="n">
        <f aca="false">IF(N612="",0,IF(OR(M612="",O612=""),N612,(M612+4*N612+O612)/6))</f>
        <v>0</v>
      </c>
      <c r="Q612" s="14"/>
      <c r="R612" s="14"/>
      <c r="S612" s="14"/>
      <c r="T612" s="14"/>
      <c r="U612" s="16"/>
      <c r="V612" s="13"/>
      <c r="W612" s="16" t="s">
        <v>667</v>
      </c>
      <c r="X612" s="16"/>
      <c r="Y612" s="16"/>
      <c r="Z612" s="16" t="s">
        <v>744</v>
      </c>
      <c r="AA612" s="22" t="n">
        <f aca="false">IF(F612&lt;&gt;"Y",0,((SUMIF(Products!$E$5:$E$300,A612,Products!$F$5:$F$300)+SUMIF(RM_Lots!$A$5:$A$400,A612,RM_Lots!$D$5:$D$400))+IF(W612="Y",SUMIF(Products!$E$5:$E$300,A612,Products!$G$5:$G$300),0))*(1+N(V612)))</f>
        <v>0</v>
      </c>
      <c r="AB612" s="22" t="n">
        <f aca="false">IF(F612&lt;&gt;"Y",0,((SUMIF(Products!$E$5:$E$300,A612,Products!$K$5:$K$300)+SUMIF(RM_Lots!$A$5:$A$400,A612,RM_Lots!$F$5:$F$400))+IF(W612="Y",SUMIF(Products!$E$5:$E$300,A612,Products!$L$5:$L$300),0))*(1+N(V612)))</f>
        <v>0</v>
      </c>
      <c r="AC612" s="17" t="n">
        <f aca="false">IF(J612="",1,MAX(1,COUNTIFS($J$5:$J$863,J612,$F$5:$F$863,"Y")))</f>
        <v>1</v>
      </c>
      <c r="AD612" s="18" t="n">
        <f aca="false">(MAX(1,N(I612))*(P612+N(S612))+MAX(1,N(I612))*N(K612)/(MAX(1,N(U612))*AC612))*Settings!$B$9</f>
        <v>0</v>
      </c>
      <c r="AE612" s="18" t="n">
        <f aca="false">(MAX(1,N(I612))*N(Q612)+MAX(1,N(I612))*N(L612)/(MAX(1,N(U612))*AC612))*Settings!$B$8</f>
        <v>0</v>
      </c>
      <c r="AF612" s="18" t="n">
        <f aca="false">MAX(1,N(I612))*N(T612)</f>
        <v>0</v>
      </c>
      <c r="AG612" s="15" t="n">
        <f aca="false">AA612*N(AD612)</f>
        <v>0</v>
      </c>
      <c r="AH612" s="15" t="n">
        <f aca="false">AA612*N(AE612)</f>
        <v>0</v>
      </c>
      <c r="AI612" s="15" t="n">
        <f aca="false">AA612*N(AF612)</f>
        <v>0</v>
      </c>
      <c r="AJ612" s="15" t="n">
        <f aca="false">AA612*N(R612)</f>
        <v>0</v>
      </c>
      <c r="AK612" s="15" t="n">
        <f aca="false">AB612*N(AD612)</f>
        <v>0</v>
      </c>
      <c r="AL612" s="15" t="n">
        <f aca="false">AB612*N(AE612)</f>
        <v>0</v>
      </c>
      <c r="AM612" s="15" t="n">
        <f aca="false">AB612*N(AF612)</f>
        <v>0</v>
      </c>
      <c r="AN612" s="15" t="n">
        <f aca="false">AB612*N(R612)</f>
        <v>0</v>
      </c>
      <c r="AO612" s="21" t="str">
        <f aca="false">IF(F612&lt;&gt;"Y","n/a",IF(AND(N612&lt;&gt;"",OR(Q612&lt;&gt;"",G612="Other / bench",G612="None"),U612&lt;&gt;""),"OK","Missing"))</f>
        <v>Missing</v>
      </c>
    </row>
    <row r="613" customFormat="false" ht="15" hidden="false" customHeight="false" outlineLevel="0" collapsed="false">
      <c r="A613" s="10" t="s">
        <v>552</v>
      </c>
      <c r="B613" s="10" t="s">
        <v>740</v>
      </c>
      <c r="C613" s="10" t="s">
        <v>550</v>
      </c>
      <c r="D613" s="10" t="s">
        <v>743</v>
      </c>
      <c r="E613" s="21" t="str">
        <f aca="false">IF(A613="","",A613&amp;"|"&amp;D613)</f>
        <v>L-Menthol|Compendial tests</v>
      </c>
      <c r="F613" s="16" t="s">
        <v>662</v>
      </c>
      <c r="G613" s="16" t="s">
        <v>670</v>
      </c>
      <c r="H613" s="16" t="s">
        <v>672</v>
      </c>
      <c r="I613" s="16" t="n">
        <v>1</v>
      </c>
      <c r="J613" s="16"/>
      <c r="K613" s="14"/>
      <c r="L613" s="14"/>
      <c r="M613" s="14"/>
      <c r="N613" s="14"/>
      <c r="O613" s="14"/>
      <c r="P613" s="18" t="n">
        <f aca="false">IF(N613="",0,IF(OR(M613="",O613=""),N613,(M613+4*N613+O613)/6))</f>
        <v>0</v>
      </c>
      <c r="Q613" s="14"/>
      <c r="R613" s="14"/>
      <c r="S613" s="14"/>
      <c r="T613" s="14"/>
      <c r="U613" s="16"/>
      <c r="V613" s="13"/>
      <c r="W613" s="16" t="s">
        <v>667</v>
      </c>
      <c r="X613" s="16"/>
      <c r="Y613" s="16"/>
      <c r="Z613" s="16" t="s">
        <v>744</v>
      </c>
      <c r="AA613" s="22" t="n">
        <f aca="false">IF(F613&lt;&gt;"Y",0,((SUMIF(Products!$E$5:$E$300,A613,Products!$F$5:$F$300)+SUMIF(RM_Lots!$A$5:$A$400,A613,RM_Lots!$D$5:$D$400))+IF(W613="Y",SUMIF(Products!$E$5:$E$300,A613,Products!$G$5:$G$300),0))*(1+N(V613)))</f>
        <v>0</v>
      </c>
      <c r="AB613" s="22" t="n">
        <f aca="false">IF(F613&lt;&gt;"Y",0,((SUMIF(Products!$E$5:$E$300,A613,Products!$K$5:$K$300)+SUMIF(RM_Lots!$A$5:$A$400,A613,RM_Lots!$F$5:$F$400))+IF(W613="Y",SUMIF(Products!$E$5:$E$300,A613,Products!$L$5:$L$300),0))*(1+N(V613)))</f>
        <v>0</v>
      </c>
      <c r="AC613" s="17" t="n">
        <f aca="false">IF(J613="",1,MAX(1,COUNTIFS($J$5:$J$863,J613,$F$5:$F$863,"Y")))</f>
        <v>1</v>
      </c>
      <c r="AD613" s="18" t="n">
        <f aca="false">(MAX(1,N(I613))*(P613+N(S613))+MAX(1,N(I613))*N(K613)/(MAX(1,N(U613))*AC613))*Settings!$B$9</f>
        <v>0</v>
      </c>
      <c r="AE613" s="18" t="n">
        <f aca="false">(MAX(1,N(I613))*N(Q613)+MAX(1,N(I613))*N(L613)/(MAX(1,N(U613))*AC613))*Settings!$B$8</f>
        <v>0</v>
      </c>
      <c r="AF613" s="18" t="n">
        <f aca="false">MAX(1,N(I613))*N(T613)</f>
        <v>0</v>
      </c>
      <c r="AG613" s="15" t="n">
        <f aca="false">AA613*N(AD613)</f>
        <v>0</v>
      </c>
      <c r="AH613" s="15" t="n">
        <f aca="false">AA613*N(AE613)</f>
        <v>0</v>
      </c>
      <c r="AI613" s="15" t="n">
        <f aca="false">AA613*N(AF613)</f>
        <v>0</v>
      </c>
      <c r="AJ613" s="15" t="n">
        <f aca="false">AA613*N(R613)</f>
        <v>0</v>
      </c>
      <c r="AK613" s="15" t="n">
        <f aca="false">AB613*N(AD613)</f>
        <v>0</v>
      </c>
      <c r="AL613" s="15" t="n">
        <f aca="false">AB613*N(AE613)</f>
        <v>0</v>
      </c>
      <c r="AM613" s="15" t="n">
        <f aca="false">AB613*N(AF613)</f>
        <v>0</v>
      </c>
      <c r="AN613" s="15" t="n">
        <f aca="false">AB613*N(R613)</f>
        <v>0</v>
      </c>
      <c r="AO613" s="21" t="str">
        <f aca="false">IF(F613&lt;&gt;"Y","n/a",IF(AND(N613&lt;&gt;"",OR(Q613&lt;&gt;"",G613="Other / bench",G613="None"),U613&lt;&gt;""),"OK","Missing"))</f>
        <v>Missing</v>
      </c>
    </row>
    <row r="614" customFormat="false" ht="15" hidden="false" customHeight="false" outlineLevel="0" collapsed="false">
      <c r="A614" s="10" t="s">
        <v>553</v>
      </c>
      <c r="B614" s="10" t="s">
        <v>740</v>
      </c>
      <c r="C614" s="10" t="s">
        <v>550</v>
      </c>
      <c r="D614" s="10" t="s">
        <v>743</v>
      </c>
      <c r="E614" s="21" t="str">
        <f aca="false">IF(A614="","",A614&amp;"|"&amp;D614)</f>
        <v>Lemon Essence|Compendial tests</v>
      </c>
      <c r="F614" s="16" t="s">
        <v>662</v>
      </c>
      <c r="G614" s="16" t="s">
        <v>670</v>
      </c>
      <c r="H614" s="16" t="s">
        <v>672</v>
      </c>
      <c r="I614" s="16" t="n">
        <v>1</v>
      </c>
      <c r="J614" s="16"/>
      <c r="K614" s="14"/>
      <c r="L614" s="14"/>
      <c r="M614" s="14"/>
      <c r="N614" s="14"/>
      <c r="O614" s="14"/>
      <c r="P614" s="18" t="n">
        <f aca="false">IF(N614="",0,IF(OR(M614="",O614=""),N614,(M614+4*N614+O614)/6))</f>
        <v>0</v>
      </c>
      <c r="Q614" s="14"/>
      <c r="R614" s="14"/>
      <c r="S614" s="14"/>
      <c r="T614" s="14"/>
      <c r="U614" s="16"/>
      <c r="V614" s="13"/>
      <c r="W614" s="16" t="s">
        <v>667</v>
      </c>
      <c r="X614" s="16"/>
      <c r="Y614" s="16"/>
      <c r="Z614" s="16" t="s">
        <v>744</v>
      </c>
      <c r="AA614" s="22" t="n">
        <f aca="false">IF(F614&lt;&gt;"Y",0,((SUMIF(Products!$E$5:$E$300,A614,Products!$F$5:$F$300)+SUMIF(RM_Lots!$A$5:$A$400,A614,RM_Lots!$D$5:$D$400))+IF(W614="Y",SUMIF(Products!$E$5:$E$300,A614,Products!$G$5:$G$300),0))*(1+N(V614)))</f>
        <v>0</v>
      </c>
      <c r="AB614" s="22" t="n">
        <f aca="false">IF(F614&lt;&gt;"Y",0,((SUMIF(Products!$E$5:$E$300,A614,Products!$K$5:$K$300)+SUMIF(RM_Lots!$A$5:$A$400,A614,RM_Lots!$F$5:$F$400))+IF(W614="Y",SUMIF(Products!$E$5:$E$300,A614,Products!$L$5:$L$300),0))*(1+N(V614)))</f>
        <v>0</v>
      </c>
      <c r="AC614" s="17" t="n">
        <f aca="false">IF(J614="",1,MAX(1,COUNTIFS($J$5:$J$863,J614,$F$5:$F$863,"Y")))</f>
        <v>1</v>
      </c>
      <c r="AD614" s="18" t="n">
        <f aca="false">(MAX(1,N(I614))*(P614+N(S614))+MAX(1,N(I614))*N(K614)/(MAX(1,N(U614))*AC614))*Settings!$B$9</f>
        <v>0</v>
      </c>
      <c r="AE614" s="18" t="n">
        <f aca="false">(MAX(1,N(I614))*N(Q614)+MAX(1,N(I614))*N(L614)/(MAX(1,N(U614))*AC614))*Settings!$B$8</f>
        <v>0</v>
      </c>
      <c r="AF614" s="18" t="n">
        <f aca="false">MAX(1,N(I614))*N(T614)</f>
        <v>0</v>
      </c>
      <c r="AG614" s="15" t="n">
        <f aca="false">AA614*N(AD614)</f>
        <v>0</v>
      </c>
      <c r="AH614" s="15" t="n">
        <f aca="false">AA614*N(AE614)</f>
        <v>0</v>
      </c>
      <c r="AI614" s="15" t="n">
        <f aca="false">AA614*N(AF614)</f>
        <v>0</v>
      </c>
      <c r="AJ614" s="15" t="n">
        <f aca="false">AA614*N(R614)</f>
        <v>0</v>
      </c>
      <c r="AK614" s="15" t="n">
        <f aca="false">AB614*N(AD614)</f>
        <v>0</v>
      </c>
      <c r="AL614" s="15" t="n">
        <f aca="false">AB614*N(AE614)</f>
        <v>0</v>
      </c>
      <c r="AM614" s="15" t="n">
        <f aca="false">AB614*N(AF614)</f>
        <v>0</v>
      </c>
      <c r="AN614" s="15" t="n">
        <f aca="false">AB614*N(R614)</f>
        <v>0</v>
      </c>
      <c r="AO614" s="21" t="str">
        <f aca="false">IF(F614&lt;&gt;"Y","n/a",IF(AND(N614&lt;&gt;"",OR(Q614&lt;&gt;"",G614="Other / bench",G614="None"),U614&lt;&gt;""),"OK","Missing"))</f>
        <v>Missing</v>
      </c>
    </row>
    <row r="615" customFormat="false" ht="15" hidden="false" customHeight="false" outlineLevel="0" collapsed="false">
      <c r="A615" s="10" t="s">
        <v>554</v>
      </c>
      <c r="B615" s="10" t="s">
        <v>740</v>
      </c>
      <c r="C615" s="10" t="s">
        <v>550</v>
      </c>
      <c r="D615" s="10" t="s">
        <v>743</v>
      </c>
      <c r="E615" s="21" t="str">
        <f aca="false">IF(A615="","",A615&amp;"|"&amp;D615)</f>
        <v>Lemon Flavour|Compendial tests</v>
      </c>
      <c r="F615" s="16" t="s">
        <v>662</v>
      </c>
      <c r="G615" s="16" t="s">
        <v>670</v>
      </c>
      <c r="H615" s="16" t="s">
        <v>672</v>
      </c>
      <c r="I615" s="16" t="n">
        <v>1</v>
      </c>
      <c r="J615" s="16"/>
      <c r="K615" s="14"/>
      <c r="L615" s="14"/>
      <c r="M615" s="14"/>
      <c r="N615" s="14"/>
      <c r="O615" s="14"/>
      <c r="P615" s="18" t="n">
        <f aca="false">IF(N615="",0,IF(OR(M615="",O615=""),N615,(M615+4*N615+O615)/6))</f>
        <v>0</v>
      </c>
      <c r="Q615" s="14"/>
      <c r="R615" s="14"/>
      <c r="S615" s="14"/>
      <c r="T615" s="14"/>
      <c r="U615" s="16"/>
      <c r="V615" s="13"/>
      <c r="W615" s="16" t="s">
        <v>667</v>
      </c>
      <c r="X615" s="16"/>
      <c r="Y615" s="16"/>
      <c r="Z615" s="16" t="s">
        <v>744</v>
      </c>
      <c r="AA615" s="22" t="n">
        <f aca="false">IF(F615&lt;&gt;"Y",0,((SUMIF(Products!$E$5:$E$300,A615,Products!$F$5:$F$300)+SUMIF(RM_Lots!$A$5:$A$400,A615,RM_Lots!$D$5:$D$400))+IF(W615="Y",SUMIF(Products!$E$5:$E$300,A615,Products!$G$5:$G$300),0))*(1+N(V615)))</f>
        <v>0</v>
      </c>
      <c r="AB615" s="22" t="n">
        <f aca="false">IF(F615&lt;&gt;"Y",0,((SUMIF(Products!$E$5:$E$300,A615,Products!$K$5:$K$300)+SUMIF(RM_Lots!$A$5:$A$400,A615,RM_Lots!$F$5:$F$400))+IF(W615="Y",SUMIF(Products!$E$5:$E$300,A615,Products!$L$5:$L$300),0))*(1+N(V615)))</f>
        <v>0</v>
      </c>
      <c r="AC615" s="17" t="n">
        <f aca="false">IF(J615="",1,MAX(1,COUNTIFS($J$5:$J$863,J615,$F$5:$F$863,"Y")))</f>
        <v>1</v>
      </c>
      <c r="AD615" s="18" t="n">
        <f aca="false">(MAX(1,N(I615))*(P615+N(S615))+MAX(1,N(I615))*N(K615)/(MAX(1,N(U615))*AC615))*Settings!$B$9</f>
        <v>0</v>
      </c>
      <c r="AE615" s="18" t="n">
        <f aca="false">(MAX(1,N(I615))*N(Q615)+MAX(1,N(I615))*N(L615)/(MAX(1,N(U615))*AC615))*Settings!$B$8</f>
        <v>0</v>
      </c>
      <c r="AF615" s="18" t="n">
        <f aca="false">MAX(1,N(I615))*N(T615)</f>
        <v>0</v>
      </c>
      <c r="AG615" s="15" t="n">
        <f aca="false">AA615*N(AD615)</f>
        <v>0</v>
      </c>
      <c r="AH615" s="15" t="n">
        <f aca="false">AA615*N(AE615)</f>
        <v>0</v>
      </c>
      <c r="AI615" s="15" t="n">
        <f aca="false">AA615*N(AF615)</f>
        <v>0</v>
      </c>
      <c r="AJ615" s="15" t="n">
        <f aca="false">AA615*N(R615)</f>
        <v>0</v>
      </c>
      <c r="AK615" s="15" t="n">
        <f aca="false">AB615*N(AD615)</f>
        <v>0</v>
      </c>
      <c r="AL615" s="15" t="n">
        <f aca="false">AB615*N(AE615)</f>
        <v>0</v>
      </c>
      <c r="AM615" s="15" t="n">
        <f aca="false">AB615*N(AF615)</f>
        <v>0</v>
      </c>
      <c r="AN615" s="15" t="n">
        <f aca="false">AB615*N(R615)</f>
        <v>0</v>
      </c>
      <c r="AO615" s="21" t="str">
        <f aca="false">IF(F615&lt;&gt;"Y","n/a",IF(AND(N615&lt;&gt;"",OR(Q615&lt;&gt;"",G615="Other / bench",G615="None"),U615&lt;&gt;""),"OK","Missing"))</f>
        <v>Missing</v>
      </c>
    </row>
    <row r="616" customFormat="false" ht="15" hidden="false" customHeight="false" outlineLevel="0" collapsed="false">
      <c r="A616" s="10" t="s">
        <v>555</v>
      </c>
      <c r="B616" s="10" t="s">
        <v>740</v>
      </c>
      <c r="C616" s="10" t="s">
        <v>550</v>
      </c>
      <c r="D616" s="10" t="s">
        <v>743</v>
      </c>
      <c r="E616" s="21" t="str">
        <f aca="false">IF(A616="","",A616&amp;"|"&amp;D616)</f>
        <v>Mint Essence|Compendial tests</v>
      </c>
      <c r="F616" s="16" t="s">
        <v>662</v>
      </c>
      <c r="G616" s="16" t="s">
        <v>670</v>
      </c>
      <c r="H616" s="16" t="s">
        <v>672</v>
      </c>
      <c r="I616" s="16" t="n">
        <v>1</v>
      </c>
      <c r="J616" s="16"/>
      <c r="K616" s="14"/>
      <c r="L616" s="14"/>
      <c r="M616" s="14"/>
      <c r="N616" s="14"/>
      <c r="O616" s="14"/>
      <c r="P616" s="18" t="n">
        <f aca="false">IF(N616="",0,IF(OR(M616="",O616=""),N616,(M616+4*N616+O616)/6))</f>
        <v>0</v>
      </c>
      <c r="Q616" s="14"/>
      <c r="R616" s="14"/>
      <c r="S616" s="14"/>
      <c r="T616" s="14"/>
      <c r="U616" s="16"/>
      <c r="V616" s="13"/>
      <c r="W616" s="16" t="s">
        <v>667</v>
      </c>
      <c r="X616" s="16"/>
      <c r="Y616" s="16"/>
      <c r="Z616" s="16" t="s">
        <v>744</v>
      </c>
      <c r="AA616" s="22" t="n">
        <f aca="false">IF(F616&lt;&gt;"Y",0,((SUMIF(Products!$E$5:$E$300,A616,Products!$F$5:$F$300)+SUMIF(RM_Lots!$A$5:$A$400,A616,RM_Lots!$D$5:$D$400))+IF(W616="Y",SUMIF(Products!$E$5:$E$300,A616,Products!$G$5:$G$300),0))*(1+N(V616)))</f>
        <v>0</v>
      </c>
      <c r="AB616" s="22" t="n">
        <f aca="false">IF(F616&lt;&gt;"Y",0,((SUMIF(Products!$E$5:$E$300,A616,Products!$K$5:$K$300)+SUMIF(RM_Lots!$A$5:$A$400,A616,RM_Lots!$F$5:$F$400))+IF(W616="Y",SUMIF(Products!$E$5:$E$300,A616,Products!$L$5:$L$300),0))*(1+N(V616)))</f>
        <v>0</v>
      </c>
      <c r="AC616" s="17" t="n">
        <f aca="false">IF(J616="",1,MAX(1,COUNTIFS($J$5:$J$863,J616,$F$5:$F$863,"Y")))</f>
        <v>1</v>
      </c>
      <c r="AD616" s="18" t="n">
        <f aca="false">(MAX(1,N(I616))*(P616+N(S616))+MAX(1,N(I616))*N(K616)/(MAX(1,N(U616))*AC616))*Settings!$B$9</f>
        <v>0</v>
      </c>
      <c r="AE616" s="18" t="n">
        <f aca="false">(MAX(1,N(I616))*N(Q616)+MAX(1,N(I616))*N(L616)/(MAX(1,N(U616))*AC616))*Settings!$B$8</f>
        <v>0</v>
      </c>
      <c r="AF616" s="18" t="n">
        <f aca="false">MAX(1,N(I616))*N(T616)</f>
        <v>0</v>
      </c>
      <c r="AG616" s="15" t="n">
        <f aca="false">AA616*N(AD616)</f>
        <v>0</v>
      </c>
      <c r="AH616" s="15" t="n">
        <f aca="false">AA616*N(AE616)</f>
        <v>0</v>
      </c>
      <c r="AI616" s="15" t="n">
        <f aca="false">AA616*N(AF616)</f>
        <v>0</v>
      </c>
      <c r="AJ616" s="15" t="n">
        <f aca="false">AA616*N(R616)</f>
        <v>0</v>
      </c>
      <c r="AK616" s="15" t="n">
        <f aca="false">AB616*N(AD616)</f>
        <v>0</v>
      </c>
      <c r="AL616" s="15" t="n">
        <f aca="false">AB616*N(AE616)</f>
        <v>0</v>
      </c>
      <c r="AM616" s="15" t="n">
        <f aca="false">AB616*N(AF616)</f>
        <v>0</v>
      </c>
      <c r="AN616" s="15" t="n">
        <f aca="false">AB616*N(R616)</f>
        <v>0</v>
      </c>
      <c r="AO616" s="21" t="str">
        <f aca="false">IF(F616&lt;&gt;"Y","n/a",IF(AND(N616&lt;&gt;"",OR(Q616&lt;&gt;"",G616="Other / bench",G616="None"),U616&lt;&gt;""),"OK","Missing"))</f>
        <v>Missing</v>
      </c>
    </row>
    <row r="617" customFormat="false" ht="15" hidden="false" customHeight="false" outlineLevel="0" collapsed="false">
      <c r="A617" s="10" t="s">
        <v>556</v>
      </c>
      <c r="B617" s="10" t="s">
        <v>740</v>
      </c>
      <c r="C617" s="10" t="s">
        <v>550</v>
      </c>
      <c r="D617" s="10" t="s">
        <v>743</v>
      </c>
      <c r="E617" s="21" t="str">
        <f aca="false">IF(A617="","",A617&amp;"|"&amp;D617)</f>
        <v>Mint Flavour|Compendial tests</v>
      </c>
      <c r="F617" s="16" t="s">
        <v>662</v>
      </c>
      <c r="G617" s="16" t="s">
        <v>670</v>
      </c>
      <c r="H617" s="16" t="s">
        <v>672</v>
      </c>
      <c r="I617" s="16" t="n">
        <v>1</v>
      </c>
      <c r="J617" s="16"/>
      <c r="K617" s="14"/>
      <c r="L617" s="14"/>
      <c r="M617" s="14"/>
      <c r="N617" s="14"/>
      <c r="O617" s="14"/>
      <c r="P617" s="18" t="n">
        <f aca="false">IF(N617="",0,IF(OR(M617="",O617=""),N617,(M617+4*N617+O617)/6))</f>
        <v>0</v>
      </c>
      <c r="Q617" s="14"/>
      <c r="R617" s="14"/>
      <c r="S617" s="14"/>
      <c r="T617" s="14"/>
      <c r="U617" s="16"/>
      <c r="V617" s="13"/>
      <c r="W617" s="16" t="s">
        <v>667</v>
      </c>
      <c r="X617" s="16"/>
      <c r="Y617" s="16"/>
      <c r="Z617" s="16" t="s">
        <v>744</v>
      </c>
      <c r="AA617" s="22" t="n">
        <f aca="false">IF(F617&lt;&gt;"Y",0,((SUMIF(Products!$E$5:$E$300,A617,Products!$F$5:$F$300)+SUMIF(RM_Lots!$A$5:$A$400,A617,RM_Lots!$D$5:$D$400))+IF(W617="Y",SUMIF(Products!$E$5:$E$300,A617,Products!$G$5:$G$300),0))*(1+N(V617)))</f>
        <v>0</v>
      </c>
      <c r="AB617" s="22" t="n">
        <f aca="false">IF(F617&lt;&gt;"Y",0,((SUMIF(Products!$E$5:$E$300,A617,Products!$K$5:$K$300)+SUMIF(RM_Lots!$A$5:$A$400,A617,RM_Lots!$F$5:$F$400))+IF(W617="Y",SUMIF(Products!$E$5:$E$300,A617,Products!$L$5:$L$300),0))*(1+N(V617)))</f>
        <v>0</v>
      </c>
      <c r="AC617" s="17" t="n">
        <f aca="false">IF(J617="",1,MAX(1,COUNTIFS($J$5:$J$863,J617,$F$5:$F$863,"Y")))</f>
        <v>1</v>
      </c>
      <c r="AD617" s="18" t="n">
        <f aca="false">(MAX(1,N(I617))*(P617+N(S617))+MAX(1,N(I617))*N(K617)/(MAX(1,N(U617))*AC617))*Settings!$B$9</f>
        <v>0</v>
      </c>
      <c r="AE617" s="18" t="n">
        <f aca="false">(MAX(1,N(I617))*N(Q617)+MAX(1,N(I617))*N(L617)/(MAX(1,N(U617))*AC617))*Settings!$B$8</f>
        <v>0</v>
      </c>
      <c r="AF617" s="18" t="n">
        <f aca="false">MAX(1,N(I617))*N(T617)</f>
        <v>0</v>
      </c>
      <c r="AG617" s="15" t="n">
        <f aca="false">AA617*N(AD617)</f>
        <v>0</v>
      </c>
      <c r="AH617" s="15" t="n">
        <f aca="false">AA617*N(AE617)</f>
        <v>0</v>
      </c>
      <c r="AI617" s="15" t="n">
        <f aca="false">AA617*N(AF617)</f>
        <v>0</v>
      </c>
      <c r="AJ617" s="15" t="n">
        <f aca="false">AA617*N(R617)</f>
        <v>0</v>
      </c>
      <c r="AK617" s="15" t="n">
        <f aca="false">AB617*N(AD617)</f>
        <v>0</v>
      </c>
      <c r="AL617" s="15" t="n">
        <f aca="false">AB617*N(AE617)</f>
        <v>0</v>
      </c>
      <c r="AM617" s="15" t="n">
        <f aca="false">AB617*N(AF617)</f>
        <v>0</v>
      </c>
      <c r="AN617" s="15" t="n">
        <f aca="false">AB617*N(R617)</f>
        <v>0</v>
      </c>
      <c r="AO617" s="21" t="str">
        <f aca="false">IF(F617&lt;&gt;"Y","n/a",IF(AND(N617&lt;&gt;"",OR(Q617&lt;&gt;"",G617="Other / bench",G617="None"),U617&lt;&gt;""),"OK","Missing"))</f>
        <v>Missing</v>
      </c>
    </row>
    <row r="618" customFormat="false" ht="15" hidden="false" customHeight="false" outlineLevel="0" collapsed="false">
      <c r="A618" s="10" t="s">
        <v>557</v>
      </c>
      <c r="B618" s="10" t="s">
        <v>740</v>
      </c>
      <c r="C618" s="10" t="s">
        <v>550</v>
      </c>
      <c r="D618" s="10" t="s">
        <v>743</v>
      </c>
      <c r="E618" s="21" t="str">
        <f aca="false">IF(A618="","",A618&amp;"|"&amp;D618)</f>
        <v>Orange Flavour|Compendial tests</v>
      </c>
      <c r="F618" s="16" t="s">
        <v>662</v>
      </c>
      <c r="G618" s="16" t="s">
        <v>670</v>
      </c>
      <c r="H618" s="16" t="s">
        <v>672</v>
      </c>
      <c r="I618" s="16" t="n">
        <v>1</v>
      </c>
      <c r="J618" s="16"/>
      <c r="K618" s="14"/>
      <c r="L618" s="14"/>
      <c r="M618" s="14"/>
      <c r="N618" s="14"/>
      <c r="O618" s="14"/>
      <c r="P618" s="18" t="n">
        <f aca="false">IF(N618="",0,IF(OR(M618="",O618=""),N618,(M618+4*N618+O618)/6))</f>
        <v>0</v>
      </c>
      <c r="Q618" s="14"/>
      <c r="R618" s="14"/>
      <c r="S618" s="14"/>
      <c r="T618" s="14"/>
      <c r="U618" s="16"/>
      <c r="V618" s="13"/>
      <c r="W618" s="16" t="s">
        <v>667</v>
      </c>
      <c r="X618" s="16"/>
      <c r="Y618" s="16"/>
      <c r="Z618" s="16" t="s">
        <v>744</v>
      </c>
      <c r="AA618" s="22" t="n">
        <f aca="false">IF(F618&lt;&gt;"Y",0,((SUMIF(Products!$E$5:$E$300,A618,Products!$F$5:$F$300)+SUMIF(RM_Lots!$A$5:$A$400,A618,RM_Lots!$D$5:$D$400))+IF(W618="Y",SUMIF(Products!$E$5:$E$300,A618,Products!$G$5:$G$300),0))*(1+N(V618)))</f>
        <v>0</v>
      </c>
      <c r="AB618" s="22" t="n">
        <f aca="false">IF(F618&lt;&gt;"Y",0,((SUMIF(Products!$E$5:$E$300,A618,Products!$K$5:$K$300)+SUMIF(RM_Lots!$A$5:$A$400,A618,RM_Lots!$F$5:$F$400))+IF(W618="Y",SUMIF(Products!$E$5:$E$300,A618,Products!$L$5:$L$300),0))*(1+N(V618)))</f>
        <v>0</v>
      </c>
      <c r="AC618" s="17" t="n">
        <f aca="false">IF(J618="",1,MAX(1,COUNTIFS($J$5:$J$863,J618,$F$5:$F$863,"Y")))</f>
        <v>1</v>
      </c>
      <c r="AD618" s="18" t="n">
        <f aca="false">(MAX(1,N(I618))*(P618+N(S618))+MAX(1,N(I618))*N(K618)/(MAX(1,N(U618))*AC618))*Settings!$B$9</f>
        <v>0</v>
      </c>
      <c r="AE618" s="18" t="n">
        <f aca="false">(MAX(1,N(I618))*N(Q618)+MAX(1,N(I618))*N(L618)/(MAX(1,N(U618))*AC618))*Settings!$B$8</f>
        <v>0</v>
      </c>
      <c r="AF618" s="18" t="n">
        <f aca="false">MAX(1,N(I618))*N(T618)</f>
        <v>0</v>
      </c>
      <c r="AG618" s="15" t="n">
        <f aca="false">AA618*N(AD618)</f>
        <v>0</v>
      </c>
      <c r="AH618" s="15" t="n">
        <f aca="false">AA618*N(AE618)</f>
        <v>0</v>
      </c>
      <c r="AI618" s="15" t="n">
        <f aca="false">AA618*N(AF618)</f>
        <v>0</v>
      </c>
      <c r="AJ618" s="15" t="n">
        <f aca="false">AA618*N(R618)</f>
        <v>0</v>
      </c>
      <c r="AK618" s="15" t="n">
        <f aca="false">AB618*N(AD618)</f>
        <v>0</v>
      </c>
      <c r="AL618" s="15" t="n">
        <f aca="false">AB618*N(AE618)</f>
        <v>0</v>
      </c>
      <c r="AM618" s="15" t="n">
        <f aca="false">AB618*N(AF618)</f>
        <v>0</v>
      </c>
      <c r="AN618" s="15" t="n">
        <f aca="false">AB618*N(R618)</f>
        <v>0</v>
      </c>
      <c r="AO618" s="21" t="str">
        <f aca="false">IF(F618&lt;&gt;"Y","n/a",IF(AND(N618&lt;&gt;"",OR(Q618&lt;&gt;"",G618="Other / bench",G618="None"),U618&lt;&gt;""),"OK","Missing"))</f>
        <v>Missing</v>
      </c>
    </row>
    <row r="619" customFormat="false" ht="15" hidden="false" customHeight="false" outlineLevel="0" collapsed="false">
      <c r="A619" s="10" t="s">
        <v>558</v>
      </c>
      <c r="B619" s="10" t="s">
        <v>740</v>
      </c>
      <c r="C619" s="10" t="s">
        <v>550</v>
      </c>
      <c r="D619" s="10" t="s">
        <v>743</v>
      </c>
      <c r="E619" s="21" t="str">
        <f aca="false">IF(A619="","",A619&amp;"|"&amp;D619)</f>
        <v>Sour Cherry Flavour|Compendial tests</v>
      </c>
      <c r="F619" s="16" t="s">
        <v>662</v>
      </c>
      <c r="G619" s="16" t="s">
        <v>670</v>
      </c>
      <c r="H619" s="16" t="s">
        <v>672</v>
      </c>
      <c r="I619" s="16" t="n">
        <v>1</v>
      </c>
      <c r="J619" s="16"/>
      <c r="K619" s="14"/>
      <c r="L619" s="14"/>
      <c r="M619" s="14"/>
      <c r="N619" s="14"/>
      <c r="O619" s="14"/>
      <c r="P619" s="18" t="n">
        <f aca="false">IF(N619="",0,IF(OR(M619="",O619=""),N619,(M619+4*N619+O619)/6))</f>
        <v>0</v>
      </c>
      <c r="Q619" s="14"/>
      <c r="R619" s="14"/>
      <c r="S619" s="14"/>
      <c r="T619" s="14"/>
      <c r="U619" s="16"/>
      <c r="V619" s="13"/>
      <c r="W619" s="16" t="s">
        <v>667</v>
      </c>
      <c r="X619" s="16"/>
      <c r="Y619" s="16"/>
      <c r="Z619" s="16" t="s">
        <v>744</v>
      </c>
      <c r="AA619" s="22" t="n">
        <f aca="false">IF(F619&lt;&gt;"Y",0,((SUMIF(Products!$E$5:$E$300,A619,Products!$F$5:$F$300)+SUMIF(RM_Lots!$A$5:$A$400,A619,RM_Lots!$D$5:$D$400))+IF(W619="Y",SUMIF(Products!$E$5:$E$300,A619,Products!$G$5:$G$300),0))*(1+N(V619)))</f>
        <v>0</v>
      </c>
      <c r="AB619" s="22" t="n">
        <f aca="false">IF(F619&lt;&gt;"Y",0,((SUMIF(Products!$E$5:$E$300,A619,Products!$K$5:$K$300)+SUMIF(RM_Lots!$A$5:$A$400,A619,RM_Lots!$F$5:$F$400))+IF(W619="Y",SUMIF(Products!$E$5:$E$300,A619,Products!$L$5:$L$300),0))*(1+N(V619)))</f>
        <v>0</v>
      </c>
      <c r="AC619" s="17" t="n">
        <f aca="false">IF(J619="",1,MAX(1,COUNTIFS($J$5:$J$863,J619,$F$5:$F$863,"Y")))</f>
        <v>1</v>
      </c>
      <c r="AD619" s="18" t="n">
        <f aca="false">(MAX(1,N(I619))*(P619+N(S619))+MAX(1,N(I619))*N(K619)/(MAX(1,N(U619))*AC619))*Settings!$B$9</f>
        <v>0</v>
      </c>
      <c r="AE619" s="18" t="n">
        <f aca="false">(MAX(1,N(I619))*N(Q619)+MAX(1,N(I619))*N(L619)/(MAX(1,N(U619))*AC619))*Settings!$B$8</f>
        <v>0</v>
      </c>
      <c r="AF619" s="18" t="n">
        <f aca="false">MAX(1,N(I619))*N(T619)</f>
        <v>0</v>
      </c>
      <c r="AG619" s="15" t="n">
        <f aca="false">AA619*N(AD619)</f>
        <v>0</v>
      </c>
      <c r="AH619" s="15" t="n">
        <f aca="false">AA619*N(AE619)</f>
        <v>0</v>
      </c>
      <c r="AI619" s="15" t="n">
        <f aca="false">AA619*N(AF619)</f>
        <v>0</v>
      </c>
      <c r="AJ619" s="15" t="n">
        <f aca="false">AA619*N(R619)</f>
        <v>0</v>
      </c>
      <c r="AK619" s="15" t="n">
        <f aca="false">AB619*N(AD619)</f>
        <v>0</v>
      </c>
      <c r="AL619" s="15" t="n">
        <f aca="false">AB619*N(AE619)</f>
        <v>0</v>
      </c>
      <c r="AM619" s="15" t="n">
        <f aca="false">AB619*N(AF619)</f>
        <v>0</v>
      </c>
      <c r="AN619" s="15" t="n">
        <f aca="false">AB619*N(R619)</f>
        <v>0</v>
      </c>
      <c r="AO619" s="21" t="str">
        <f aca="false">IF(F619&lt;&gt;"Y","n/a",IF(AND(N619&lt;&gt;"",OR(Q619&lt;&gt;"",G619="Other / bench",G619="None"),U619&lt;&gt;""),"OK","Missing"))</f>
        <v>Missing</v>
      </c>
    </row>
    <row r="620" customFormat="false" ht="15" hidden="false" customHeight="false" outlineLevel="0" collapsed="false">
      <c r="A620" s="10" t="s">
        <v>559</v>
      </c>
      <c r="B620" s="10" t="s">
        <v>740</v>
      </c>
      <c r="C620" s="10" t="s">
        <v>550</v>
      </c>
      <c r="D620" s="10" t="s">
        <v>743</v>
      </c>
      <c r="E620" s="21" t="str">
        <f aca="false">IF(A620="","",A620&amp;"|"&amp;D620)</f>
        <v>Strawberry Flavour|Compendial tests</v>
      </c>
      <c r="F620" s="16" t="s">
        <v>662</v>
      </c>
      <c r="G620" s="16" t="s">
        <v>670</v>
      </c>
      <c r="H620" s="16" t="s">
        <v>672</v>
      </c>
      <c r="I620" s="16" t="n">
        <v>1</v>
      </c>
      <c r="J620" s="16"/>
      <c r="K620" s="14"/>
      <c r="L620" s="14"/>
      <c r="M620" s="14"/>
      <c r="N620" s="14"/>
      <c r="O620" s="14"/>
      <c r="P620" s="18" t="n">
        <f aca="false">IF(N620="",0,IF(OR(M620="",O620=""),N620,(M620+4*N620+O620)/6))</f>
        <v>0</v>
      </c>
      <c r="Q620" s="14"/>
      <c r="R620" s="14"/>
      <c r="S620" s="14"/>
      <c r="T620" s="14"/>
      <c r="U620" s="16"/>
      <c r="V620" s="13"/>
      <c r="W620" s="16" t="s">
        <v>667</v>
      </c>
      <c r="X620" s="16"/>
      <c r="Y620" s="16"/>
      <c r="Z620" s="16" t="s">
        <v>744</v>
      </c>
      <c r="AA620" s="22" t="n">
        <f aca="false">IF(F620&lt;&gt;"Y",0,((SUMIF(Products!$E$5:$E$300,A620,Products!$F$5:$F$300)+SUMIF(RM_Lots!$A$5:$A$400,A620,RM_Lots!$D$5:$D$400))+IF(W620="Y",SUMIF(Products!$E$5:$E$300,A620,Products!$G$5:$G$300),0))*(1+N(V620)))</f>
        <v>0</v>
      </c>
      <c r="AB620" s="22" t="n">
        <f aca="false">IF(F620&lt;&gt;"Y",0,((SUMIF(Products!$E$5:$E$300,A620,Products!$K$5:$K$300)+SUMIF(RM_Lots!$A$5:$A$400,A620,RM_Lots!$F$5:$F$400))+IF(W620="Y",SUMIF(Products!$E$5:$E$300,A620,Products!$L$5:$L$300),0))*(1+N(V620)))</f>
        <v>0</v>
      </c>
      <c r="AC620" s="17" t="n">
        <f aca="false">IF(J620="",1,MAX(1,COUNTIFS($J$5:$J$863,J620,$F$5:$F$863,"Y")))</f>
        <v>1</v>
      </c>
      <c r="AD620" s="18" t="n">
        <f aca="false">(MAX(1,N(I620))*(P620+N(S620))+MAX(1,N(I620))*N(K620)/(MAX(1,N(U620))*AC620))*Settings!$B$9</f>
        <v>0</v>
      </c>
      <c r="AE620" s="18" t="n">
        <f aca="false">(MAX(1,N(I620))*N(Q620)+MAX(1,N(I620))*N(L620)/(MAX(1,N(U620))*AC620))*Settings!$B$8</f>
        <v>0</v>
      </c>
      <c r="AF620" s="18" t="n">
        <f aca="false">MAX(1,N(I620))*N(T620)</f>
        <v>0</v>
      </c>
      <c r="AG620" s="15" t="n">
        <f aca="false">AA620*N(AD620)</f>
        <v>0</v>
      </c>
      <c r="AH620" s="15" t="n">
        <f aca="false">AA620*N(AE620)</f>
        <v>0</v>
      </c>
      <c r="AI620" s="15" t="n">
        <f aca="false">AA620*N(AF620)</f>
        <v>0</v>
      </c>
      <c r="AJ620" s="15" t="n">
        <f aca="false">AA620*N(R620)</f>
        <v>0</v>
      </c>
      <c r="AK620" s="15" t="n">
        <f aca="false">AB620*N(AD620)</f>
        <v>0</v>
      </c>
      <c r="AL620" s="15" t="n">
        <f aca="false">AB620*N(AE620)</f>
        <v>0</v>
      </c>
      <c r="AM620" s="15" t="n">
        <f aca="false">AB620*N(AF620)</f>
        <v>0</v>
      </c>
      <c r="AN620" s="15" t="n">
        <f aca="false">AB620*N(R620)</f>
        <v>0</v>
      </c>
      <c r="AO620" s="21" t="str">
        <f aca="false">IF(F620&lt;&gt;"Y","n/a",IF(AND(N620&lt;&gt;"",OR(Q620&lt;&gt;"",G620="Other / bench",G620="None"),U620&lt;&gt;""),"OK","Missing"))</f>
        <v>Missing</v>
      </c>
    </row>
    <row r="621" customFormat="false" ht="15" hidden="false" customHeight="false" outlineLevel="0" collapsed="false">
      <c r="A621" s="10" t="s">
        <v>560</v>
      </c>
      <c r="B621" s="10" t="s">
        <v>740</v>
      </c>
      <c r="C621" s="10" t="s">
        <v>561</v>
      </c>
      <c r="D621" s="10" t="s">
        <v>743</v>
      </c>
      <c r="E621" s="21" t="str">
        <f aca="false">IF(A621="","",A621&amp;"|"&amp;D621)</f>
        <v>Colloidal Silicon Dioxide|Compendial tests</v>
      </c>
      <c r="F621" s="16" t="s">
        <v>662</v>
      </c>
      <c r="G621" s="16" t="s">
        <v>670</v>
      </c>
      <c r="H621" s="16" t="s">
        <v>672</v>
      </c>
      <c r="I621" s="16" t="n">
        <v>1</v>
      </c>
      <c r="J621" s="16"/>
      <c r="K621" s="14"/>
      <c r="L621" s="14"/>
      <c r="M621" s="14"/>
      <c r="N621" s="14"/>
      <c r="O621" s="14"/>
      <c r="P621" s="18" t="n">
        <f aca="false">IF(N621="",0,IF(OR(M621="",O621=""),N621,(M621+4*N621+O621)/6))</f>
        <v>0</v>
      </c>
      <c r="Q621" s="14"/>
      <c r="R621" s="14"/>
      <c r="S621" s="14"/>
      <c r="T621" s="14"/>
      <c r="U621" s="16"/>
      <c r="V621" s="13"/>
      <c r="W621" s="16" t="s">
        <v>667</v>
      </c>
      <c r="X621" s="16"/>
      <c r="Y621" s="16"/>
      <c r="Z621" s="16" t="s">
        <v>744</v>
      </c>
      <c r="AA621" s="22" t="n">
        <f aca="false">IF(F621&lt;&gt;"Y",0,((SUMIF(Products!$E$5:$E$300,A621,Products!$F$5:$F$300)+SUMIF(RM_Lots!$A$5:$A$400,A621,RM_Lots!$D$5:$D$400))+IF(W621="Y",SUMIF(Products!$E$5:$E$300,A621,Products!$G$5:$G$300),0))*(1+N(V621)))</f>
        <v>0</v>
      </c>
      <c r="AB621" s="22" t="n">
        <f aca="false">IF(F621&lt;&gt;"Y",0,((SUMIF(Products!$E$5:$E$300,A621,Products!$K$5:$K$300)+SUMIF(RM_Lots!$A$5:$A$400,A621,RM_Lots!$F$5:$F$400))+IF(W621="Y",SUMIF(Products!$E$5:$E$300,A621,Products!$L$5:$L$300),0))*(1+N(V621)))</f>
        <v>0</v>
      </c>
      <c r="AC621" s="17" t="n">
        <f aca="false">IF(J621="",1,MAX(1,COUNTIFS($J$5:$J$863,J621,$F$5:$F$863,"Y")))</f>
        <v>1</v>
      </c>
      <c r="AD621" s="18" t="n">
        <f aca="false">(MAX(1,N(I621))*(P621+N(S621))+MAX(1,N(I621))*N(K621)/(MAX(1,N(U621))*AC621))*Settings!$B$9</f>
        <v>0</v>
      </c>
      <c r="AE621" s="18" t="n">
        <f aca="false">(MAX(1,N(I621))*N(Q621)+MAX(1,N(I621))*N(L621)/(MAX(1,N(U621))*AC621))*Settings!$B$8</f>
        <v>0</v>
      </c>
      <c r="AF621" s="18" t="n">
        <f aca="false">MAX(1,N(I621))*N(T621)</f>
        <v>0</v>
      </c>
      <c r="AG621" s="15" t="n">
        <f aca="false">AA621*N(AD621)</f>
        <v>0</v>
      </c>
      <c r="AH621" s="15" t="n">
        <f aca="false">AA621*N(AE621)</f>
        <v>0</v>
      </c>
      <c r="AI621" s="15" t="n">
        <f aca="false">AA621*N(AF621)</f>
        <v>0</v>
      </c>
      <c r="AJ621" s="15" t="n">
        <f aca="false">AA621*N(R621)</f>
        <v>0</v>
      </c>
      <c r="AK621" s="15" t="n">
        <f aca="false">AB621*N(AD621)</f>
        <v>0</v>
      </c>
      <c r="AL621" s="15" t="n">
        <f aca="false">AB621*N(AE621)</f>
        <v>0</v>
      </c>
      <c r="AM621" s="15" t="n">
        <f aca="false">AB621*N(AF621)</f>
        <v>0</v>
      </c>
      <c r="AN621" s="15" t="n">
        <f aca="false">AB621*N(R621)</f>
        <v>0</v>
      </c>
      <c r="AO621" s="21" t="str">
        <f aca="false">IF(F621&lt;&gt;"Y","n/a",IF(AND(N621&lt;&gt;"",OR(Q621&lt;&gt;"",G621="Other / bench",G621="None"),U621&lt;&gt;""),"OK","Missing"))</f>
        <v>Missing</v>
      </c>
    </row>
    <row r="622" customFormat="false" ht="15" hidden="false" customHeight="false" outlineLevel="0" collapsed="false">
      <c r="A622" s="10" t="s">
        <v>562</v>
      </c>
      <c r="B622" s="10" t="s">
        <v>740</v>
      </c>
      <c r="C622" s="10" t="s">
        <v>563</v>
      </c>
      <c r="D622" s="10" t="s">
        <v>743</v>
      </c>
      <c r="E622" s="21" t="str">
        <f aca="false">IF(A622="","",A622&amp;"|"&amp;D622)</f>
        <v>Talc|Compendial tests</v>
      </c>
      <c r="F622" s="16" t="s">
        <v>662</v>
      </c>
      <c r="G622" s="16" t="s">
        <v>670</v>
      </c>
      <c r="H622" s="16" t="s">
        <v>672</v>
      </c>
      <c r="I622" s="16" t="n">
        <v>1</v>
      </c>
      <c r="J622" s="16"/>
      <c r="K622" s="14"/>
      <c r="L622" s="14"/>
      <c r="M622" s="14"/>
      <c r="N622" s="14"/>
      <c r="O622" s="14"/>
      <c r="P622" s="18" t="n">
        <f aca="false">IF(N622="",0,IF(OR(M622="",O622=""),N622,(M622+4*N622+O622)/6))</f>
        <v>0</v>
      </c>
      <c r="Q622" s="14"/>
      <c r="R622" s="14"/>
      <c r="S622" s="14"/>
      <c r="T622" s="14"/>
      <c r="U622" s="16"/>
      <c r="V622" s="13"/>
      <c r="W622" s="16" t="s">
        <v>667</v>
      </c>
      <c r="X622" s="16"/>
      <c r="Y622" s="16"/>
      <c r="Z622" s="16" t="s">
        <v>744</v>
      </c>
      <c r="AA622" s="22" t="n">
        <f aca="false">IF(F622&lt;&gt;"Y",0,((SUMIF(Products!$E$5:$E$300,A622,Products!$F$5:$F$300)+SUMIF(RM_Lots!$A$5:$A$400,A622,RM_Lots!$D$5:$D$400))+IF(W622="Y",SUMIF(Products!$E$5:$E$300,A622,Products!$G$5:$G$300),0))*(1+N(V622)))</f>
        <v>0</v>
      </c>
      <c r="AB622" s="22" t="n">
        <f aca="false">IF(F622&lt;&gt;"Y",0,((SUMIF(Products!$E$5:$E$300,A622,Products!$K$5:$K$300)+SUMIF(RM_Lots!$A$5:$A$400,A622,RM_Lots!$F$5:$F$400))+IF(W622="Y",SUMIF(Products!$E$5:$E$300,A622,Products!$L$5:$L$300),0))*(1+N(V622)))</f>
        <v>0</v>
      </c>
      <c r="AC622" s="17" t="n">
        <f aca="false">IF(J622="",1,MAX(1,COUNTIFS($J$5:$J$863,J622,$F$5:$F$863,"Y")))</f>
        <v>1</v>
      </c>
      <c r="AD622" s="18" t="n">
        <f aca="false">(MAX(1,N(I622))*(P622+N(S622))+MAX(1,N(I622))*N(K622)/(MAX(1,N(U622))*AC622))*Settings!$B$9</f>
        <v>0</v>
      </c>
      <c r="AE622" s="18" t="n">
        <f aca="false">(MAX(1,N(I622))*N(Q622)+MAX(1,N(I622))*N(L622)/(MAX(1,N(U622))*AC622))*Settings!$B$8</f>
        <v>0</v>
      </c>
      <c r="AF622" s="18" t="n">
        <f aca="false">MAX(1,N(I622))*N(T622)</f>
        <v>0</v>
      </c>
      <c r="AG622" s="15" t="n">
        <f aca="false">AA622*N(AD622)</f>
        <v>0</v>
      </c>
      <c r="AH622" s="15" t="n">
        <f aca="false">AA622*N(AE622)</f>
        <v>0</v>
      </c>
      <c r="AI622" s="15" t="n">
        <f aca="false">AA622*N(AF622)</f>
        <v>0</v>
      </c>
      <c r="AJ622" s="15" t="n">
        <f aca="false">AA622*N(R622)</f>
        <v>0</v>
      </c>
      <c r="AK622" s="15" t="n">
        <f aca="false">AB622*N(AD622)</f>
        <v>0</v>
      </c>
      <c r="AL622" s="15" t="n">
        <f aca="false">AB622*N(AE622)</f>
        <v>0</v>
      </c>
      <c r="AM622" s="15" t="n">
        <f aca="false">AB622*N(AF622)</f>
        <v>0</v>
      </c>
      <c r="AN622" s="15" t="n">
        <f aca="false">AB622*N(R622)</f>
        <v>0</v>
      </c>
      <c r="AO622" s="21" t="str">
        <f aca="false">IF(F622&lt;&gt;"Y","n/a",IF(AND(N622&lt;&gt;"",OR(Q622&lt;&gt;"",G622="Other / bench",G622="None"),U622&lt;&gt;""),"OK","Missing"))</f>
        <v>Missing</v>
      </c>
    </row>
    <row r="623" customFormat="false" ht="15" hidden="false" customHeight="false" outlineLevel="0" collapsed="false">
      <c r="A623" s="10" t="s">
        <v>564</v>
      </c>
      <c r="B623" s="10" t="s">
        <v>740</v>
      </c>
      <c r="C623" s="10" t="s">
        <v>565</v>
      </c>
      <c r="D623" s="10" t="s">
        <v>743</v>
      </c>
      <c r="E623" s="21" t="str">
        <f aca="false">IF(A623="","",A623&amp;"|"&amp;D623)</f>
        <v>Magnesium Stearate|Compendial tests</v>
      </c>
      <c r="F623" s="16" t="s">
        <v>662</v>
      </c>
      <c r="G623" s="16" t="s">
        <v>670</v>
      </c>
      <c r="H623" s="16" t="s">
        <v>672</v>
      </c>
      <c r="I623" s="16" t="n">
        <v>1</v>
      </c>
      <c r="J623" s="16"/>
      <c r="K623" s="14"/>
      <c r="L623" s="14"/>
      <c r="M623" s="14"/>
      <c r="N623" s="14"/>
      <c r="O623" s="14"/>
      <c r="P623" s="18" t="n">
        <f aca="false">IF(N623="",0,IF(OR(M623="",O623=""),N623,(M623+4*N623+O623)/6))</f>
        <v>0</v>
      </c>
      <c r="Q623" s="14"/>
      <c r="R623" s="14"/>
      <c r="S623" s="14"/>
      <c r="T623" s="14"/>
      <c r="U623" s="16"/>
      <c r="V623" s="13"/>
      <c r="W623" s="16" t="s">
        <v>667</v>
      </c>
      <c r="X623" s="16"/>
      <c r="Y623" s="16"/>
      <c r="Z623" s="16" t="s">
        <v>744</v>
      </c>
      <c r="AA623" s="22" t="n">
        <f aca="false">IF(F623&lt;&gt;"Y",0,((SUMIF(Products!$E$5:$E$300,A623,Products!$F$5:$F$300)+SUMIF(RM_Lots!$A$5:$A$400,A623,RM_Lots!$D$5:$D$400))+IF(W623="Y",SUMIF(Products!$E$5:$E$300,A623,Products!$G$5:$G$300),0))*(1+N(V623)))</f>
        <v>0</v>
      </c>
      <c r="AB623" s="22" t="n">
        <f aca="false">IF(F623&lt;&gt;"Y",0,((SUMIF(Products!$E$5:$E$300,A623,Products!$K$5:$K$300)+SUMIF(RM_Lots!$A$5:$A$400,A623,RM_Lots!$F$5:$F$400))+IF(W623="Y",SUMIF(Products!$E$5:$E$300,A623,Products!$L$5:$L$300),0))*(1+N(V623)))</f>
        <v>0</v>
      </c>
      <c r="AC623" s="17" t="n">
        <f aca="false">IF(J623="",1,MAX(1,COUNTIFS($J$5:$J$863,J623,$F$5:$F$863,"Y")))</f>
        <v>1</v>
      </c>
      <c r="AD623" s="18" t="n">
        <f aca="false">(MAX(1,N(I623))*(P623+N(S623))+MAX(1,N(I623))*N(K623)/(MAX(1,N(U623))*AC623))*Settings!$B$9</f>
        <v>0</v>
      </c>
      <c r="AE623" s="18" t="n">
        <f aca="false">(MAX(1,N(I623))*N(Q623)+MAX(1,N(I623))*N(L623)/(MAX(1,N(U623))*AC623))*Settings!$B$8</f>
        <v>0</v>
      </c>
      <c r="AF623" s="18" t="n">
        <f aca="false">MAX(1,N(I623))*N(T623)</f>
        <v>0</v>
      </c>
      <c r="AG623" s="15" t="n">
        <f aca="false">AA623*N(AD623)</f>
        <v>0</v>
      </c>
      <c r="AH623" s="15" t="n">
        <f aca="false">AA623*N(AE623)</f>
        <v>0</v>
      </c>
      <c r="AI623" s="15" t="n">
        <f aca="false">AA623*N(AF623)</f>
        <v>0</v>
      </c>
      <c r="AJ623" s="15" t="n">
        <f aca="false">AA623*N(R623)</f>
        <v>0</v>
      </c>
      <c r="AK623" s="15" t="n">
        <f aca="false">AB623*N(AD623)</f>
        <v>0</v>
      </c>
      <c r="AL623" s="15" t="n">
        <f aca="false">AB623*N(AE623)</f>
        <v>0</v>
      </c>
      <c r="AM623" s="15" t="n">
        <f aca="false">AB623*N(AF623)</f>
        <v>0</v>
      </c>
      <c r="AN623" s="15" t="n">
        <f aca="false">AB623*N(R623)</f>
        <v>0</v>
      </c>
      <c r="AO623" s="21" t="str">
        <f aca="false">IF(F623&lt;&gt;"Y","n/a",IF(AND(N623&lt;&gt;"",OR(Q623&lt;&gt;"",G623="Other / bench",G623="None"),U623&lt;&gt;""),"OK","Missing"))</f>
        <v>Missing</v>
      </c>
    </row>
    <row r="624" customFormat="false" ht="15" hidden="false" customHeight="false" outlineLevel="0" collapsed="false">
      <c r="A624" s="10" t="s">
        <v>566</v>
      </c>
      <c r="B624" s="10" t="s">
        <v>740</v>
      </c>
      <c r="C624" s="10" t="s">
        <v>565</v>
      </c>
      <c r="D624" s="10" t="s">
        <v>743</v>
      </c>
      <c r="E624" s="21" t="str">
        <f aca="false">IF(A624="","",A624&amp;"|"&amp;D624)</f>
        <v>Sodium Stearyl Fumarate|Compendial tests</v>
      </c>
      <c r="F624" s="16" t="s">
        <v>662</v>
      </c>
      <c r="G624" s="16" t="s">
        <v>670</v>
      </c>
      <c r="H624" s="16" t="s">
        <v>672</v>
      </c>
      <c r="I624" s="16" t="n">
        <v>1</v>
      </c>
      <c r="J624" s="16"/>
      <c r="K624" s="14"/>
      <c r="L624" s="14"/>
      <c r="M624" s="14"/>
      <c r="N624" s="14"/>
      <c r="O624" s="14"/>
      <c r="P624" s="18" t="n">
        <f aca="false">IF(N624="",0,IF(OR(M624="",O624=""),N624,(M624+4*N624+O624)/6))</f>
        <v>0</v>
      </c>
      <c r="Q624" s="14"/>
      <c r="R624" s="14"/>
      <c r="S624" s="14"/>
      <c r="T624" s="14"/>
      <c r="U624" s="16"/>
      <c r="V624" s="13"/>
      <c r="W624" s="16" t="s">
        <v>667</v>
      </c>
      <c r="X624" s="16"/>
      <c r="Y624" s="16"/>
      <c r="Z624" s="16" t="s">
        <v>744</v>
      </c>
      <c r="AA624" s="22" t="n">
        <f aca="false">IF(F624&lt;&gt;"Y",0,((SUMIF(Products!$E$5:$E$300,A624,Products!$F$5:$F$300)+SUMIF(RM_Lots!$A$5:$A$400,A624,RM_Lots!$D$5:$D$400))+IF(W624="Y",SUMIF(Products!$E$5:$E$300,A624,Products!$G$5:$G$300),0))*(1+N(V624)))</f>
        <v>0</v>
      </c>
      <c r="AB624" s="22" t="n">
        <f aca="false">IF(F624&lt;&gt;"Y",0,((SUMIF(Products!$E$5:$E$300,A624,Products!$K$5:$K$300)+SUMIF(RM_Lots!$A$5:$A$400,A624,RM_Lots!$F$5:$F$400))+IF(W624="Y",SUMIF(Products!$E$5:$E$300,A624,Products!$L$5:$L$300),0))*(1+N(V624)))</f>
        <v>0</v>
      </c>
      <c r="AC624" s="17" t="n">
        <f aca="false">IF(J624="",1,MAX(1,COUNTIFS($J$5:$J$863,J624,$F$5:$F$863,"Y")))</f>
        <v>1</v>
      </c>
      <c r="AD624" s="18" t="n">
        <f aca="false">(MAX(1,N(I624))*(P624+N(S624))+MAX(1,N(I624))*N(K624)/(MAX(1,N(U624))*AC624))*Settings!$B$9</f>
        <v>0</v>
      </c>
      <c r="AE624" s="18" t="n">
        <f aca="false">(MAX(1,N(I624))*N(Q624)+MAX(1,N(I624))*N(L624)/(MAX(1,N(U624))*AC624))*Settings!$B$8</f>
        <v>0</v>
      </c>
      <c r="AF624" s="18" t="n">
        <f aca="false">MAX(1,N(I624))*N(T624)</f>
        <v>0</v>
      </c>
      <c r="AG624" s="15" t="n">
        <f aca="false">AA624*N(AD624)</f>
        <v>0</v>
      </c>
      <c r="AH624" s="15" t="n">
        <f aca="false">AA624*N(AE624)</f>
        <v>0</v>
      </c>
      <c r="AI624" s="15" t="n">
        <f aca="false">AA624*N(AF624)</f>
        <v>0</v>
      </c>
      <c r="AJ624" s="15" t="n">
        <f aca="false">AA624*N(R624)</f>
        <v>0</v>
      </c>
      <c r="AK624" s="15" t="n">
        <f aca="false">AB624*N(AD624)</f>
        <v>0</v>
      </c>
      <c r="AL624" s="15" t="n">
        <f aca="false">AB624*N(AE624)</f>
        <v>0</v>
      </c>
      <c r="AM624" s="15" t="n">
        <f aca="false">AB624*N(AF624)</f>
        <v>0</v>
      </c>
      <c r="AN624" s="15" t="n">
        <f aca="false">AB624*N(R624)</f>
        <v>0</v>
      </c>
      <c r="AO624" s="21" t="str">
        <f aca="false">IF(F624&lt;&gt;"Y","n/a",IF(AND(N624&lt;&gt;"",OR(Q624&lt;&gt;"",G624="Other / bench",G624="None"),U624&lt;&gt;""),"OK","Missing"))</f>
        <v>Missing</v>
      </c>
    </row>
    <row r="625" customFormat="false" ht="15" hidden="false" customHeight="false" outlineLevel="0" collapsed="false">
      <c r="A625" s="10" t="s">
        <v>567</v>
      </c>
      <c r="B625" s="10" t="s">
        <v>740</v>
      </c>
      <c r="C625" s="10" t="s">
        <v>568</v>
      </c>
      <c r="D625" s="10" t="s">
        <v>743</v>
      </c>
      <c r="E625" s="21" t="str">
        <f aca="false">IF(A625="","",A625&amp;"|"&amp;D625)</f>
        <v>Titanium Dioxide|Compendial tests</v>
      </c>
      <c r="F625" s="16" t="s">
        <v>662</v>
      </c>
      <c r="G625" s="16" t="s">
        <v>670</v>
      </c>
      <c r="H625" s="16" t="s">
        <v>672</v>
      </c>
      <c r="I625" s="16" t="n">
        <v>1</v>
      </c>
      <c r="J625" s="16"/>
      <c r="K625" s="14"/>
      <c r="L625" s="14"/>
      <c r="M625" s="14"/>
      <c r="N625" s="14"/>
      <c r="O625" s="14"/>
      <c r="P625" s="18" t="n">
        <f aca="false">IF(N625="",0,IF(OR(M625="",O625=""),N625,(M625+4*N625+O625)/6))</f>
        <v>0</v>
      </c>
      <c r="Q625" s="14"/>
      <c r="R625" s="14"/>
      <c r="S625" s="14"/>
      <c r="T625" s="14"/>
      <c r="U625" s="16"/>
      <c r="V625" s="13"/>
      <c r="W625" s="16" t="s">
        <v>667</v>
      </c>
      <c r="X625" s="16"/>
      <c r="Y625" s="16"/>
      <c r="Z625" s="16" t="s">
        <v>744</v>
      </c>
      <c r="AA625" s="22" t="n">
        <f aca="false">IF(F625&lt;&gt;"Y",0,((SUMIF(Products!$E$5:$E$300,A625,Products!$F$5:$F$300)+SUMIF(RM_Lots!$A$5:$A$400,A625,RM_Lots!$D$5:$D$400))+IF(W625="Y",SUMIF(Products!$E$5:$E$300,A625,Products!$G$5:$G$300),0))*(1+N(V625)))</f>
        <v>0</v>
      </c>
      <c r="AB625" s="22" t="n">
        <f aca="false">IF(F625&lt;&gt;"Y",0,((SUMIF(Products!$E$5:$E$300,A625,Products!$K$5:$K$300)+SUMIF(RM_Lots!$A$5:$A$400,A625,RM_Lots!$F$5:$F$400))+IF(W625="Y",SUMIF(Products!$E$5:$E$300,A625,Products!$L$5:$L$300),0))*(1+N(V625)))</f>
        <v>0</v>
      </c>
      <c r="AC625" s="17" t="n">
        <f aca="false">IF(J625="",1,MAX(1,COUNTIFS($J$5:$J$863,J625,$F$5:$F$863,"Y")))</f>
        <v>1</v>
      </c>
      <c r="AD625" s="18" t="n">
        <f aca="false">(MAX(1,N(I625))*(P625+N(S625))+MAX(1,N(I625))*N(K625)/(MAX(1,N(U625))*AC625))*Settings!$B$9</f>
        <v>0</v>
      </c>
      <c r="AE625" s="18" t="n">
        <f aca="false">(MAX(1,N(I625))*N(Q625)+MAX(1,N(I625))*N(L625)/(MAX(1,N(U625))*AC625))*Settings!$B$8</f>
        <v>0</v>
      </c>
      <c r="AF625" s="18" t="n">
        <f aca="false">MAX(1,N(I625))*N(T625)</f>
        <v>0</v>
      </c>
      <c r="AG625" s="15" t="n">
        <f aca="false">AA625*N(AD625)</f>
        <v>0</v>
      </c>
      <c r="AH625" s="15" t="n">
        <f aca="false">AA625*N(AE625)</f>
        <v>0</v>
      </c>
      <c r="AI625" s="15" t="n">
        <f aca="false">AA625*N(AF625)</f>
        <v>0</v>
      </c>
      <c r="AJ625" s="15" t="n">
        <f aca="false">AA625*N(R625)</f>
        <v>0</v>
      </c>
      <c r="AK625" s="15" t="n">
        <f aca="false">AB625*N(AD625)</f>
        <v>0</v>
      </c>
      <c r="AL625" s="15" t="n">
        <f aca="false">AB625*N(AE625)</f>
        <v>0</v>
      </c>
      <c r="AM625" s="15" t="n">
        <f aca="false">AB625*N(AF625)</f>
        <v>0</v>
      </c>
      <c r="AN625" s="15" t="n">
        <f aca="false">AB625*N(R625)</f>
        <v>0</v>
      </c>
      <c r="AO625" s="21" t="str">
        <f aca="false">IF(F625&lt;&gt;"Y","n/a",IF(AND(N625&lt;&gt;"",OR(Q625&lt;&gt;"",G625="Other / bench",G625="None"),U625&lt;&gt;""),"OK","Missing"))</f>
        <v>Missing</v>
      </c>
    </row>
    <row r="626" customFormat="false" ht="15" hidden="false" customHeight="false" outlineLevel="0" collapsed="false">
      <c r="A626" s="10" t="s">
        <v>569</v>
      </c>
      <c r="B626" s="10" t="s">
        <v>740</v>
      </c>
      <c r="C626" s="10" t="s">
        <v>570</v>
      </c>
      <c r="D626" s="10" t="s">
        <v>743</v>
      </c>
      <c r="E626" s="21" t="str">
        <f aca="false">IF(A626="","",A626&amp;"|"&amp;D626)</f>
        <v>Phenylethyl Alcohol|Compendial tests</v>
      </c>
      <c r="F626" s="16" t="s">
        <v>662</v>
      </c>
      <c r="G626" s="16" t="s">
        <v>670</v>
      </c>
      <c r="H626" s="16" t="s">
        <v>672</v>
      </c>
      <c r="I626" s="16" t="n">
        <v>1</v>
      </c>
      <c r="J626" s="16"/>
      <c r="K626" s="14"/>
      <c r="L626" s="14"/>
      <c r="M626" s="14"/>
      <c r="N626" s="14"/>
      <c r="O626" s="14"/>
      <c r="P626" s="18" t="n">
        <f aca="false">IF(N626="",0,IF(OR(M626="",O626=""),N626,(M626+4*N626+O626)/6))</f>
        <v>0</v>
      </c>
      <c r="Q626" s="14"/>
      <c r="R626" s="14"/>
      <c r="S626" s="14"/>
      <c r="T626" s="14"/>
      <c r="U626" s="16"/>
      <c r="V626" s="13"/>
      <c r="W626" s="16" t="s">
        <v>667</v>
      </c>
      <c r="X626" s="16"/>
      <c r="Y626" s="16"/>
      <c r="Z626" s="16" t="s">
        <v>744</v>
      </c>
      <c r="AA626" s="22" t="n">
        <f aca="false">IF(F626&lt;&gt;"Y",0,((SUMIF(Products!$E$5:$E$300,A626,Products!$F$5:$F$300)+SUMIF(RM_Lots!$A$5:$A$400,A626,RM_Lots!$D$5:$D$400))+IF(W626="Y",SUMIF(Products!$E$5:$E$300,A626,Products!$G$5:$G$300),0))*(1+N(V626)))</f>
        <v>0</v>
      </c>
      <c r="AB626" s="22" t="n">
        <f aca="false">IF(F626&lt;&gt;"Y",0,((SUMIF(Products!$E$5:$E$300,A626,Products!$K$5:$K$300)+SUMIF(RM_Lots!$A$5:$A$400,A626,RM_Lots!$F$5:$F$400))+IF(W626="Y",SUMIF(Products!$E$5:$E$300,A626,Products!$L$5:$L$300),0))*(1+N(V626)))</f>
        <v>0</v>
      </c>
      <c r="AC626" s="17" t="n">
        <f aca="false">IF(J626="",1,MAX(1,COUNTIFS($J$5:$J$863,J626,$F$5:$F$863,"Y")))</f>
        <v>1</v>
      </c>
      <c r="AD626" s="18" t="n">
        <f aca="false">(MAX(1,N(I626))*(P626+N(S626))+MAX(1,N(I626))*N(K626)/(MAX(1,N(U626))*AC626))*Settings!$B$9</f>
        <v>0</v>
      </c>
      <c r="AE626" s="18" t="n">
        <f aca="false">(MAX(1,N(I626))*N(Q626)+MAX(1,N(I626))*N(L626)/(MAX(1,N(U626))*AC626))*Settings!$B$8</f>
        <v>0</v>
      </c>
      <c r="AF626" s="18" t="n">
        <f aca="false">MAX(1,N(I626))*N(T626)</f>
        <v>0</v>
      </c>
      <c r="AG626" s="15" t="n">
        <f aca="false">AA626*N(AD626)</f>
        <v>0</v>
      </c>
      <c r="AH626" s="15" t="n">
        <f aca="false">AA626*N(AE626)</f>
        <v>0</v>
      </c>
      <c r="AI626" s="15" t="n">
        <f aca="false">AA626*N(AF626)</f>
        <v>0</v>
      </c>
      <c r="AJ626" s="15" t="n">
        <f aca="false">AA626*N(R626)</f>
        <v>0</v>
      </c>
      <c r="AK626" s="15" t="n">
        <f aca="false">AB626*N(AD626)</f>
        <v>0</v>
      </c>
      <c r="AL626" s="15" t="n">
        <f aca="false">AB626*N(AE626)</f>
        <v>0</v>
      </c>
      <c r="AM626" s="15" t="n">
        <f aca="false">AB626*N(AF626)</f>
        <v>0</v>
      </c>
      <c r="AN626" s="15" t="n">
        <f aca="false">AB626*N(R626)</f>
        <v>0</v>
      </c>
      <c r="AO626" s="21" t="str">
        <f aca="false">IF(F626&lt;&gt;"Y","n/a",IF(AND(N626&lt;&gt;"",OR(Q626&lt;&gt;"",G626="Other / bench",G626="None"),U626&lt;&gt;""),"OK","Missing"))</f>
        <v>Missing</v>
      </c>
    </row>
    <row r="627" customFormat="false" ht="15" hidden="false" customHeight="false" outlineLevel="0" collapsed="false">
      <c r="A627" s="10" t="s">
        <v>571</v>
      </c>
      <c r="B627" s="10" t="s">
        <v>740</v>
      </c>
      <c r="C627" s="10" t="s">
        <v>570</v>
      </c>
      <c r="D627" s="10" t="s">
        <v>743</v>
      </c>
      <c r="E627" s="21" t="str">
        <f aca="false">IF(A627="","",A627&amp;"|"&amp;D627)</f>
        <v>Sodium Chloride|Compendial tests</v>
      </c>
      <c r="F627" s="16" t="s">
        <v>662</v>
      </c>
      <c r="G627" s="16" t="s">
        <v>670</v>
      </c>
      <c r="H627" s="16" t="s">
        <v>672</v>
      </c>
      <c r="I627" s="16" t="n">
        <v>1</v>
      </c>
      <c r="J627" s="16"/>
      <c r="K627" s="14"/>
      <c r="L627" s="14"/>
      <c r="M627" s="14"/>
      <c r="N627" s="14"/>
      <c r="O627" s="14"/>
      <c r="P627" s="18" t="n">
        <f aca="false">IF(N627="",0,IF(OR(M627="",O627=""),N627,(M627+4*N627+O627)/6))</f>
        <v>0</v>
      </c>
      <c r="Q627" s="14"/>
      <c r="R627" s="14"/>
      <c r="S627" s="14"/>
      <c r="T627" s="14"/>
      <c r="U627" s="16"/>
      <c r="V627" s="13"/>
      <c r="W627" s="16" t="s">
        <v>667</v>
      </c>
      <c r="X627" s="16"/>
      <c r="Y627" s="16"/>
      <c r="Z627" s="16" t="s">
        <v>744</v>
      </c>
      <c r="AA627" s="22" t="n">
        <f aca="false">IF(F627&lt;&gt;"Y",0,((SUMIF(Products!$E$5:$E$300,A627,Products!$F$5:$F$300)+SUMIF(RM_Lots!$A$5:$A$400,A627,RM_Lots!$D$5:$D$400))+IF(W627="Y",SUMIF(Products!$E$5:$E$300,A627,Products!$G$5:$G$300),0))*(1+N(V627)))</f>
        <v>0</v>
      </c>
      <c r="AB627" s="22" t="n">
        <f aca="false">IF(F627&lt;&gt;"Y",0,((SUMIF(Products!$E$5:$E$300,A627,Products!$K$5:$K$300)+SUMIF(RM_Lots!$A$5:$A$400,A627,RM_Lots!$F$5:$F$400))+IF(W627="Y",SUMIF(Products!$E$5:$E$300,A627,Products!$L$5:$L$300),0))*(1+N(V627)))</f>
        <v>0</v>
      </c>
      <c r="AC627" s="17" t="n">
        <f aca="false">IF(J627="",1,MAX(1,COUNTIFS($J$5:$J$863,J627,$F$5:$F$863,"Y")))</f>
        <v>1</v>
      </c>
      <c r="AD627" s="18" t="n">
        <f aca="false">(MAX(1,N(I627))*(P627+N(S627))+MAX(1,N(I627))*N(K627)/(MAX(1,N(U627))*AC627))*Settings!$B$9</f>
        <v>0</v>
      </c>
      <c r="AE627" s="18" t="n">
        <f aca="false">(MAX(1,N(I627))*N(Q627)+MAX(1,N(I627))*N(L627)/(MAX(1,N(U627))*AC627))*Settings!$B$8</f>
        <v>0</v>
      </c>
      <c r="AF627" s="18" t="n">
        <f aca="false">MAX(1,N(I627))*N(T627)</f>
        <v>0</v>
      </c>
      <c r="AG627" s="15" t="n">
        <f aca="false">AA627*N(AD627)</f>
        <v>0</v>
      </c>
      <c r="AH627" s="15" t="n">
        <f aca="false">AA627*N(AE627)</f>
        <v>0</v>
      </c>
      <c r="AI627" s="15" t="n">
        <f aca="false">AA627*N(AF627)</f>
        <v>0</v>
      </c>
      <c r="AJ627" s="15" t="n">
        <f aca="false">AA627*N(R627)</f>
        <v>0</v>
      </c>
      <c r="AK627" s="15" t="n">
        <f aca="false">AB627*N(AD627)</f>
        <v>0</v>
      </c>
      <c r="AL627" s="15" t="n">
        <f aca="false">AB627*N(AE627)</f>
        <v>0</v>
      </c>
      <c r="AM627" s="15" t="n">
        <f aca="false">AB627*N(AF627)</f>
        <v>0</v>
      </c>
      <c r="AN627" s="15" t="n">
        <f aca="false">AB627*N(R627)</f>
        <v>0</v>
      </c>
      <c r="AO627" s="21" t="str">
        <f aca="false">IF(F627&lt;&gt;"Y","n/a",IF(AND(N627&lt;&gt;"",OR(Q627&lt;&gt;"",G627="Other / bench",G627="None"),U627&lt;&gt;""),"OK","Missing"))</f>
        <v>Missing</v>
      </c>
    </row>
    <row r="628" customFormat="false" ht="15" hidden="false" customHeight="false" outlineLevel="0" collapsed="false">
      <c r="A628" s="10" t="s">
        <v>572</v>
      </c>
      <c r="B628" s="10" t="s">
        <v>740</v>
      </c>
      <c r="C628" s="10" t="s">
        <v>573</v>
      </c>
      <c r="D628" s="10" t="s">
        <v>743</v>
      </c>
      <c r="E628" s="21" t="str">
        <f aca="false">IF(A628="","",A628&amp;"|"&amp;D628)</f>
        <v>Polyethylene Glycol (grade not stated)|Compendial tests</v>
      </c>
      <c r="F628" s="16" t="s">
        <v>662</v>
      </c>
      <c r="G628" s="16" t="s">
        <v>670</v>
      </c>
      <c r="H628" s="16" t="s">
        <v>672</v>
      </c>
      <c r="I628" s="16" t="n">
        <v>1</v>
      </c>
      <c r="J628" s="16"/>
      <c r="K628" s="14"/>
      <c r="L628" s="14"/>
      <c r="M628" s="14"/>
      <c r="N628" s="14"/>
      <c r="O628" s="14"/>
      <c r="P628" s="18" t="n">
        <f aca="false">IF(N628="",0,IF(OR(M628="",O628=""),N628,(M628+4*N628+O628)/6))</f>
        <v>0</v>
      </c>
      <c r="Q628" s="14"/>
      <c r="R628" s="14"/>
      <c r="S628" s="14"/>
      <c r="T628" s="14"/>
      <c r="U628" s="16"/>
      <c r="V628" s="13"/>
      <c r="W628" s="16" t="s">
        <v>667</v>
      </c>
      <c r="X628" s="16"/>
      <c r="Y628" s="16"/>
      <c r="Z628" s="16" t="s">
        <v>744</v>
      </c>
      <c r="AA628" s="22" t="n">
        <f aca="false">IF(F628&lt;&gt;"Y",0,((SUMIF(Products!$E$5:$E$300,A628,Products!$F$5:$F$300)+SUMIF(RM_Lots!$A$5:$A$400,A628,RM_Lots!$D$5:$D$400))+IF(W628="Y",SUMIF(Products!$E$5:$E$300,A628,Products!$G$5:$G$300),0))*(1+N(V628)))</f>
        <v>0</v>
      </c>
      <c r="AB628" s="22" t="n">
        <f aca="false">IF(F628&lt;&gt;"Y",0,((SUMIF(Products!$E$5:$E$300,A628,Products!$K$5:$K$300)+SUMIF(RM_Lots!$A$5:$A$400,A628,RM_Lots!$F$5:$F$400))+IF(W628="Y",SUMIF(Products!$E$5:$E$300,A628,Products!$L$5:$L$300),0))*(1+N(V628)))</f>
        <v>0</v>
      </c>
      <c r="AC628" s="17" t="n">
        <f aca="false">IF(J628="",1,MAX(1,COUNTIFS($J$5:$J$863,J628,$F$5:$F$863,"Y")))</f>
        <v>1</v>
      </c>
      <c r="AD628" s="18" t="n">
        <f aca="false">(MAX(1,N(I628))*(P628+N(S628))+MAX(1,N(I628))*N(K628)/(MAX(1,N(U628))*AC628))*Settings!$B$9</f>
        <v>0</v>
      </c>
      <c r="AE628" s="18" t="n">
        <f aca="false">(MAX(1,N(I628))*N(Q628)+MAX(1,N(I628))*N(L628)/(MAX(1,N(U628))*AC628))*Settings!$B$8</f>
        <v>0</v>
      </c>
      <c r="AF628" s="18" t="n">
        <f aca="false">MAX(1,N(I628))*N(T628)</f>
        <v>0</v>
      </c>
      <c r="AG628" s="15" t="n">
        <f aca="false">AA628*N(AD628)</f>
        <v>0</v>
      </c>
      <c r="AH628" s="15" t="n">
        <f aca="false">AA628*N(AE628)</f>
        <v>0</v>
      </c>
      <c r="AI628" s="15" t="n">
        <f aca="false">AA628*N(AF628)</f>
        <v>0</v>
      </c>
      <c r="AJ628" s="15" t="n">
        <f aca="false">AA628*N(R628)</f>
        <v>0</v>
      </c>
      <c r="AK628" s="15" t="n">
        <f aca="false">AB628*N(AD628)</f>
        <v>0</v>
      </c>
      <c r="AL628" s="15" t="n">
        <f aca="false">AB628*N(AE628)</f>
        <v>0</v>
      </c>
      <c r="AM628" s="15" t="n">
        <f aca="false">AB628*N(AF628)</f>
        <v>0</v>
      </c>
      <c r="AN628" s="15" t="n">
        <f aca="false">AB628*N(R628)</f>
        <v>0</v>
      </c>
      <c r="AO628" s="21" t="str">
        <f aca="false">IF(F628&lt;&gt;"Y","n/a",IF(AND(N628&lt;&gt;"",OR(Q628&lt;&gt;"",G628="Other / bench",G628="None"),U628&lt;&gt;""),"OK","Missing"))</f>
        <v>Missing</v>
      </c>
    </row>
    <row r="629" customFormat="false" ht="15" hidden="false" customHeight="false" outlineLevel="0" collapsed="false">
      <c r="A629" s="10" t="s">
        <v>574</v>
      </c>
      <c r="B629" s="10" t="s">
        <v>740</v>
      </c>
      <c r="C629" s="10" t="s">
        <v>573</v>
      </c>
      <c r="D629" s="10" t="s">
        <v>743</v>
      </c>
      <c r="E629" s="21" t="str">
        <f aca="false">IF(A629="","",A629&amp;"|"&amp;D629)</f>
        <v>Polyethylene Glycol 4000 (PEG 4000)|Compendial tests</v>
      </c>
      <c r="F629" s="16" t="s">
        <v>662</v>
      </c>
      <c r="G629" s="16" t="s">
        <v>670</v>
      </c>
      <c r="H629" s="16" t="s">
        <v>672</v>
      </c>
      <c r="I629" s="16" t="n">
        <v>1</v>
      </c>
      <c r="J629" s="16"/>
      <c r="K629" s="14"/>
      <c r="L629" s="14"/>
      <c r="M629" s="14"/>
      <c r="N629" s="14"/>
      <c r="O629" s="14"/>
      <c r="P629" s="18" t="n">
        <f aca="false">IF(N629="",0,IF(OR(M629="",O629=""),N629,(M629+4*N629+O629)/6))</f>
        <v>0</v>
      </c>
      <c r="Q629" s="14"/>
      <c r="R629" s="14"/>
      <c r="S629" s="14"/>
      <c r="T629" s="14"/>
      <c r="U629" s="16"/>
      <c r="V629" s="13"/>
      <c r="W629" s="16" t="s">
        <v>667</v>
      </c>
      <c r="X629" s="16"/>
      <c r="Y629" s="16"/>
      <c r="Z629" s="16" t="s">
        <v>744</v>
      </c>
      <c r="AA629" s="22" t="n">
        <f aca="false">IF(F629&lt;&gt;"Y",0,((SUMIF(Products!$E$5:$E$300,A629,Products!$F$5:$F$300)+SUMIF(RM_Lots!$A$5:$A$400,A629,RM_Lots!$D$5:$D$400))+IF(W629="Y",SUMIF(Products!$E$5:$E$300,A629,Products!$G$5:$G$300),0))*(1+N(V629)))</f>
        <v>0</v>
      </c>
      <c r="AB629" s="22" t="n">
        <f aca="false">IF(F629&lt;&gt;"Y",0,((SUMIF(Products!$E$5:$E$300,A629,Products!$K$5:$K$300)+SUMIF(RM_Lots!$A$5:$A$400,A629,RM_Lots!$F$5:$F$400))+IF(W629="Y",SUMIF(Products!$E$5:$E$300,A629,Products!$L$5:$L$300),0))*(1+N(V629)))</f>
        <v>0</v>
      </c>
      <c r="AC629" s="17" t="n">
        <f aca="false">IF(J629="",1,MAX(1,COUNTIFS($J$5:$J$863,J629,$F$5:$F$863,"Y")))</f>
        <v>1</v>
      </c>
      <c r="AD629" s="18" t="n">
        <f aca="false">(MAX(1,N(I629))*(P629+N(S629))+MAX(1,N(I629))*N(K629)/(MAX(1,N(U629))*AC629))*Settings!$B$9</f>
        <v>0</v>
      </c>
      <c r="AE629" s="18" t="n">
        <f aca="false">(MAX(1,N(I629))*N(Q629)+MAX(1,N(I629))*N(L629)/(MAX(1,N(U629))*AC629))*Settings!$B$8</f>
        <v>0</v>
      </c>
      <c r="AF629" s="18" t="n">
        <f aca="false">MAX(1,N(I629))*N(T629)</f>
        <v>0</v>
      </c>
      <c r="AG629" s="15" t="n">
        <f aca="false">AA629*N(AD629)</f>
        <v>0</v>
      </c>
      <c r="AH629" s="15" t="n">
        <f aca="false">AA629*N(AE629)</f>
        <v>0</v>
      </c>
      <c r="AI629" s="15" t="n">
        <f aca="false">AA629*N(AF629)</f>
        <v>0</v>
      </c>
      <c r="AJ629" s="15" t="n">
        <f aca="false">AA629*N(R629)</f>
        <v>0</v>
      </c>
      <c r="AK629" s="15" t="n">
        <f aca="false">AB629*N(AD629)</f>
        <v>0</v>
      </c>
      <c r="AL629" s="15" t="n">
        <f aca="false">AB629*N(AE629)</f>
        <v>0</v>
      </c>
      <c r="AM629" s="15" t="n">
        <f aca="false">AB629*N(AF629)</f>
        <v>0</v>
      </c>
      <c r="AN629" s="15" t="n">
        <f aca="false">AB629*N(R629)</f>
        <v>0</v>
      </c>
      <c r="AO629" s="21" t="str">
        <f aca="false">IF(F629&lt;&gt;"Y","n/a",IF(AND(N629&lt;&gt;"",OR(Q629&lt;&gt;"",G629="Other / bench",G629="None"),U629&lt;&gt;""),"OK","Missing"))</f>
        <v>Missing</v>
      </c>
    </row>
    <row r="630" customFormat="false" ht="15" hidden="false" customHeight="false" outlineLevel="0" collapsed="false">
      <c r="A630" s="10" t="s">
        <v>575</v>
      </c>
      <c r="B630" s="10" t="s">
        <v>740</v>
      </c>
      <c r="C630" s="10" t="s">
        <v>573</v>
      </c>
      <c r="D630" s="10" t="s">
        <v>743</v>
      </c>
      <c r="E630" s="21" t="str">
        <f aca="false">IF(A630="","",A630&amp;"|"&amp;D630)</f>
        <v>Triacetin|Compendial tests</v>
      </c>
      <c r="F630" s="16" t="s">
        <v>662</v>
      </c>
      <c r="G630" s="16" t="s">
        <v>670</v>
      </c>
      <c r="H630" s="16" t="s">
        <v>672</v>
      </c>
      <c r="I630" s="16" t="n">
        <v>1</v>
      </c>
      <c r="J630" s="16"/>
      <c r="K630" s="14"/>
      <c r="L630" s="14"/>
      <c r="M630" s="14"/>
      <c r="N630" s="14"/>
      <c r="O630" s="14"/>
      <c r="P630" s="18" t="n">
        <f aca="false">IF(N630="",0,IF(OR(M630="",O630=""),N630,(M630+4*N630+O630)/6))</f>
        <v>0</v>
      </c>
      <c r="Q630" s="14"/>
      <c r="R630" s="14"/>
      <c r="S630" s="14"/>
      <c r="T630" s="14"/>
      <c r="U630" s="16"/>
      <c r="V630" s="13"/>
      <c r="W630" s="16" t="s">
        <v>667</v>
      </c>
      <c r="X630" s="16"/>
      <c r="Y630" s="16"/>
      <c r="Z630" s="16" t="s">
        <v>744</v>
      </c>
      <c r="AA630" s="22" t="n">
        <f aca="false">IF(F630&lt;&gt;"Y",0,((SUMIF(Products!$E$5:$E$300,A630,Products!$F$5:$F$300)+SUMIF(RM_Lots!$A$5:$A$400,A630,RM_Lots!$D$5:$D$400))+IF(W630="Y",SUMIF(Products!$E$5:$E$300,A630,Products!$G$5:$G$300),0))*(1+N(V630)))</f>
        <v>0</v>
      </c>
      <c r="AB630" s="22" t="n">
        <f aca="false">IF(F630&lt;&gt;"Y",0,((SUMIF(Products!$E$5:$E$300,A630,Products!$K$5:$K$300)+SUMIF(RM_Lots!$A$5:$A$400,A630,RM_Lots!$F$5:$F$400))+IF(W630="Y",SUMIF(Products!$E$5:$E$300,A630,Products!$L$5:$L$300),0))*(1+N(V630)))</f>
        <v>0</v>
      </c>
      <c r="AC630" s="17" t="n">
        <f aca="false">IF(J630="",1,MAX(1,COUNTIFS($J$5:$J$863,J630,$F$5:$F$863,"Y")))</f>
        <v>1</v>
      </c>
      <c r="AD630" s="18" t="n">
        <f aca="false">(MAX(1,N(I630))*(P630+N(S630))+MAX(1,N(I630))*N(K630)/(MAX(1,N(U630))*AC630))*Settings!$B$9</f>
        <v>0</v>
      </c>
      <c r="AE630" s="18" t="n">
        <f aca="false">(MAX(1,N(I630))*N(Q630)+MAX(1,N(I630))*N(L630)/(MAX(1,N(U630))*AC630))*Settings!$B$8</f>
        <v>0</v>
      </c>
      <c r="AF630" s="18" t="n">
        <f aca="false">MAX(1,N(I630))*N(T630)</f>
        <v>0</v>
      </c>
      <c r="AG630" s="15" t="n">
        <f aca="false">AA630*N(AD630)</f>
        <v>0</v>
      </c>
      <c r="AH630" s="15" t="n">
        <f aca="false">AA630*N(AE630)</f>
        <v>0</v>
      </c>
      <c r="AI630" s="15" t="n">
        <f aca="false">AA630*N(AF630)</f>
        <v>0</v>
      </c>
      <c r="AJ630" s="15" t="n">
        <f aca="false">AA630*N(R630)</f>
        <v>0</v>
      </c>
      <c r="AK630" s="15" t="n">
        <f aca="false">AB630*N(AD630)</f>
        <v>0</v>
      </c>
      <c r="AL630" s="15" t="n">
        <f aca="false">AB630*N(AE630)</f>
        <v>0</v>
      </c>
      <c r="AM630" s="15" t="n">
        <f aca="false">AB630*N(AF630)</f>
        <v>0</v>
      </c>
      <c r="AN630" s="15" t="n">
        <f aca="false">AB630*N(R630)</f>
        <v>0</v>
      </c>
      <c r="AO630" s="21" t="str">
        <f aca="false">IF(F630&lt;&gt;"Y","n/a",IF(AND(N630&lt;&gt;"",OR(Q630&lt;&gt;"",G630="Other / bench",G630="None"),U630&lt;&gt;""),"OK","Missing"))</f>
        <v>Missing</v>
      </c>
    </row>
    <row r="631" customFormat="false" ht="15" hidden="false" customHeight="false" outlineLevel="0" collapsed="false">
      <c r="A631" s="10" t="s">
        <v>576</v>
      </c>
      <c r="B631" s="10" t="s">
        <v>740</v>
      </c>
      <c r="C631" s="10" t="s">
        <v>577</v>
      </c>
      <c r="D631" s="10" t="s">
        <v>743</v>
      </c>
      <c r="E631" s="21" t="str">
        <f aca="false">IF(A631="","",A631&amp;"|"&amp;D631)</f>
        <v>Glycerine|Compendial tests</v>
      </c>
      <c r="F631" s="16" t="s">
        <v>662</v>
      </c>
      <c r="G631" s="16" t="s">
        <v>670</v>
      </c>
      <c r="H631" s="16" t="s">
        <v>672</v>
      </c>
      <c r="I631" s="16" t="n">
        <v>1</v>
      </c>
      <c r="J631" s="16"/>
      <c r="K631" s="14"/>
      <c r="L631" s="14"/>
      <c r="M631" s="14"/>
      <c r="N631" s="14"/>
      <c r="O631" s="14"/>
      <c r="P631" s="18" t="n">
        <f aca="false">IF(N631="",0,IF(OR(M631="",O631=""),N631,(M631+4*N631+O631)/6))</f>
        <v>0</v>
      </c>
      <c r="Q631" s="14"/>
      <c r="R631" s="14"/>
      <c r="S631" s="14"/>
      <c r="T631" s="14"/>
      <c r="U631" s="16"/>
      <c r="V631" s="13"/>
      <c r="W631" s="16" t="s">
        <v>667</v>
      </c>
      <c r="X631" s="16"/>
      <c r="Y631" s="16"/>
      <c r="Z631" s="16" t="s">
        <v>744</v>
      </c>
      <c r="AA631" s="22" t="n">
        <f aca="false">IF(F631&lt;&gt;"Y",0,((SUMIF(Products!$E$5:$E$300,A631,Products!$F$5:$F$300)+SUMIF(RM_Lots!$A$5:$A$400,A631,RM_Lots!$D$5:$D$400))+IF(W631="Y",SUMIF(Products!$E$5:$E$300,A631,Products!$G$5:$G$300),0))*(1+N(V631)))</f>
        <v>0</v>
      </c>
      <c r="AB631" s="22" t="n">
        <f aca="false">IF(F631&lt;&gt;"Y",0,((SUMIF(Products!$E$5:$E$300,A631,Products!$K$5:$K$300)+SUMIF(RM_Lots!$A$5:$A$400,A631,RM_Lots!$F$5:$F$400))+IF(W631="Y",SUMIF(Products!$E$5:$E$300,A631,Products!$L$5:$L$300),0))*(1+N(V631)))</f>
        <v>0</v>
      </c>
      <c r="AC631" s="17" t="n">
        <f aca="false">IF(J631="",1,MAX(1,COUNTIFS($J$5:$J$863,J631,$F$5:$F$863,"Y")))</f>
        <v>1</v>
      </c>
      <c r="AD631" s="18" t="n">
        <f aca="false">(MAX(1,N(I631))*(P631+N(S631))+MAX(1,N(I631))*N(K631)/(MAX(1,N(U631))*AC631))*Settings!$B$9</f>
        <v>0</v>
      </c>
      <c r="AE631" s="18" t="n">
        <f aca="false">(MAX(1,N(I631))*N(Q631)+MAX(1,N(I631))*N(L631)/(MAX(1,N(U631))*AC631))*Settings!$B$8</f>
        <v>0</v>
      </c>
      <c r="AF631" s="18" t="n">
        <f aca="false">MAX(1,N(I631))*N(T631)</f>
        <v>0</v>
      </c>
      <c r="AG631" s="15" t="n">
        <f aca="false">AA631*N(AD631)</f>
        <v>0</v>
      </c>
      <c r="AH631" s="15" t="n">
        <f aca="false">AA631*N(AE631)</f>
        <v>0</v>
      </c>
      <c r="AI631" s="15" t="n">
        <f aca="false">AA631*N(AF631)</f>
        <v>0</v>
      </c>
      <c r="AJ631" s="15" t="n">
        <f aca="false">AA631*N(R631)</f>
        <v>0</v>
      </c>
      <c r="AK631" s="15" t="n">
        <f aca="false">AB631*N(AD631)</f>
        <v>0</v>
      </c>
      <c r="AL631" s="15" t="n">
        <f aca="false">AB631*N(AE631)</f>
        <v>0</v>
      </c>
      <c r="AM631" s="15" t="n">
        <f aca="false">AB631*N(AF631)</f>
        <v>0</v>
      </c>
      <c r="AN631" s="15" t="n">
        <f aca="false">AB631*N(R631)</f>
        <v>0</v>
      </c>
      <c r="AO631" s="21" t="str">
        <f aca="false">IF(F631&lt;&gt;"Y","n/a",IF(AND(N631&lt;&gt;"",OR(Q631&lt;&gt;"",G631="Other / bench",G631="None"),U631&lt;&gt;""),"OK","Missing"))</f>
        <v>Missing</v>
      </c>
    </row>
    <row r="632" customFormat="false" ht="15" hidden="false" customHeight="false" outlineLevel="0" collapsed="false">
      <c r="A632" s="10" t="s">
        <v>578</v>
      </c>
      <c r="B632" s="10" t="s">
        <v>740</v>
      </c>
      <c r="C632" s="10" t="s">
        <v>577</v>
      </c>
      <c r="D632" s="10" t="s">
        <v>743</v>
      </c>
      <c r="E632" s="21" t="str">
        <f aca="false">IF(A632="","",A632&amp;"|"&amp;D632)</f>
        <v>Propylene Glycol|Compendial tests</v>
      </c>
      <c r="F632" s="16" t="s">
        <v>662</v>
      </c>
      <c r="G632" s="16" t="s">
        <v>670</v>
      </c>
      <c r="H632" s="16" t="s">
        <v>672</v>
      </c>
      <c r="I632" s="16" t="n">
        <v>1</v>
      </c>
      <c r="J632" s="16"/>
      <c r="K632" s="14"/>
      <c r="L632" s="14"/>
      <c r="M632" s="14"/>
      <c r="N632" s="14"/>
      <c r="O632" s="14"/>
      <c r="P632" s="18" t="n">
        <f aca="false">IF(N632="",0,IF(OR(M632="",O632=""),N632,(M632+4*N632+O632)/6))</f>
        <v>0</v>
      </c>
      <c r="Q632" s="14"/>
      <c r="R632" s="14"/>
      <c r="S632" s="14"/>
      <c r="T632" s="14"/>
      <c r="U632" s="16"/>
      <c r="V632" s="13"/>
      <c r="W632" s="16" t="s">
        <v>667</v>
      </c>
      <c r="X632" s="16"/>
      <c r="Y632" s="16"/>
      <c r="Z632" s="16" t="s">
        <v>744</v>
      </c>
      <c r="AA632" s="22" t="n">
        <f aca="false">IF(F632&lt;&gt;"Y",0,((SUMIF(Products!$E$5:$E$300,A632,Products!$F$5:$F$300)+SUMIF(RM_Lots!$A$5:$A$400,A632,RM_Lots!$D$5:$D$400))+IF(W632="Y",SUMIF(Products!$E$5:$E$300,A632,Products!$G$5:$G$300),0))*(1+N(V632)))</f>
        <v>0</v>
      </c>
      <c r="AB632" s="22" t="n">
        <f aca="false">IF(F632&lt;&gt;"Y",0,((SUMIF(Products!$E$5:$E$300,A632,Products!$K$5:$K$300)+SUMIF(RM_Lots!$A$5:$A$400,A632,RM_Lots!$F$5:$F$400))+IF(W632="Y",SUMIF(Products!$E$5:$E$300,A632,Products!$L$5:$L$300),0))*(1+N(V632)))</f>
        <v>0</v>
      </c>
      <c r="AC632" s="17" t="n">
        <f aca="false">IF(J632="",1,MAX(1,COUNTIFS($J$5:$J$863,J632,$F$5:$F$863,"Y")))</f>
        <v>1</v>
      </c>
      <c r="AD632" s="18" t="n">
        <f aca="false">(MAX(1,N(I632))*(P632+N(S632))+MAX(1,N(I632))*N(K632)/(MAX(1,N(U632))*AC632))*Settings!$B$9</f>
        <v>0</v>
      </c>
      <c r="AE632" s="18" t="n">
        <f aca="false">(MAX(1,N(I632))*N(Q632)+MAX(1,N(I632))*N(L632)/(MAX(1,N(U632))*AC632))*Settings!$B$8</f>
        <v>0</v>
      </c>
      <c r="AF632" s="18" t="n">
        <f aca="false">MAX(1,N(I632))*N(T632)</f>
        <v>0</v>
      </c>
      <c r="AG632" s="15" t="n">
        <f aca="false">AA632*N(AD632)</f>
        <v>0</v>
      </c>
      <c r="AH632" s="15" t="n">
        <f aca="false">AA632*N(AE632)</f>
        <v>0</v>
      </c>
      <c r="AI632" s="15" t="n">
        <f aca="false">AA632*N(AF632)</f>
        <v>0</v>
      </c>
      <c r="AJ632" s="15" t="n">
        <f aca="false">AA632*N(R632)</f>
        <v>0</v>
      </c>
      <c r="AK632" s="15" t="n">
        <f aca="false">AB632*N(AD632)</f>
        <v>0</v>
      </c>
      <c r="AL632" s="15" t="n">
        <f aca="false">AB632*N(AE632)</f>
        <v>0</v>
      </c>
      <c r="AM632" s="15" t="n">
        <f aca="false">AB632*N(AF632)</f>
        <v>0</v>
      </c>
      <c r="AN632" s="15" t="n">
        <f aca="false">AB632*N(R632)</f>
        <v>0</v>
      </c>
      <c r="AO632" s="21" t="str">
        <f aca="false">IF(F632&lt;&gt;"Y","n/a",IF(AND(N632&lt;&gt;"",OR(Q632&lt;&gt;"",G632="Other / bench",G632="None"),U632&lt;&gt;""),"OK","Missing"))</f>
        <v>Missing</v>
      </c>
    </row>
    <row r="633" customFormat="false" ht="15" hidden="false" customHeight="false" outlineLevel="0" collapsed="false">
      <c r="A633" s="10" t="s">
        <v>579</v>
      </c>
      <c r="B633" s="10" t="s">
        <v>740</v>
      </c>
      <c r="C633" s="10" t="s">
        <v>580</v>
      </c>
      <c r="D633" s="10" t="s">
        <v>743</v>
      </c>
      <c r="E633" s="21" t="str">
        <f aca="false">IF(A633="","",A633&amp;"|"&amp;D633)</f>
        <v>Benzalkonium Alcohol 50%|Compendial tests</v>
      </c>
      <c r="F633" s="16" t="s">
        <v>662</v>
      </c>
      <c r="G633" s="16" t="s">
        <v>670</v>
      </c>
      <c r="H633" s="16" t="s">
        <v>672</v>
      </c>
      <c r="I633" s="16" t="n">
        <v>1</v>
      </c>
      <c r="J633" s="16"/>
      <c r="K633" s="14"/>
      <c r="L633" s="14"/>
      <c r="M633" s="14"/>
      <c r="N633" s="14"/>
      <c r="O633" s="14"/>
      <c r="P633" s="18" t="n">
        <f aca="false">IF(N633="",0,IF(OR(M633="",O633=""),N633,(M633+4*N633+O633)/6))</f>
        <v>0</v>
      </c>
      <c r="Q633" s="14"/>
      <c r="R633" s="14"/>
      <c r="S633" s="14"/>
      <c r="T633" s="14"/>
      <c r="U633" s="16"/>
      <c r="V633" s="13"/>
      <c r="W633" s="16" t="s">
        <v>667</v>
      </c>
      <c r="X633" s="16"/>
      <c r="Y633" s="16"/>
      <c r="Z633" s="16" t="s">
        <v>744</v>
      </c>
      <c r="AA633" s="22" t="n">
        <f aca="false">IF(F633&lt;&gt;"Y",0,((SUMIF(Products!$E$5:$E$300,A633,Products!$F$5:$F$300)+SUMIF(RM_Lots!$A$5:$A$400,A633,RM_Lots!$D$5:$D$400))+IF(W633="Y",SUMIF(Products!$E$5:$E$300,A633,Products!$G$5:$G$300),0))*(1+N(V633)))</f>
        <v>0</v>
      </c>
      <c r="AB633" s="22" t="n">
        <f aca="false">IF(F633&lt;&gt;"Y",0,((SUMIF(Products!$E$5:$E$300,A633,Products!$K$5:$K$300)+SUMIF(RM_Lots!$A$5:$A$400,A633,RM_Lots!$F$5:$F$400))+IF(W633="Y",SUMIF(Products!$E$5:$E$300,A633,Products!$L$5:$L$300),0))*(1+N(V633)))</f>
        <v>0</v>
      </c>
      <c r="AC633" s="17" t="n">
        <f aca="false">IF(J633="",1,MAX(1,COUNTIFS($J$5:$J$863,J633,$F$5:$F$863,"Y")))</f>
        <v>1</v>
      </c>
      <c r="AD633" s="18" t="n">
        <f aca="false">(MAX(1,N(I633))*(P633+N(S633))+MAX(1,N(I633))*N(K633)/(MAX(1,N(U633))*AC633))*Settings!$B$9</f>
        <v>0</v>
      </c>
      <c r="AE633" s="18" t="n">
        <f aca="false">(MAX(1,N(I633))*N(Q633)+MAX(1,N(I633))*N(L633)/(MAX(1,N(U633))*AC633))*Settings!$B$8</f>
        <v>0</v>
      </c>
      <c r="AF633" s="18" t="n">
        <f aca="false">MAX(1,N(I633))*N(T633)</f>
        <v>0</v>
      </c>
      <c r="AG633" s="15" t="n">
        <f aca="false">AA633*N(AD633)</f>
        <v>0</v>
      </c>
      <c r="AH633" s="15" t="n">
        <f aca="false">AA633*N(AE633)</f>
        <v>0</v>
      </c>
      <c r="AI633" s="15" t="n">
        <f aca="false">AA633*N(AF633)</f>
        <v>0</v>
      </c>
      <c r="AJ633" s="15" t="n">
        <f aca="false">AA633*N(R633)</f>
        <v>0</v>
      </c>
      <c r="AK633" s="15" t="n">
        <f aca="false">AB633*N(AD633)</f>
        <v>0</v>
      </c>
      <c r="AL633" s="15" t="n">
        <f aca="false">AB633*N(AE633)</f>
        <v>0</v>
      </c>
      <c r="AM633" s="15" t="n">
        <f aca="false">AB633*N(AF633)</f>
        <v>0</v>
      </c>
      <c r="AN633" s="15" t="n">
        <f aca="false">AB633*N(R633)</f>
        <v>0</v>
      </c>
      <c r="AO633" s="21" t="str">
        <f aca="false">IF(F633&lt;&gt;"Y","n/a",IF(AND(N633&lt;&gt;"",OR(Q633&lt;&gt;"",G633="Other / bench",G633="None"),U633&lt;&gt;""),"OK","Missing"))</f>
        <v>Missing</v>
      </c>
    </row>
    <row r="634" customFormat="false" ht="15" hidden="false" customHeight="false" outlineLevel="0" collapsed="false">
      <c r="A634" s="10" t="s">
        <v>581</v>
      </c>
      <c r="B634" s="10" t="s">
        <v>740</v>
      </c>
      <c r="C634" s="10" t="s">
        <v>580</v>
      </c>
      <c r="D634" s="10" t="s">
        <v>743</v>
      </c>
      <c r="E634" s="21" t="str">
        <f aca="false">IF(A634="","",A634&amp;"|"&amp;D634)</f>
        <v>Methyl Paraben|Compendial tests</v>
      </c>
      <c r="F634" s="16" t="s">
        <v>662</v>
      </c>
      <c r="G634" s="16" t="s">
        <v>670</v>
      </c>
      <c r="H634" s="16" t="s">
        <v>672</v>
      </c>
      <c r="I634" s="16" t="n">
        <v>1</v>
      </c>
      <c r="J634" s="16"/>
      <c r="K634" s="14"/>
      <c r="L634" s="14"/>
      <c r="M634" s="14"/>
      <c r="N634" s="14"/>
      <c r="O634" s="14"/>
      <c r="P634" s="18" t="n">
        <f aca="false">IF(N634="",0,IF(OR(M634="",O634=""),N634,(M634+4*N634+O634)/6))</f>
        <v>0</v>
      </c>
      <c r="Q634" s="14"/>
      <c r="R634" s="14"/>
      <c r="S634" s="14"/>
      <c r="T634" s="14"/>
      <c r="U634" s="16"/>
      <c r="V634" s="13"/>
      <c r="W634" s="16" t="s">
        <v>667</v>
      </c>
      <c r="X634" s="16"/>
      <c r="Y634" s="16"/>
      <c r="Z634" s="16" t="s">
        <v>744</v>
      </c>
      <c r="AA634" s="22" t="n">
        <f aca="false">IF(F634&lt;&gt;"Y",0,((SUMIF(Products!$E$5:$E$300,A634,Products!$F$5:$F$300)+SUMIF(RM_Lots!$A$5:$A$400,A634,RM_Lots!$D$5:$D$400))+IF(W634="Y",SUMIF(Products!$E$5:$E$300,A634,Products!$G$5:$G$300),0))*(1+N(V634)))</f>
        <v>0</v>
      </c>
      <c r="AB634" s="22" t="n">
        <f aca="false">IF(F634&lt;&gt;"Y",0,((SUMIF(Products!$E$5:$E$300,A634,Products!$K$5:$K$300)+SUMIF(RM_Lots!$A$5:$A$400,A634,RM_Lots!$F$5:$F$400))+IF(W634="Y",SUMIF(Products!$E$5:$E$300,A634,Products!$L$5:$L$300),0))*(1+N(V634)))</f>
        <v>0</v>
      </c>
      <c r="AC634" s="17" t="n">
        <f aca="false">IF(J634="",1,MAX(1,COUNTIFS($J$5:$J$863,J634,$F$5:$F$863,"Y")))</f>
        <v>1</v>
      </c>
      <c r="AD634" s="18" t="n">
        <f aca="false">(MAX(1,N(I634))*(P634+N(S634))+MAX(1,N(I634))*N(K634)/(MAX(1,N(U634))*AC634))*Settings!$B$9</f>
        <v>0</v>
      </c>
      <c r="AE634" s="18" t="n">
        <f aca="false">(MAX(1,N(I634))*N(Q634)+MAX(1,N(I634))*N(L634)/(MAX(1,N(U634))*AC634))*Settings!$B$8</f>
        <v>0</v>
      </c>
      <c r="AF634" s="18" t="n">
        <f aca="false">MAX(1,N(I634))*N(T634)</f>
        <v>0</v>
      </c>
      <c r="AG634" s="15" t="n">
        <f aca="false">AA634*N(AD634)</f>
        <v>0</v>
      </c>
      <c r="AH634" s="15" t="n">
        <f aca="false">AA634*N(AE634)</f>
        <v>0</v>
      </c>
      <c r="AI634" s="15" t="n">
        <f aca="false">AA634*N(AF634)</f>
        <v>0</v>
      </c>
      <c r="AJ634" s="15" t="n">
        <f aca="false">AA634*N(R634)</f>
        <v>0</v>
      </c>
      <c r="AK634" s="15" t="n">
        <f aca="false">AB634*N(AD634)</f>
        <v>0</v>
      </c>
      <c r="AL634" s="15" t="n">
        <f aca="false">AB634*N(AE634)</f>
        <v>0</v>
      </c>
      <c r="AM634" s="15" t="n">
        <f aca="false">AB634*N(AF634)</f>
        <v>0</v>
      </c>
      <c r="AN634" s="15" t="n">
        <f aca="false">AB634*N(R634)</f>
        <v>0</v>
      </c>
      <c r="AO634" s="21" t="str">
        <f aca="false">IF(F634&lt;&gt;"Y","n/a",IF(AND(N634&lt;&gt;"",OR(Q634&lt;&gt;"",G634="Other / bench",G634="None"),U634&lt;&gt;""),"OK","Missing"))</f>
        <v>Missing</v>
      </c>
    </row>
    <row r="635" customFormat="false" ht="15" hidden="false" customHeight="false" outlineLevel="0" collapsed="false">
      <c r="A635" s="10" t="s">
        <v>582</v>
      </c>
      <c r="B635" s="10" t="s">
        <v>740</v>
      </c>
      <c r="C635" s="10" t="s">
        <v>580</v>
      </c>
      <c r="D635" s="10" t="s">
        <v>743</v>
      </c>
      <c r="E635" s="21" t="str">
        <f aca="false">IF(A635="","",A635&amp;"|"&amp;D635)</f>
        <v>Propyl Paraben|Compendial tests</v>
      </c>
      <c r="F635" s="16" t="s">
        <v>662</v>
      </c>
      <c r="G635" s="16" t="s">
        <v>670</v>
      </c>
      <c r="H635" s="16" t="s">
        <v>672</v>
      </c>
      <c r="I635" s="16" t="n">
        <v>1</v>
      </c>
      <c r="J635" s="16"/>
      <c r="K635" s="14"/>
      <c r="L635" s="14"/>
      <c r="M635" s="14"/>
      <c r="N635" s="14"/>
      <c r="O635" s="14"/>
      <c r="P635" s="18" t="n">
        <f aca="false">IF(N635="",0,IF(OR(M635="",O635=""),N635,(M635+4*N635+O635)/6))</f>
        <v>0</v>
      </c>
      <c r="Q635" s="14"/>
      <c r="R635" s="14"/>
      <c r="S635" s="14"/>
      <c r="T635" s="14"/>
      <c r="U635" s="16"/>
      <c r="V635" s="13"/>
      <c r="W635" s="16" t="s">
        <v>667</v>
      </c>
      <c r="X635" s="16"/>
      <c r="Y635" s="16"/>
      <c r="Z635" s="16" t="s">
        <v>744</v>
      </c>
      <c r="AA635" s="22" t="n">
        <f aca="false">IF(F635&lt;&gt;"Y",0,((SUMIF(Products!$E$5:$E$300,A635,Products!$F$5:$F$300)+SUMIF(RM_Lots!$A$5:$A$400,A635,RM_Lots!$D$5:$D$400))+IF(W635="Y",SUMIF(Products!$E$5:$E$300,A635,Products!$G$5:$G$300),0))*(1+N(V635)))</f>
        <v>0</v>
      </c>
      <c r="AB635" s="22" t="n">
        <f aca="false">IF(F635&lt;&gt;"Y",0,((SUMIF(Products!$E$5:$E$300,A635,Products!$K$5:$K$300)+SUMIF(RM_Lots!$A$5:$A$400,A635,RM_Lots!$F$5:$F$400))+IF(W635="Y",SUMIF(Products!$E$5:$E$300,A635,Products!$L$5:$L$300),0))*(1+N(V635)))</f>
        <v>0</v>
      </c>
      <c r="AC635" s="17" t="n">
        <f aca="false">IF(J635="",1,MAX(1,COUNTIFS($J$5:$J$863,J635,$F$5:$F$863,"Y")))</f>
        <v>1</v>
      </c>
      <c r="AD635" s="18" t="n">
        <f aca="false">(MAX(1,N(I635))*(P635+N(S635))+MAX(1,N(I635))*N(K635)/(MAX(1,N(U635))*AC635))*Settings!$B$9</f>
        <v>0</v>
      </c>
      <c r="AE635" s="18" t="n">
        <f aca="false">(MAX(1,N(I635))*N(Q635)+MAX(1,N(I635))*N(L635)/(MAX(1,N(U635))*AC635))*Settings!$B$8</f>
        <v>0</v>
      </c>
      <c r="AF635" s="18" t="n">
        <f aca="false">MAX(1,N(I635))*N(T635)</f>
        <v>0</v>
      </c>
      <c r="AG635" s="15" t="n">
        <f aca="false">AA635*N(AD635)</f>
        <v>0</v>
      </c>
      <c r="AH635" s="15" t="n">
        <f aca="false">AA635*N(AE635)</f>
        <v>0</v>
      </c>
      <c r="AI635" s="15" t="n">
        <f aca="false">AA635*N(AF635)</f>
        <v>0</v>
      </c>
      <c r="AJ635" s="15" t="n">
        <f aca="false">AA635*N(R635)</f>
        <v>0</v>
      </c>
      <c r="AK635" s="15" t="n">
        <f aca="false">AB635*N(AD635)</f>
        <v>0</v>
      </c>
      <c r="AL635" s="15" t="n">
        <f aca="false">AB635*N(AE635)</f>
        <v>0</v>
      </c>
      <c r="AM635" s="15" t="n">
        <f aca="false">AB635*N(AF635)</f>
        <v>0</v>
      </c>
      <c r="AN635" s="15" t="n">
        <f aca="false">AB635*N(R635)</f>
        <v>0</v>
      </c>
      <c r="AO635" s="21" t="str">
        <f aca="false">IF(F635&lt;&gt;"Y","n/a",IF(AND(N635&lt;&gt;"",OR(Q635&lt;&gt;"",G635="Other / bench",G635="None"),U635&lt;&gt;""),"OK","Missing"))</f>
        <v>Missing</v>
      </c>
    </row>
    <row r="636" customFormat="false" ht="15" hidden="false" customHeight="false" outlineLevel="0" collapsed="false">
      <c r="A636" s="10" t="s">
        <v>583</v>
      </c>
      <c r="B636" s="10" t="s">
        <v>740</v>
      </c>
      <c r="C636" s="10" t="s">
        <v>580</v>
      </c>
      <c r="D636" s="10" t="s">
        <v>743</v>
      </c>
      <c r="E636" s="21" t="str">
        <f aca="false">IF(A636="","",A636&amp;"|"&amp;D636)</f>
        <v>Sodium Benzoate|Compendial tests</v>
      </c>
      <c r="F636" s="16" t="s">
        <v>662</v>
      </c>
      <c r="G636" s="16" t="s">
        <v>670</v>
      </c>
      <c r="H636" s="16" t="s">
        <v>672</v>
      </c>
      <c r="I636" s="16" t="n">
        <v>1</v>
      </c>
      <c r="J636" s="16"/>
      <c r="K636" s="14"/>
      <c r="L636" s="14"/>
      <c r="M636" s="14"/>
      <c r="N636" s="14"/>
      <c r="O636" s="14"/>
      <c r="P636" s="18" t="n">
        <f aca="false">IF(N636="",0,IF(OR(M636="",O636=""),N636,(M636+4*N636+O636)/6))</f>
        <v>0</v>
      </c>
      <c r="Q636" s="14"/>
      <c r="R636" s="14"/>
      <c r="S636" s="14"/>
      <c r="T636" s="14"/>
      <c r="U636" s="16"/>
      <c r="V636" s="13"/>
      <c r="W636" s="16" t="s">
        <v>667</v>
      </c>
      <c r="X636" s="16"/>
      <c r="Y636" s="16"/>
      <c r="Z636" s="16" t="s">
        <v>744</v>
      </c>
      <c r="AA636" s="22" t="n">
        <f aca="false">IF(F636&lt;&gt;"Y",0,((SUMIF(Products!$E$5:$E$300,A636,Products!$F$5:$F$300)+SUMIF(RM_Lots!$A$5:$A$400,A636,RM_Lots!$D$5:$D$400))+IF(W636="Y",SUMIF(Products!$E$5:$E$300,A636,Products!$G$5:$G$300),0))*(1+N(V636)))</f>
        <v>0</v>
      </c>
      <c r="AB636" s="22" t="n">
        <f aca="false">IF(F636&lt;&gt;"Y",0,((SUMIF(Products!$E$5:$E$300,A636,Products!$K$5:$K$300)+SUMIF(RM_Lots!$A$5:$A$400,A636,RM_Lots!$F$5:$F$400))+IF(W636="Y",SUMIF(Products!$E$5:$E$300,A636,Products!$L$5:$L$300),0))*(1+N(V636)))</f>
        <v>0</v>
      </c>
      <c r="AC636" s="17" t="n">
        <f aca="false">IF(J636="",1,MAX(1,COUNTIFS($J$5:$J$863,J636,$F$5:$F$863,"Y")))</f>
        <v>1</v>
      </c>
      <c r="AD636" s="18" t="n">
        <f aca="false">(MAX(1,N(I636))*(P636+N(S636))+MAX(1,N(I636))*N(K636)/(MAX(1,N(U636))*AC636))*Settings!$B$9</f>
        <v>0</v>
      </c>
      <c r="AE636" s="18" t="n">
        <f aca="false">(MAX(1,N(I636))*N(Q636)+MAX(1,N(I636))*N(L636)/(MAX(1,N(U636))*AC636))*Settings!$B$8</f>
        <v>0</v>
      </c>
      <c r="AF636" s="18" t="n">
        <f aca="false">MAX(1,N(I636))*N(T636)</f>
        <v>0</v>
      </c>
      <c r="AG636" s="15" t="n">
        <f aca="false">AA636*N(AD636)</f>
        <v>0</v>
      </c>
      <c r="AH636" s="15" t="n">
        <f aca="false">AA636*N(AE636)</f>
        <v>0</v>
      </c>
      <c r="AI636" s="15" t="n">
        <f aca="false">AA636*N(AF636)</f>
        <v>0</v>
      </c>
      <c r="AJ636" s="15" t="n">
        <f aca="false">AA636*N(R636)</f>
        <v>0</v>
      </c>
      <c r="AK636" s="15" t="n">
        <f aca="false">AB636*N(AD636)</f>
        <v>0</v>
      </c>
      <c r="AL636" s="15" t="n">
        <f aca="false">AB636*N(AE636)</f>
        <v>0</v>
      </c>
      <c r="AM636" s="15" t="n">
        <f aca="false">AB636*N(AF636)</f>
        <v>0</v>
      </c>
      <c r="AN636" s="15" t="n">
        <f aca="false">AB636*N(R636)</f>
        <v>0</v>
      </c>
      <c r="AO636" s="21" t="str">
        <f aca="false">IF(F636&lt;&gt;"Y","n/a",IF(AND(N636&lt;&gt;"",OR(Q636&lt;&gt;"",G636="Other / bench",G636="None"),U636&lt;&gt;""),"OK","Missing"))</f>
        <v>Missing</v>
      </c>
    </row>
    <row r="637" customFormat="false" ht="15" hidden="false" customHeight="false" outlineLevel="0" collapsed="false">
      <c r="A637" s="10" t="s">
        <v>584</v>
      </c>
      <c r="B637" s="10" t="s">
        <v>740</v>
      </c>
      <c r="C637" s="10" t="s">
        <v>585</v>
      </c>
      <c r="D637" s="10" t="s">
        <v>743</v>
      </c>
      <c r="E637" s="21" t="str">
        <f aca="false">IF(A637="","",A637&amp;"|"&amp;D637)</f>
        <v>Glyceryl Behenate (Compritol 888 ATO)|Compendial tests</v>
      </c>
      <c r="F637" s="16" t="s">
        <v>662</v>
      </c>
      <c r="G637" s="16" t="s">
        <v>670</v>
      </c>
      <c r="H637" s="16" t="s">
        <v>672</v>
      </c>
      <c r="I637" s="16" t="n">
        <v>1</v>
      </c>
      <c r="J637" s="16"/>
      <c r="K637" s="14"/>
      <c r="L637" s="14"/>
      <c r="M637" s="14"/>
      <c r="N637" s="14"/>
      <c r="O637" s="14"/>
      <c r="P637" s="18" t="n">
        <f aca="false">IF(N637="",0,IF(OR(M637="",O637=""),N637,(M637+4*N637+O637)/6))</f>
        <v>0</v>
      </c>
      <c r="Q637" s="14"/>
      <c r="R637" s="14"/>
      <c r="S637" s="14"/>
      <c r="T637" s="14"/>
      <c r="U637" s="16"/>
      <c r="V637" s="13"/>
      <c r="W637" s="16" t="s">
        <v>667</v>
      </c>
      <c r="X637" s="16"/>
      <c r="Y637" s="16"/>
      <c r="Z637" s="16" t="s">
        <v>744</v>
      </c>
      <c r="AA637" s="22" t="n">
        <f aca="false">IF(F637&lt;&gt;"Y",0,((SUMIF(Products!$E$5:$E$300,A637,Products!$F$5:$F$300)+SUMIF(RM_Lots!$A$5:$A$400,A637,RM_Lots!$D$5:$D$400))+IF(W637="Y",SUMIF(Products!$E$5:$E$300,A637,Products!$G$5:$G$300),0))*(1+N(V637)))</f>
        <v>0</v>
      </c>
      <c r="AB637" s="22" t="n">
        <f aca="false">IF(F637&lt;&gt;"Y",0,((SUMIF(Products!$E$5:$E$300,A637,Products!$K$5:$K$300)+SUMIF(RM_Lots!$A$5:$A$400,A637,RM_Lots!$F$5:$F$400))+IF(W637="Y",SUMIF(Products!$E$5:$E$300,A637,Products!$L$5:$L$300),0))*(1+N(V637)))</f>
        <v>0</v>
      </c>
      <c r="AC637" s="17" t="n">
        <f aca="false">IF(J637="",1,MAX(1,COUNTIFS($J$5:$J$863,J637,$F$5:$F$863,"Y")))</f>
        <v>1</v>
      </c>
      <c r="AD637" s="18" t="n">
        <f aca="false">(MAX(1,N(I637))*(P637+N(S637))+MAX(1,N(I637))*N(K637)/(MAX(1,N(U637))*AC637))*Settings!$B$9</f>
        <v>0</v>
      </c>
      <c r="AE637" s="18" t="n">
        <f aca="false">(MAX(1,N(I637))*N(Q637)+MAX(1,N(I637))*N(L637)/(MAX(1,N(U637))*AC637))*Settings!$B$8</f>
        <v>0</v>
      </c>
      <c r="AF637" s="18" t="n">
        <f aca="false">MAX(1,N(I637))*N(T637)</f>
        <v>0</v>
      </c>
      <c r="AG637" s="15" t="n">
        <f aca="false">AA637*N(AD637)</f>
        <v>0</v>
      </c>
      <c r="AH637" s="15" t="n">
        <f aca="false">AA637*N(AE637)</f>
        <v>0</v>
      </c>
      <c r="AI637" s="15" t="n">
        <f aca="false">AA637*N(AF637)</f>
        <v>0</v>
      </c>
      <c r="AJ637" s="15" t="n">
        <f aca="false">AA637*N(R637)</f>
        <v>0</v>
      </c>
      <c r="AK637" s="15" t="n">
        <f aca="false">AB637*N(AD637)</f>
        <v>0</v>
      </c>
      <c r="AL637" s="15" t="n">
        <f aca="false">AB637*N(AE637)</f>
        <v>0</v>
      </c>
      <c r="AM637" s="15" t="n">
        <f aca="false">AB637*N(AF637)</f>
        <v>0</v>
      </c>
      <c r="AN637" s="15" t="n">
        <f aca="false">AB637*N(R637)</f>
        <v>0</v>
      </c>
      <c r="AO637" s="21" t="str">
        <f aca="false">IF(F637&lt;&gt;"Y","n/a",IF(AND(N637&lt;&gt;"",OR(Q637&lt;&gt;"",G637="Other / bench",G637="None"),U637&lt;&gt;""),"OK","Missing"))</f>
        <v>Missing</v>
      </c>
    </row>
    <row r="638" customFormat="false" ht="15" hidden="false" customHeight="false" outlineLevel="0" collapsed="false">
      <c r="A638" s="10" t="s">
        <v>586</v>
      </c>
      <c r="B638" s="10" t="s">
        <v>740</v>
      </c>
      <c r="C638" s="10" t="s">
        <v>585</v>
      </c>
      <c r="D638" s="10" t="s">
        <v>743</v>
      </c>
      <c r="E638" s="21" t="str">
        <f aca="false">IF(A638="","",A638&amp;"|"&amp;D638)</f>
        <v>HPMC K100M (100,000 cps CR)|Compendial tests</v>
      </c>
      <c r="F638" s="16" t="s">
        <v>662</v>
      </c>
      <c r="G638" s="16" t="s">
        <v>670</v>
      </c>
      <c r="H638" s="16" t="s">
        <v>672</v>
      </c>
      <c r="I638" s="16" t="n">
        <v>1</v>
      </c>
      <c r="J638" s="16"/>
      <c r="K638" s="14"/>
      <c r="L638" s="14"/>
      <c r="M638" s="14"/>
      <c r="N638" s="14"/>
      <c r="O638" s="14"/>
      <c r="P638" s="18" t="n">
        <f aca="false">IF(N638="",0,IF(OR(M638="",O638=""),N638,(M638+4*N638+O638)/6))</f>
        <v>0</v>
      </c>
      <c r="Q638" s="14"/>
      <c r="R638" s="14"/>
      <c r="S638" s="14"/>
      <c r="T638" s="14"/>
      <c r="U638" s="16"/>
      <c r="V638" s="13"/>
      <c r="W638" s="16" t="s">
        <v>667</v>
      </c>
      <c r="X638" s="16"/>
      <c r="Y638" s="16"/>
      <c r="Z638" s="16" t="s">
        <v>744</v>
      </c>
      <c r="AA638" s="22" t="n">
        <f aca="false">IF(F638&lt;&gt;"Y",0,((SUMIF(Products!$E$5:$E$300,A638,Products!$F$5:$F$300)+SUMIF(RM_Lots!$A$5:$A$400,A638,RM_Lots!$D$5:$D$400))+IF(W638="Y",SUMIF(Products!$E$5:$E$300,A638,Products!$G$5:$G$300),0))*(1+N(V638)))</f>
        <v>0</v>
      </c>
      <c r="AB638" s="22" t="n">
        <f aca="false">IF(F638&lt;&gt;"Y",0,((SUMIF(Products!$E$5:$E$300,A638,Products!$K$5:$K$300)+SUMIF(RM_Lots!$A$5:$A$400,A638,RM_Lots!$F$5:$F$400))+IF(W638="Y",SUMIF(Products!$E$5:$E$300,A638,Products!$L$5:$L$300),0))*(1+N(V638)))</f>
        <v>0</v>
      </c>
      <c r="AC638" s="17" t="n">
        <f aca="false">IF(J638="",1,MAX(1,COUNTIFS($J$5:$J$863,J638,$F$5:$F$863,"Y")))</f>
        <v>1</v>
      </c>
      <c r="AD638" s="18" t="n">
        <f aca="false">(MAX(1,N(I638))*(P638+N(S638))+MAX(1,N(I638))*N(K638)/(MAX(1,N(U638))*AC638))*Settings!$B$9</f>
        <v>0</v>
      </c>
      <c r="AE638" s="18" t="n">
        <f aca="false">(MAX(1,N(I638))*N(Q638)+MAX(1,N(I638))*N(L638)/(MAX(1,N(U638))*AC638))*Settings!$B$8</f>
        <v>0</v>
      </c>
      <c r="AF638" s="18" t="n">
        <f aca="false">MAX(1,N(I638))*N(T638)</f>
        <v>0</v>
      </c>
      <c r="AG638" s="15" t="n">
        <f aca="false">AA638*N(AD638)</f>
        <v>0</v>
      </c>
      <c r="AH638" s="15" t="n">
        <f aca="false">AA638*N(AE638)</f>
        <v>0</v>
      </c>
      <c r="AI638" s="15" t="n">
        <f aca="false">AA638*N(AF638)</f>
        <v>0</v>
      </c>
      <c r="AJ638" s="15" t="n">
        <f aca="false">AA638*N(R638)</f>
        <v>0</v>
      </c>
      <c r="AK638" s="15" t="n">
        <f aca="false">AB638*N(AD638)</f>
        <v>0</v>
      </c>
      <c r="AL638" s="15" t="n">
        <f aca="false">AB638*N(AE638)</f>
        <v>0</v>
      </c>
      <c r="AM638" s="15" t="n">
        <f aca="false">AB638*N(AF638)</f>
        <v>0</v>
      </c>
      <c r="AN638" s="15" t="n">
        <f aca="false">AB638*N(R638)</f>
        <v>0</v>
      </c>
      <c r="AO638" s="21" t="str">
        <f aca="false">IF(F638&lt;&gt;"Y","n/a",IF(AND(N638&lt;&gt;"",OR(Q638&lt;&gt;"",G638="Other / bench",G638="None"),U638&lt;&gt;""),"OK","Missing"))</f>
        <v>Missing</v>
      </c>
    </row>
    <row r="639" customFormat="false" ht="15" hidden="false" customHeight="false" outlineLevel="0" collapsed="false">
      <c r="A639" s="10" t="s">
        <v>587</v>
      </c>
      <c r="B639" s="10" t="s">
        <v>740</v>
      </c>
      <c r="C639" s="10" t="s">
        <v>585</v>
      </c>
      <c r="D639" s="10" t="s">
        <v>743</v>
      </c>
      <c r="E639" s="21" t="str">
        <f aca="false">IF(A639="","",A639&amp;"|"&amp;D639)</f>
        <v>HPMC K15M (15,000 cps CR)|Compendial tests</v>
      </c>
      <c r="F639" s="16" t="s">
        <v>662</v>
      </c>
      <c r="G639" s="16" t="s">
        <v>670</v>
      </c>
      <c r="H639" s="16" t="s">
        <v>672</v>
      </c>
      <c r="I639" s="16" t="n">
        <v>1</v>
      </c>
      <c r="J639" s="16"/>
      <c r="K639" s="14"/>
      <c r="L639" s="14"/>
      <c r="M639" s="14"/>
      <c r="N639" s="14"/>
      <c r="O639" s="14"/>
      <c r="P639" s="18" t="n">
        <f aca="false">IF(N639="",0,IF(OR(M639="",O639=""),N639,(M639+4*N639+O639)/6))</f>
        <v>0</v>
      </c>
      <c r="Q639" s="14"/>
      <c r="R639" s="14"/>
      <c r="S639" s="14"/>
      <c r="T639" s="14"/>
      <c r="U639" s="16"/>
      <c r="V639" s="13"/>
      <c r="W639" s="16" t="s">
        <v>667</v>
      </c>
      <c r="X639" s="16"/>
      <c r="Y639" s="16"/>
      <c r="Z639" s="16" t="s">
        <v>744</v>
      </c>
      <c r="AA639" s="22" t="n">
        <f aca="false">IF(F639&lt;&gt;"Y",0,((SUMIF(Products!$E$5:$E$300,A639,Products!$F$5:$F$300)+SUMIF(RM_Lots!$A$5:$A$400,A639,RM_Lots!$D$5:$D$400))+IF(W639="Y",SUMIF(Products!$E$5:$E$300,A639,Products!$G$5:$G$300),0))*(1+N(V639)))</f>
        <v>0</v>
      </c>
      <c r="AB639" s="22" t="n">
        <f aca="false">IF(F639&lt;&gt;"Y",0,((SUMIF(Products!$E$5:$E$300,A639,Products!$K$5:$K$300)+SUMIF(RM_Lots!$A$5:$A$400,A639,RM_Lots!$F$5:$F$400))+IF(W639="Y",SUMIF(Products!$E$5:$E$300,A639,Products!$L$5:$L$300),0))*(1+N(V639)))</f>
        <v>0</v>
      </c>
      <c r="AC639" s="17" t="n">
        <f aca="false">IF(J639="",1,MAX(1,COUNTIFS($J$5:$J$863,J639,$F$5:$F$863,"Y")))</f>
        <v>1</v>
      </c>
      <c r="AD639" s="18" t="n">
        <f aca="false">(MAX(1,N(I639))*(P639+N(S639))+MAX(1,N(I639))*N(K639)/(MAX(1,N(U639))*AC639))*Settings!$B$9</f>
        <v>0</v>
      </c>
      <c r="AE639" s="18" t="n">
        <f aca="false">(MAX(1,N(I639))*N(Q639)+MAX(1,N(I639))*N(L639)/(MAX(1,N(U639))*AC639))*Settings!$B$8</f>
        <v>0</v>
      </c>
      <c r="AF639" s="18" t="n">
        <f aca="false">MAX(1,N(I639))*N(T639)</f>
        <v>0</v>
      </c>
      <c r="AG639" s="15" t="n">
        <f aca="false">AA639*N(AD639)</f>
        <v>0</v>
      </c>
      <c r="AH639" s="15" t="n">
        <f aca="false">AA639*N(AE639)</f>
        <v>0</v>
      </c>
      <c r="AI639" s="15" t="n">
        <f aca="false">AA639*N(AF639)</f>
        <v>0</v>
      </c>
      <c r="AJ639" s="15" t="n">
        <f aca="false">AA639*N(R639)</f>
        <v>0</v>
      </c>
      <c r="AK639" s="15" t="n">
        <f aca="false">AB639*N(AD639)</f>
        <v>0</v>
      </c>
      <c r="AL639" s="15" t="n">
        <f aca="false">AB639*N(AE639)</f>
        <v>0</v>
      </c>
      <c r="AM639" s="15" t="n">
        <f aca="false">AB639*N(AF639)</f>
        <v>0</v>
      </c>
      <c r="AN639" s="15" t="n">
        <f aca="false">AB639*N(R639)</f>
        <v>0</v>
      </c>
      <c r="AO639" s="21" t="str">
        <f aca="false">IF(F639&lt;&gt;"Y","n/a",IF(AND(N639&lt;&gt;"",OR(Q639&lt;&gt;"",G639="Other / bench",G639="None"),U639&lt;&gt;""),"OK","Missing"))</f>
        <v>Missing</v>
      </c>
    </row>
    <row r="640" customFormat="false" ht="15" hidden="false" customHeight="false" outlineLevel="0" collapsed="false">
      <c r="A640" s="10" t="s">
        <v>588</v>
      </c>
      <c r="B640" s="10" t="s">
        <v>740</v>
      </c>
      <c r="C640" s="10" t="s">
        <v>585</v>
      </c>
      <c r="D640" s="10" t="s">
        <v>743</v>
      </c>
      <c r="E640" s="21" t="str">
        <f aca="false">IF(A640="","",A640&amp;"|"&amp;D640)</f>
        <v>HPMC K4M|Compendial tests</v>
      </c>
      <c r="F640" s="16" t="s">
        <v>662</v>
      </c>
      <c r="G640" s="16" t="s">
        <v>670</v>
      </c>
      <c r="H640" s="16" t="s">
        <v>672</v>
      </c>
      <c r="I640" s="16" t="n">
        <v>1</v>
      </c>
      <c r="J640" s="16"/>
      <c r="K640" s="14"/>
      <c r="L640" s="14"/>
      <c r="M640" s="14"/>
      <c r="N640" s="14"/>
      <c r="O640" s="14"/>
      <c r="P640" s="18" t="n">
        <f aca="false">IF(N640="",0,IF(OR(M640="",O640=""),N640,(M640+4*N640+O640)/6))</f>
        <v>0</v>
      </c>
      <c r="Q640" s="14"/>
      <c r="R640" s="14"/>
      <c r="S640" s="14"/>
      <c r="T640" s="14"/>
      <c r="U640" s="16"/>
      <c r="V640" s="13"/>
      <c r="W640" s="16" t="s">
        <v>667</v>
      </c>
      <c r="X640" s="16"/>
      <c r="Y640" s="16"/>
      <c r="Z640" s="16" t="s">
        <v>744</v>
      </c>
      <c r="AA640" s="22" t="n">
        <f aca="false">IF(F640&lt;&gt;"Y",0,((SUMIF(Products!$E$5:$E$300,A640,Products!$F$5:$F$300)+SUMIF(RM_Lots!$A$5:$A$400,A640,RM_Lots!$D$5:$D$400))+IF(W640="Y",SUMIF(Products!$E$5:$E$300,A640,Products!$G$5:$G$300),0))*(1+N(V640)))</f>
        <v>0</v>
      </c>
      <c r="AB640" s="22" t="n">
        <f aca="false">IF(F640&lt;&gt;"Y",0,((SUMIF(Products!$E$5:$E$300,A640,Products!$K$5:$K$300)+SUMIF(RM_Lots!$A$5:$A$400,A640,RM_Lots!$F$5:$F$400))+IF(W640="Y",SUMIF(Products!$E$5:$E$300,A640,Products!$L$5:$L$300),0))*(1+N(V640)))</f>
        <v>0</v>
      </c>
      <c r="AC640" s="17" t="n">
        <f aca="false">IF(J640="",1,MAX(1,COUNTIFS($J$5:$J$863,J640,$F$5:$F$863,"Y")))</f>
        <v>1</v>
      </c>
      <c r="AD640" s="18" t="n">
        <f aca="false">(MAX(1,N(I640))*(P640+N(S640))+MAX(1,N(I640))*N(K640)/(MAX(1,N(U640))*AC640))*Settings!$B$9</f>
        <v>0</v>
      </c>
      <c r="AE640" s="18" t="n">
        <f aca="false">(MAX(1,N(I640))*N(Q640)+MAX(1,N(I640))*N(L640)/(MAX(1,N(U640))*AC640))*Settings!$B$8</f>
        <v>0</v>
      </c>
      <c r="AF640" s="18" t="n">
        <f aca="false">MAX(1,N(I640))*N(T640)</f>
        <v>0</v>
      </c>
      <c r="AG640" s="15" t="n">
        <f aca="false">AA640*N(AD640)</f>
        <v>0</v>
      </c>
      <c r="AH640" s="15" t="n">
        <f aca="false">AA640*N(AE640)</f>
        <v>0</v>
      </c>
      <c r="AI640" s="15" t="n">
        <f aca="false">AA640*N(AF640)</f>
        <v>0</v>
      </c>
      <c r="AJ640" s="15" t="n">
        <f aca="false">AA640*N(R640)</f>
        <v>0</v>
      </c>
      <c r="AK640" s="15" t="n">
        <f aca="false">AB640*N(AD640)</f>
        <v>0</v>
      </c>
      <c r="AL640" s="15" t="n">
        <f aca="false">AB640*N(AE640)</f>
        <v>0</v>
      </c>
      <c r="AM640" s="15" t="n">
        <f aca="false">AB640*N(AF640)</f>
        <v>0</v>
      </c>
      <c r="AN640" s="15" t="n">
        <f aca="false">AB640*N(R640)</f>
        <v>0</v>
      </c>
      <c r="AO640" s="21" t="str">
        <f aca="false">IF(F640&lt;&gt;"Y","n/a",IF(AND(N640&lt;&gt;"",OR(Q640&lt;&gt;"",G640="Other / bench",G640="None"),U640&lt;&gt;""),"OK","Missing"))</f>
        <v>Missing</v>
      </c>
    </row>
    <row r="641" customFormat="false" ht="15" hidden="false" customHeight="false" outlineLevel="0" collapsed="false">
      <c r="A641" s="10" t="s">
        <v>589</v>
      </c>
      <c r="B641" s="10" t="s">
        <v>740</v>
      </c>
      <c r="C641" s="10" t="s">
        <v>585</v>
      </c>
      <c r="D641" s="10" t="s">
        <v>743</v>
      </c>
      <c r="E641" s="21" t="str">
        <f aca="false">IF(A641="","",A641&amp;"|"&amp;D641)</f>
        <v>Methacrylic Acid Copolymer (Eudragit L100-55)|Compendial tests</v>
      </c>
      <c r="F641" s="16" t="s">
        <v>662</v>
      </c>
      <c r="G641" s="16" t="s">
        <v>670</v>
      </c>
      <c r="H641" s="16" t="s">
        <v>672</v>
      </c>
      <c r="I641" s="16" t="n">
        <v>1</v>
      </c>
      <c r="J641" s="16"/>
      <c r="K641" s="14"/>
      <c r="L641" s="14"/>
      <c r="M641" s="14"/>
      <c r="N641" s="14"/>
      <c r="O641" s="14"/>
      <c r="P641" s="18" t="n">
        <f aca="false">IF(N641="",0,IF(OR(M641="",O641=""),N641,(M641+4*N641+O641)/6))</f>
        <v>0</v>
      </c>
      <c r="Q641" s="14"/>
      <c r="R641" s="14"/>
      <c r="S641" s="14"/>
      <c r="T641" s="14"/>
      <c r="U641" s="16"/>
      <c r="V641" s="13"/>
      <c r="W641" s="16" t="s">
        <v>667</v>
      </c>
      <c r="X641" s="16"/>
      <c r="Y641" s="16"/>
      <c r="Z641" s="16" t="s">
        <v>744</v>
      </c>
      <c r="AA641" s="22" t="n">
        <f aca="false">IF(F641&lt;&gt;"Y",0,((SUMIF(Products!$E$5:$E$300,A641,Products!$F$5:$F$300)+SUMIF(RM_Lots!$A$5:$A$400,A641,RM_Lots!$D$5:$D$400))+IF(W641="Y",SUMIF(Products!$E$5:$E$300,A641,Products!$G$5:$G$300),0))*(1+N(V641)))</f>
        <v>0</v>
      </c>
      <c r="AB641" s="22" t="n">
        <f aca="false">IF(F641&lt;&gt;"Y",0,((SUMIF(Products!$E$5:$E$300,A641,Products!$K$5:$K$300)+SUMIF(RM_Lots!$A$5:$A$400,A641,RM_Lots!$F$5:$F$400))+IF(W641="Y",SUMIF(Products!$E$5:$E$300,A641,Products!$L$5:$L$300),0))*(1+N(V641)))</f>
        <v>0</v>
      </c>
      <c r="AC641" s="17" t="n">
        <f aca="false">IF(J641="",1,MAX(1,COUNTIFS($J$5:$J$863,J641,$F$5:$F$863,"Y")))</f>
        <v>1</v>
      </c>
      <c r="AD641" s="18" t="n">
        <f aca="false">(MAX(1,N(I641))*(P641+N(S641))+MAX(1,N(I641))*N(K641)/(MAX(1,N(U641))*AC641))*Settings!$B$9</f>
        <v>0</v>
      </c>
      <c r="AE641" s="18" t="n">
        <f aca="false">(MAX(1,N(I641))*N(Q641)+MAX(1,N(I641))*N(L641)/(MAX(1,N(U641))*AC641))*Settings!$B$8</f>
        <v>0</v>
      </c>
      <c r="AF641" s="18" t="n">
        <f aca="false">MAX(1,N(I641))*N(T641)</f>
        <v>0</v>
      </c>
      <c r="AG641" s="15" t="n">
        <f aca="false">AA641*N(AD641)</f>
        <v>0</v>
      </c>
      <c r="AH641" s="15" t="n">
        <f aca="false">AA641*N(AE641)</f>
        <v>0</v>
      </c>
      <c r="AI641" s="15" t="n">
        <f aca="false">AA641*N(AF641)</f>
        <v>0</v>
      </c>
      <c r="AJ641" s="15" t="n">
        <f aca="false">AA641*N(R641)</f>
        <v>0</v>
      </c>
      <c r="AK641" s="15" t="n">
        <f aca="false">AB641*N(AD641)</f>
        <v>0</v>
      </c>
      <c r="AL641" s="15" t="n">
        <f aca="false">AB641*N(AE641)</f>
        <v>0</v>
      </c>
      <c r="AM641" s="15" t="n">
        <f aca="false">AB641*N(AF641)</f>
        <v>0</v>
      </c>
      <c r="AN641" s="15" t="n">
        <f aca="false">AB641*N(R641)</f>
        <v>0</v>
      </c>
      <c r="AO641" s="21" t="str">
        <f aca="false">IF(F641&lt;&gt;"Y","n/a",IF(AND(N641&lt;&gt;"",OR(Q641&lt;&gt;"",G641="Other / bench",G641="None"),U641&lt;&gt;""),"OK","Missing"))</f>
        <v>Missing</v>
      </c>
    </row>
    <row r="642" customFormat="false" ht="15" hidden="false" customHeight="false" outlineLevel="0" collapsed="false">
      <c r="A642" s="10" t="s">
        <v>590</v>
      </c>
      <c r="B642" s="10" t="s">
        <v>740</v>
      </c>
      <c r="C642" s="10" t="s">
        <v>591</v>
      </c>
      <c r="D642" s="10" t="s">
        <v>743</v>
      </c>
      <c r="E642" s="21" t="str">
        <f aca="false">IF(A642="","",A642&amp;"|"&amp;D642)</f>
        <v>Deionized Water|Compendial tests</v>
      </c>
      <c r="F642" s="16" t="s">
        <v>662</v>
      </c>
      <c r="G642" s="16" t="s">
        <v>670</v>
      </c>
      <c r="H642" s="16" t="s">
        <v>672</v>
      </c>
      <c r="I642" s="16" t="n">
        <v>1</v>
      </c>
      <c r="J642" s="16"/>
      <c r="K642" s="14"/>
      <c r="L642" s="14"/>
      <c r="M642" s="14"/>
      <c r="N642" s="14"/>
      <c r="O642" s="14"/>
      <c r="P642" s="18" t="n">
        <f aca="false">IF(N642="",0,IF(OR(M642="",O642=""),N642,(M642+4*N642+O642)/6))</f>
        <v>0</v>
      </c>
      <c r="Q642" s="14"/>
      <c r="R642" s="14"/>
      <c r="S642" s="14"/>
      <c r="T642" s="14"/>
      <c r="U642" s="16"/>
      <c r="V642" s="13"/>
      <c r="W642" s="16" t="s">
        <v>667</v>
      </c>
      <c r="X642" s="16"/>
      <c r="Y642" s="16"/>
      <c r="Z642" s="16" t="s">
        <v>744</v>
      </c>
      <c r="AA642" s="22" t="n">
        <f aca="false">IF(F642&lt;&gt;"Y",0,((SUMIF(Products!$E$5:$E$300,A642,Products!$F$5:$F$300)+SUMIF(RM_Lots!$A$5:$A$400,A642,RM_Lots!$D$5:$D$400))+IF(W642="Y",SUMIF(Products!$E$5:$E$300,A642,Products!$G$5:$G$300),0))*(1+N(V642)))</f>
        <v>0</v>
      </c>
      <c r="AB642" s="22" t="n">
        <f aca="false">IF(F642&lt;&gt;"Y",0,((SUMIF(Products!$E$5:$E$300,A642,Products!$K$5:$K$300)+SUMIF(RM_Lots!$A$5:$A$400,A642,RM_Lots!$F$5:$F$400))+IF(W642="Y",SUMIF(Products!$E$5:$E$300,A642,Products!$L$5:$L$300),0))*(1+N(V642)))</f>
        <v>0</v>
      </c>
      <c r="AC642" s="17" t="n">
        <f aca="false">IF(J642="",1,MAX(1,COUNTIFS($J$5:$J$863,J642,$F$5:$F$863,"Y")))</f>
        <v>1</v>
      </c>
      <c r="AD642" s="18" t="n">
        <f aca="false">(MAX(1,N(I642))*(P642+N(S642))+MAX(1,N(I642))*N(K642)/(MAX(1,N(U642))*AC642))*Settings!$B$9</f>
        <v>0</v>
      </c>
      <c r="AE642" s="18" t="n">
        <f aca="false">(MAX(1,N(I642))*N(Q642)+MAX(1,N(I642))*N(L642)/(MAX(1,N(U642))*AC642))*Settings!$B$8</f>
        <v>0</v>
      </c>
      <c r="AF642" s="18" t="n">
        <f aca="false">MAX(1,N(I642))*N(T642)</f>
        <v>0</v>
      </c>
      <c r="AG642" s="15" t="n">
        <f aca="false">AA642*N(AD642)</f>
        <v>0</v>
      </c>
      <c r="AH642" s="15" t="n">
        <f aca="false">AA642*N(AE642)</f>
        <v>0</v>
      </c>
      <c r="AI642" s="15" t="n">
        <f aca="false">AA642*N(AF642)</f>
        <v>0</v>
      </c>
      <c r="AJ642" s="15" t="n">
        <f aca="false">AA642*N(R642)</f>
        <v>0</v>
      </c>
      <c r="AK642" s="15" t="n">
        <f aca="false">AB642*N(AD642)</f>
        <v>0</v>
      </c>
      <c r="AL642" s="15" t="n">
        <f aca="false">AB642*N(AE642)</f>
        <v>0</v>
      </c>
      <c r="AM642" s="15" t="n">
        <f aca="false">AB642*N(AF642)</f>
        <v>0</v>
      </c>
      <c r="AN642" s="15" t="n">
        <f aca="false">AB642*N(R642)</f>
        <v>0</v>
      </c>
      <c r="AO642" s="21" t="str">
        <f aca="false">IF(F642&lt;&gt;"Y","n/a",IF(AND(N642&lt;&gt;"",OR(Q642&lt;&gt;"",G642="Other / bench",G642="None"),U642&lt;&gt;""),"OK","Missing"))</f>
        <v>Missing</v>
      </c>
    </row>
    <row r="643" customFormat="false" ht="15" hidden="false" customHeight="false" outlineLevel="0" collapsed="false">
      <c r="A643" s="10" t="s">
        <v>592</v>
      </c>
      <c r="B643" s="10" t="s">
        <v>740</v>
      </c>
      <c r="C643" s="10" t="s">
        <v>591</v>
      </c>
      <c r="D643" s="10" t="s">
        <v>743</v>
      </c>
      <c r="E643" s="21" t="str">
        <f aca="false">IF(A643="","",A643&amp;"|"&amp;D643)</f>
        <v>Ethanol (% not stated)|Compendial tests</v>
      </c>
      <c r="F643" s="16" t="s">
        <v>662</v>
      </c>
      <c r="G643" s="16" t="s">
        <v>670</v>
      </c>
      <c r="H643" s="16" t="s">
        <v>672</v>
      </c>
      <c r="I643" s="16" t="n">
        <v>1</v>
      </c>
      <c r="J643" s="16"/>
      <c r="K643" s="14"/>
      <c r="L643" s="14"/>
      <c r="M643" s="14"/>
      <c r="N643" s="14"/>
      <c r="O643" s="14"/>
      <c r="P643" s="18" t="n">
        <f aca="false">IF(N643="",0,IF(OR(M643="",O643=""),N643,(M643+4*N643+O643)/6))</f>
        <v>0</v>
      </c>
      <c r="Q643" s="14"/>
      <c r="R643" s="14"/>
      <c r="S643" s="14"/>
      <c r="T643" s="14"/>
      <c r="U643" s="16"/>
      <c r="V643" s="13"/>
      <c r="W643" s="16" t="s">
        <v>667</v>
      </c>
      <c r="X643" s="16"/>
      <c r="Y643" s="16"/>
      <c r="Z643" s="16" t="s">
        <v>744</v>
      </c>
      <c r="AA643" s="22" t="n">
        <f aca="false">IF(F643&lt;&gt;"Y",0,((SUMIF(Products!$E$5:$E$300,A643,Products!$F$5:$F$300)+SUMIF(RM_Lots!$A$5:$A$400,A643,RM_Lots!$D$5:$D$400))+IF(W643="Y",SUMIF(Products!$E$5:$E$300,A643,Products!$G$5:$G$300),0))*(1+N(V643)))</f>
        <v>0</v>
      </c>
      <c r="AB643" s="22" t="n">
        <f aca="false">IF(F643&lt;&gt;"Y",0,((SUMIF(Products!$E$5:$E$300,A643,Products!$K$5:$K$300)+SUMIF(RM_Lots!$A$5:$A$400,A643,RM_Lots!$F$5:$F$400))+IF(W643="Y",SUMIF(Products!$E$5:$E$300,A643,Products!$L$5:$L$300),0))*(1+N(V643)))</f>
        <v>0</v>
      </c>
      <c r="AC643" s="17" t="n">
        <f aca="false">IF(J643="",1,MAX(1,COUNTIFS($J$5:$J$863,J643,$F$5:$F$863,"Y")))</f>
        <v>1</v>
      </c>
      <c r="AD643" s="18" t="n">
        <f aca="false">(MAX(1,N(I643))*(P643+N(S643))+MAX(1,N(I643))*N(K643)/(MAX(1,N(U643))*AC643))*Settings!$B$9</f>
        <v>0</v>
      </c>
      <c r="AE643" s="18" t="n">
        <f aca="false">(MAX(1,N(I643))*N(Q643)+MAX(1,N(I643))*N(L643)/(MAX(1,N(U643))*AC643))*Settings!$B$8</f>
        <v>0</v>
      </c>
      <c r="AF643" s="18" t="n">
        <f aca="false">MAX(1,N(I643))*N(T643)</f>
        <v>0</v>
      </c>
      <c r="AG643" s="15" t="n">
        <f aca="false">AA643*N(AD643)</f>
        <v>0</v>
      </c>
      <c r="AH643" s="15" t="n">
        <f aca="false">AA643*N(AE643)</f>
        <v>0</v>
      </c>
      <c r="AI643" s="15" t="n">
        <f aca="false">AA643*N(AF643)</f>
        <v>0</v>
      </c>
      <c r="AJ643" s="15" t="n">
        <f aca="false">AA643*N(R643)</f>
        <v>0</v>
      </c>
      <c r="AK643" s="15" t="n">
        <f aca="false">AB643*N(AD643)</f>
        <v>0</v>
      </c>
      <c r="AL643" s="15" t="n">
        <f aca="false">AB643*N(AE643)</f>
        <v>0</v>
      </c>
      <c r="AM643" s="15" t="n">
        <f aca="false">AB643*N(AF643)</f>
        <v>0</v>
      </c>
      <c r="AN643" s="15" t="n">
        <f aca="false">AB643*N(R643)</f>
        <v>0</v>
      </c>
      <c r="AO643" s="21" t="str">
        <f aca="false">IF(F643&lt;&gt;"Y","n/a",IF(AND(N643&lt;&gt;"",OR(Q643&lt;&gt;"",G643="Other / bench",G643="None"),U643&lt;&gt;""),"OK","Missing"))</f>
        <v>Missing</v>
      </c>
    </row>
    <row r="644" customFormat="false" ht="15" hidden="false" customHeight="false" outlineLevel="0" collapsed="false">
      <c r="A644" s="10" t="s">
        <v>593</v>
      </c>
      <c r="B644" s="10" t="s">
        <v>740</v>
      </c>
      <c r="C644" s="10" t="s">
        <v>591</v>
      </c>
      <c r="D644" s="10" t="s">
        <v>743</v>
      </c>
      <c r="E644" s="21" t="str">
        <f aca="false">IF(A644="","",A644&amp;"|"&amp;D644)</f>
        <v>Ethanol 96%|Compendial tests</v>
      </c>
      <c r="F644" s="16" t="s">
        <v>662</v>
      </c>
      <c r="G644" s="16" t="s">
        <v>670</v>
      </c>
      <c r="H644" s="16" t="s">
        <v>672</v>
      </c>
      <c r="I644" s="16" t="n">
        <v>1</v>
      </c>
      <c r="J644" s="16"/>
      <c r="K644" s="14"/>
      <c r="L644" s="14"/>
      <c r="M644" s="14"/>
      <c r="N644" s="14"/>
      <c r="O644" s="14"/>
      <c r="P644" s="18" t="n">
        <f aca="false">IF(N644="",0,IF(OR(M644="",O644=""),N644,(M644+4*N644+O644)/6))</f>
        <v>0</v>
      </c>
      <c r="Q644" s="14"/>
      <c r="R644" s="14"/>
      <c r="S644" s="14"/>
      <c r="T644" s="14"/>
      <c r="U644" s="16"/>
      <c r="V644" s="13"/>
      <c r="W644" s="16" t="s">
        <v>667</v>
      </c>
      <c r="X644" s="16"/>
      <c r="Y644" s="16"/>
      <c r="Z644" s="16" t="s">
        <v>744</v>
      </c>
      <c r="AA644" s="22" t="n">
        <f aca="false">IF(F644&lt;&gt;"Y",0,((SUMIF(Products!$E$5:$E$300,A644,Products!$F$5:$F$300)+SUMIF(RM_Lots!$A$5:$A$400,A644,RM_Lots!$D$5:$D$400))+IF(W644="Y",SUMIF(Products!$E$5:$E$300,A644,Products!$G$5:$G$300),0))*(1+N(V644)))</f>
        <v>0</v>
      </c>
      <c r="AB644" s="22" t="n">
        <f aca="false">IF(F644&lt;&gt;"Y",0,((SUMIF(Products!$E$5:$E$300,A644,Products!$K$5:$K$300)+SUMIF(RM_Lots!$A$5:$A$400,A644,RM_Lots!$F$5:$F$400))+IF(W644="Y",SUMIF(Products!$E$5:$E$300,A644,Products!$L$5:$L$300),0))*(1+N(V644)))</f>
        <v>0</v>
      </c>
      <c r="AC644" s="17" t="n">
        <f aca="false">IF(J644="",1,MAX(1,COUNTIFS($J$5:$J$863,J644,$F$5:$F$863,"Y")))</f>
        <v>1</v>
      </c>
      <c r="AD644" s="18" t="n">
        <f aca="false">(MAX(1,N(I644))*(P644+N(S644))+MAX(1,N(I644))*N(K644)/(MAX(1,N(U644))*AC644))*Settings!$B$9</f>
        <v>0</v>
      </c>
      <c r="AE644" s="18" t="n">
        <f aca="false">(MAX(1,N(I644))*N(Q644)+MAX(1,N(I644))*N(L644)/(MAX(1,N(U644))*AC644))*Settings!$B$8</f>
        <v>0</v>
      </c>
      <c r="AF644" s="18" t="n">
        <f aca="false">MAX(1,N(I644))*N(T644)</f>
        <v>0</v>
      </c>
      <c r="AG644" s="15" t="n">
        <f aca="false">AA644*N(AD644)</f>
        <v>0</v>
      </c>
      <c r="AH644" s="15" t="n">
        <f aca="false">AA644*N(AE644)</f>
        <v>0</v>
      </c>
      <c r="AI644" s="15" t="n">
        <f aca="false">AA644*N(AF644)</f>
        <v>0</v>
      </c>
      <c r="AJ644" s="15" t="n">
        <f aca="false">AA644*N(R644)</f>
        <v>0</v>
      </c>
      <c r="AK644" s="15" t="n">
        <f aca="false">AB644*N(AD644)</f>
        <v>0</v>
      </c>
      <c r="AL644" s="15" t="n">
        <f aca="false">AB644*N(AE644)</f>
        <v>0</v>
      </c>
      <c r="AM644" s="15" t="n">
        <f aca="false">AB644*N(AF644)</f>
        <v>0</v>
      </c>
      <c r="AN644" s="15" t="n">
        <f aca="false">AB644*N(R644)</f>
        <v>0</v>
      </c>
      <c r="AO644" s="21" t="str">
        <f aca="false">IF(F644&lt;&gt;"Y","n/a",IF(AND(N644&lt;&gt;"",OR(Q644&lt;&gt;"",G644="Other / bench",G644="None"),U644&lt;&gt;""),"OK","Missing"))</f>
        <v>Missing</v>
      </c>
    </row>
    <row r="645" customFormat="false" ht="15" hidden="false" customHeight="false" outlineLevel="0" collapsed="false">
      <c r="A645" s="10" t="s">
        <v>594</v>
      </c>
      <c r="B645" s="10" t="s">
        <v>740</v>
      </c>
      <c r="C645" s="10" t="s">
        <v>591</v>
      </c>
      <c r="D645" s="10" t="s">
        <v>743</v>
      </c>
      <c r="E645" s="21" t="str">
        <f aca="false">IF(A645="","",A645&amp;"|"&amp;D645)</f>
        <v>Isopropyl Alcohol|Compendial tests</v>
      </c>
      <c r="F645" s="16" t="s">
        <v>662</v>
      </c>
      <c r="G645" s="16" t="s">
        <v>670</v>
      </c>
      <c r="H645" s="16" t="s">
        <v>672</v>
      </c>
      <c r="I645" s="16" t="n">
        <v>1</v>
      </c>
      <c r="J645" s="16"/>
      <c r="K645" s="14"/>
      <c r="L645" s="14"/>
      <c r="M645" s="14"/>
      <c r="N645" s="14"/>
      <c r="O645" s="14"/>
      <c r="P645" s="18" t="n">
        <f aca="false">IF(N645="",0,IF(OR(M645="",O645=""),N645,(M645+4*N645+O645)/6))</f>
        <v>0</v>
      </c>
      <c r="Q645" s="14"/>
      <c r="R645" s="14"/>
      <c r="S645" s="14"/>
      <c r="T645" s="14"/>
      <c r="U645" s="16"/>
      <c r="V645" s="13"/>
      <c r="W645" s="16" t="s">
        <v>667</v>
      </c>
      <c r="X645" s="16"/>
      <c r="Y645" s="16"/>
      <c r="Z645" s="16" t="s">
        <v>744</v>
      </c>
      <c r="AA645" s="22" t="n">
        <f aca="false">IF(F645&lt;&gt;"Y",0,((SUMIF(Products!$E$5:$E$300,A645,Products!$F$5:$F$300)+SUMIF(RM_Lots!$A$5:$A$400,A645,RM_Lots!$D$5:$D$400))+IF(W645="Y",SUMIF(Products!$E$5:$E$300,A645,Products!$G$5:$G$300),0))*(1+N(V645)))</f>
        <v>0</v>
      </c>
      <c r="AB645" s="22" t="n">
        <f aca="false">IF(F645&lt;&gt;"Y",0,((SUMIF(Products!$E$5:$E$300,A645,Products!$K$5:$K$300)+SUMIF(RM_Lots!$A$5:$A$400,A645,RM_Lots!$F$5:$F$400))+IF(W645="Y",SUMIF(Products!$E$5:$E$300,A645,Products!$L$5:$L$300),0))*(1+N(V645)))</f>
        <v>0</v>
      </c>
      <c r="AC645" s="17" t="n">
        <f aca="false">IF(J645="",1,MAX(1,COUNTIFS($J$5:$J$863,J645,$F$5:$F$863,"Y")))</f>
        <v>1</v>
      </c>
      <c r="AD645" s="18" t="n">
        <f aca="false">(MAX(1,N(I645))*(P645+N(S645))+MAX(1,N(I645))*N(K645)/(MAX(1,N(U645))*AC645))*Settings!$B$9</f>
        <v>0</v>
      </c>
      <c r="AE645" s="18" t="n">
        <f aca="false">(MAX(1,N(I645))*N(Q645)+MAX(1,N(I645))*N(L645)/(MAX(1,N(U645))*AC645))*Settings!$B$8</f>
        <v>0</v>
      </c>
      <c r="AF645" s="18" t="n">
        <f aca="false">MAX(1,N(I645))*N(T645)</f>
        <v>0</v>
      </c>
      <c r="AG645" s="15" t="n">
        <f aca="false">AA645*N(AD645)</f>
        <v>0</v>
      </c>
      <c r="AH645" s="15" t="n">
        <f aca="false">AA645*N(AE645)</f>
        <v>0</v>
      </c>
      <c r="AI645" s="15" t="n">
        <f aca="false">AA645*N(AF645)</f>
        <v>0</v>
      </c>
      <c r="AJ645" s="15" t="n">
        <f aca="false">AA645*N(R645)</f>
        <v>0</v>
      </c>
      <c r="AK645" s="15" t="n">
        <f aca="false">AB645*N(AD645)</f>
        <v>0</v>
      </c>
      <c r="AL645" s="15" t="n">
        <f aca="false">AB645*N(AE645)</f>
        <v>0</v>
      </c>
      <c r="AM645" s="15" t="n">
        <f aca="false">AB645*N(AF645)</f>
        <v>0</v>
      </c>
      <c r="AN645" s="15" t="n">
        <f aca="false">AB645*N(R645)</f>
        <v>0</v>
      </c>
      <c r="AO645" s="21" t="str">
        <f aca="false">IF(F645&lt;&gt;"Y","n/a",IF(AND(N645&lt;&gt;"",OR(Q645&lt;&gt;"",G645="Other / bench",G645="None"),U645&lt;&gt;""),"OK","Missing"))</f>
        <v>Missing</v>
      </c>
    </row>
    <row r="646" customFormat="false" ht="15" hidden="false" customHeight="false" outlineLevel="0" collapsed="false">
      <c r="A646" s="10" t="s">
        <v>595</v>
      </c>
      <c r="B646" s="10" t="s">
        <v>740</v>
      </c>
      <c r="C646" s="10" t="s">
        <v>591</v>
      </c>
      <c r="D646" s="10" t="s">
        <v>743</v>
      </c>
      <c r="E646" s="21" t="str">
        <f aca="false">IF(A646="","",A646&amp;"|"&amp;D646)</f>
        <v>Purified Water|Compendial tests</v>
      </c>
      <c r="F646" s="16" t="s">
        <v>662</v>
      </c>
      <c r="G646" s="16" t="s">
        <v>670</v>
      </c>
      <c r="H646" s="16" t="s">
        <v>672</v>
      </c>
      <c r="I646" s="16" t="n">
        <v>1</v>
      </c>
      <c r="J646" s="16"/>
      <c r="K646" s="14"/>
      <c r="L646" s="14"/>
      <c r="M646" s="14"/>
      <c r="N646" s="14"/>
      <c r="O646" s="14"/>
      <c r="P646" s="18" t="n">
        <f aca="false">IF(N646="",0,IF(OR(M646="",O646=""),N646,(M646+4*N646+O646)/6))</f>
        <v>0</v>
      </c>
      <c r="Q646" s="14"/>
      <c r="R646" s="14"/>
      <c r="S646" s="14"/>
      <c r="T646" s="14"/>
      <c r="U646" s="16"/>
      <c r="V646" s="13"/>
      <c r="W646" s="16" t="s">
        <v>667</v>
      </c>
      <c r="X646" s="16"/>
      <c r="Y646" s="16"/>
      <c r="Z646" s="16" t="s">
        <v>744</v>
      </c>
      <c r="AA646" s="22" t="n">
        <f aca="false">IF(F646&lt;&gt;"Y",0,((SUMIF(Products!$E$5:$E$300,A646,Products!$F$5:$F$300)+SUMIF(RM_Lots!$A$5:$A$400,A646,RM_Lots!$D$5:$D$400))+IF(W646="Y",SUMIF(Products!$E$5:$E$300,A646,Products!$G$5:$G$300),0))*(1+N(V646)))</f>
        <v>0</v>
      </c>
      <c r="AB646" s="22" t="n">
        <f aca="false">IF(F646&lt;&gt;"Y",0,((SUMIF(Products!$E$5:$E$300,A646,Products!$K$5:$K$300)+SUMIF(RM_Lots!$A$5:$A$400,A646,RM_Lots!$F$5:$F$400))+IF(W646="Y",SUMIF(Products!$E$5:$E$300,A646,Products!$L$5:$L$300),0))*(1+N(V646)))</f>
        <v>0</v>
      </c>
      <c r="AC646" s="17" t="n">
        <f aca="false">IF(J646="",1,MAX(1,COUNTIFS($J$5:$J$863,J646,$F$5:$F$863,"Y")))</f>
        <v>1</v>
      </c>
      <c r="AD646" s="18" t="n">
        <f aca="false">(MAX(1,N(I646))*(P646+N(S646))+MAX(1,N(I646))*N(K646)/(MAX(1,N(U646))*AC646))*Settings!$B$9</f>
        <v>0</v>
      </c>
      <c r="AE646" s="18" t="n">
        <f aca="false">(MAX(1,N(I646))*N(Q646)+MAX(1,N(I646))*N(L646)/(MAX(1,N(U646))*AC646))*Settings!$B$8</f>
        <v>0</v>
      </c>
      <c r="AF646" s="18" t="n">
        <f aca="false">MAX(1,N(I646))*N(T646)</f>
        <v>0</v>
      </c>
      <c r="AG646" s="15" t="n">
        <f aca="false">AA646*N(AD646)</f>
        <v>0</v>
      </c>
      <c r="AH646" s="15" t="n">
        <f aca="false">AA646*N(AE646)</f>
        <v>0</v>
      </c>
      <c r="AI646" s="15" t="n">
        <f aca="false">AA646*N(AF646)</f>
        <v>0</v>
      </c>
      <c r="AJ646" s="15" t="n">
        <f aca="false">AA646*N(R646)</f>
        <v>0</v>
      </c>
      <c r="AK646" s="15" t="n">
        <f aca="false">AB646*N(AD646)</f>
        <v>0</v>
      </c>
      <c r="AL646" s="15" t="n">
        <f aca="false">AB646*N(AE646)</f>
        <v>0</v>
      </c>
      <c r="AM646" s="15" t="n">
        <f aca="false">AB646*N(AF646)</f>
        <v>0</v>
      </c>
      <c r="AN646" s="15" t="n">
        <f aca="false">AB646*N(R646)</f>
        <v>0</v>
      </c>
      <c r="AO646" s="21" t="str">
        <f aca="false">IF(F646&lt;&gt;"Y","n/a",IF(AND(N646&lt;&gt;"",OR(Q646&lt;&gt;"",G646="Other / bench",G646="None"),U646&lt;&gt;""),"OK","Missing"))</f>
        <v>Missing</v>
      </c>
    </row>
    <row r="647" customFormat="false" ht="15" hidden="false" customHeight="false" outlineLevel="0" collapsed="false">
      <c r="A647" s="10" t="s">
        <v>596</v>
      </c>
      <c r="B647" s="10" t="s">
        <v>740</v>
      </c>
      <c r="C647" s="10" t="s">
        <v>591</v>
      </c>
      <c r="D647" s="10" t="s">
        <v>743</v>
      </c>
      <c r="E647" s="21" t="str">
        <f aca="false">IF(A647="","",A647&amp;"|"&amp;D647)</f>
        <v>Water|Compendial tests</v>
      </c>
      <c r="F647" s="16" t="s">
        <v>662</v>
      </c>
      <c r="G647" s="16" t="s">
        <v>670</v>
      </c>
      <c r="H647" s="16" t="s">
        <v>672</v>
      </c>
      <c r="I647" s="16" t="n">
        <v>1</v>
      </c>
      <c r="J647" s="16"/>
      <c r="K647" s="14"/>
      <c r="L647" s="14"/>
      <c r="M647" s="14"/>
      <c r="N647" s="14"/>
      <c r="O647" s="14"/>
      <c r="P647" s="18" t="n">
        <f aca="false">IF(N647="",0,IF(OR(M647="",O647=""),N647,(M647+4*N647+O647)/6))</f>
        <v>0</v>
      </c>
      <c r="Q647" s="14"/>
      <c r="R647" s="14"/>
      <c r="S647" s="14"/>
      <c r="T647" s="14"/>
      <c r="U647" s="16"/>
      <c r="V647" s="13"/>
      <c r="W647" s="16" t="s">
        <v>667</v>
      </c>
      <c r="X647" s="16"/>
      <c r="Y647" s="16"/>
      <c r="Z647" s="16" t="s">
        <v>744</v>
      </c>
      <c r="AA647" s="22" t="n">
        <f aca="false">IF(F647&lt;&gt;"Y",0,((SUMIF(Products!$E$5:$E$300,A647,Products!$F$5:$F$300)+SUMIF(RM_Lots!$A$5:$A$400,A647,RM_Lots!$D$5:$D$400))+IF(W647="Y",SUMIF(Products!$E$5:$E$300,A647,Products!$G$5:$G$300),0))*(1+N(V647)))</f>
        <v>0</v>
      </c>
      <c r="AB647" s="22" t="n">
        <f aca="false">IF(F647&lt;&gt;"Y",0,((SUMIF(Products!$E$5:$E$300,A647,Products!$K$5:$K$300)+SUMIF(RM_Lots!$A$5:$A$400,A647,RM_Lots!$F$5:$F$400))+IF(W647="Y",SUMIF(Products!$E$5:$E$300,A647,Products!$L$5:$L$300),0))*(1+N(V647)))</f>
        <v>0</v>
      </c>
      <c r="AC647" s="17" t="n">
        <f aca="false">IF(J647="",1,MAX(1,COUNTIFS($J$5:$J$863,J647,$F$5:$F$863,"Y")))</f>
        <v>1</v>
      </c>
      <c r="AD647" s="18" t="n">
        <f aca="false">(MAX(1,N(I647))*(P647+N(S647))+MAX(1,N(I647))*N(K647)/(MAX(1,N(U647))*AC647))*Settings!$B$9</f>
        <v>0</v>
      </c>
      <c r="AE647" s="18" t="n">
        <f aca="false">(MAX(1,N(I647))*N(Q647)+MAX(1,N(I647))*N(L647)/(MAX(1,N(U647))*AC647))*Settings!$B$8</f>
        <v>0</v>
      </c>
      <c r="AF647" s="18" t="n">
        <f aca="false">MAX(1,N(I647))*N(T647)</f>
        <v>0</v>
      </c>
      <c r="AG647" s="15" t="n">
        <f aca="false">AA647*N(AD647)</f>
        <v>0</v>
      </c>
      <c r="AH647" s="15" t="n">
        <f aca="false">AA647*N(AE647)</f>
        <v>0</v>
      </c>
      <c r="AI647" s="15" t="n">
        <f aca="false">AA647*N(AF647)</f>
        <v>0</v>
      </c>
      <c r="AJ647" s="15" t="n">
        <f aca="false">AA647*N(R647)</f>
        <v>0</v>
      </c>
      <c r="AK647" s="15" t="n">
        <f aca="false">AB647*N(AD647)</f>
        <v>0</v>
      </c>
      <c r="AL647" s="15" t="n">
        <f aca="false">AB647*N(AE647)</f>
        <v>0</v>
      </c>
      <c r="AM647" s="15" t="n">
        <f aca="false">AB647*N(AF647)</f>
        <v>0</v>
      </c>
      <c r="AN647" s="15" t="n">
        <f aca="false">AB647*N(R647)</f>
        <v>0</v>
      </c>
      <c r="AO647" s="21" t="str">
        <f aca="false">IF(F647&lt;&gt;"Y","n/a",IF(AND(N647&lt;&gt;"",OR(Q647&lt;&gt;"",G647="Other / bench",G647="None"),U647&lt;&gt;""),"OK","Missing"))</f>
        <v>Missing</v>
      </c>
    </row>
    <row r="648" customFormat="false" ht="15" hidden="false" customHeight="false" outlineLevel="0" collapsed="false">
      <c r="A648" s="10" t="s">
        <v>597</v>
      </c>
      <c r="B648" s="10" t="s">
        <v>740</v>
      </c>
      <c r="C648" s="10" t="s">
        <v>591</v>
      </c>
      <c r="D648" s="10" t="s">
        <v>743</v>
      </c>
      <c r="E648" s="21" t="str">
        <f aca="false">IF(A648="","",A648&amp;"|"&amp;D648)</f>
        <v>Water for Injection (WFI)|Compendial tests</v>
      </c>
      <c r="F648" s="16" t="s">
        <v>662</v>
      </c>
      <c r="G648" s="16" t="s">
        <v>670</v>
      </c>
      <c r="H648" s="16" t="s">
        <v>672</v>
      </c>
      <c r="I648" s="16" t="n">
        <v>1</v>
      </c>
      <c r="J648" s="16"/>
      <c r="K648" s="14"/>
      <c r="L648" s="14"/>
      <c r="M648" s="14"/>
      <c r="N648" s="14"/>
      <c r="O648" s="14"/>
      <c r="P648" s="18" t="n">
        <f aca="false">IF(N648="",0,IF(OR(M648="",O648=""),N648,(M648+4*N648+O648)/6))</f>
        <v>0</v>
      </c>
      <c r="Q648" s="14"/>
      <c r="R648" s="14"/>
      <c r="S648" s="14"/>
      <c r="T648" s="14"/>
      <c r="U648" s="16"/>
      <c r="V648" s="13"/>
      <c r="W648" s="16" t="s">
        <v>667</v>
      </c>
      <c r="X648" s="16"/>
      <c r="Y648" s="16"/>
      <c r="Z648" s="16" t="s">
        <v>744</v>
      </c>
      <c r="AA648" s="22" t="n">
        <f aca="false">IF(F648&lt;&gt;"Y",0,((SUMIF(Products!$E$5:$E$300,A648,Products!$F$5:$F$300)+SUMIF(RM_Lots!$A$5:$A$400,A648,RM_Lots!$D$5:$D$400))+IF(W648="Y",SUMIF(Products!$E$5:$E$300,A648,Products!$G$5:$G$300),0))*(1+N(V648)))</f>
        <v>0</v>
      </c>
      <c r="AB648" s="22" t="n">
        <f aca="false">IF(F648&lt;&gt;"Y",0,((SUMIF(Products!$E$5:$E$300,A648,Products!$K$5:$K$300)+SUMIF(RM_Lots!$A$5:$A$400,A648,RM_Lots!$F$5:$F$400))+IF(W648="Y",SUMIF(Products!$E$5:$E$300,A648,Products!$L$5:$L$300),0))*(1+N(V648)))</f>
        <v>0</v>
      </c>
      <c r="AC648" s="17" t="n">
        <f aca="false">IF(J648="",1,MAX(1,COUNTIFS($J$5:$J$863,J648,$F$5:$F$863,"Y")))</f>
        <v>1</v>
      </c>
      <c r="AD648" s="18" t="n">
        <f aca="false">(MAX(1,N(I648))*(P648+N(S648))+MAX(1,N(I648))*N(K648)/(MAX(1,N(U648))*AC648))*Settings!$B$9</f>
        <v>0</v>
      </c>
      <c r="AE648" s="18" t="n">
        <f aca="false">(MAX(1,N(I648))*N(Q648)+MAX(1,N(I648))*N(L648)/(MAX(1,N(U648))*AC648))*Settings!$B$8</f>
        <v>0</v>
      </c>
      <c r="AF648" s="18" t="n">
        <f aca="false">MAX(1,N(I648))*N(T648)</f>
        <v>0</v>
      </c>
      <c r="AG648" s="15" t="n">
        <f aca="false">AA648*N(AD648)</f>
        <v>0</v>
      </c>
      <c r="AH648" s="15" t="n">
        <f aca="false">AA648*N(AE648)</f>
        <v>0</v>
      </c>
      <c r="AI648" s="15" t="n">
        <f aca="false">AA648*N(AF648)</f>
        <v>0</v>
      </c>
      <c r="AJ648" s="15" t="n">
        <f aca="false">AA648*N(R648)</f>
        <v>0</v>
      </c>
      <c r="AK648" s="15" t="n">
        <f aca="false">AB648*N(AD648)</f>
        <v>0</v>
      </c>
      <c r="AL648" s="15" t="n">
        <f aca="false">AB648*N(AE648)</f>
        <v>0</v>
      </c>
      <c r="AM648" s="15" t="n">
        <f aca="false">AB648*N(AF648)</f>
        <v>0</v>
      </c>
      <c r="AN648" s="15" t="n">
        <f aca="false">AB648*N(R648)</f>
        <v>0</v>
      </c>
      <c r="AO648" s="21" t="str">
        <f aca="false">IF(F648&lt;&gt;"Y","n/a",IF(AND(N648&lt;&gt;"",OR(Q648&lt;&gt;"",G648="Other / bench",G648="None"),U648&lt;&gt;""),"OK","Missing"))</f>
        <v>Missing</v>
      </c>
    </row>
    <row r="649" customFormat="false" ht="15" hidden="false" customHeight="false" outlineLevel="0" collapsed="false">
      <c r="A649" s="10" t="s">
        <v>598</v>
      </c>
      <c r="B649" s="10" t="s">
        <v>740</v>
      </c>
      <c r="C649" s="10" t="s">
        <v>599</v>
      </c>
      <c r="D649" s="10" t="s">
        <v>743</v>
      </c>
      <c r="E649" s="21" t="str">
        <f aca="false">IF(A649="","",A649&amp;"|"&amp;D649)</f>
        <v>Polysorbate 80|Compendial tests</v>
      </c>
      <c r="F649" s="16" t="s">
        <v>662</v>
      </c>
      <c r="G649" s="16" t="s">
        <v>670</v>
      </c>
      <c r="H649" s="16" t="s">
        <v>672</v>
      </c>
      <c r="I649" s="16" t="n">
        <v>1</v>
      </c>
      <c r="J649" s="16"/>
      <c r="K649" s="14"/>
      <c r="L649" s="14"/>
      <c r="M649" s="14"/>
      <c r="N649" s="14"/>
      <c r="O649" s="14"/>
      <c r="P649" s="18" t="n">
        <f aca="false">IF(N649="",0,IF(OR(M649="",O649=""),N649,(M649+4*N649+O649)/6))</f>
        <v>0</v>
      </c>
      <c r="Q649" s="14"/>
      <c r="R649" s="14"/>
      <c r="S649" s="14"/>
      <c r="T649" s="14"/>
      <c r="U649" s="16"/>
      <c r="V649" s="13"/>
      <c r="W649" s="16" t="s">
        <v>667</v>
      </c>
      <c r="X649" s="16"/>
      <c r="Y649" s="16"/>
      <c r="Z649" s="16" t="s">
        <v>744</v>
      </c>
      <c r="AA649" s="22" t="n">
        <f aca="false">IF(F649&lt;&gt;"Y",0,((SUMIF(Products!$E$5:$E$300,A649,Products!$F$5:$F$300)+SUMIF(RM_Lots!$A$5:$A$400,A649,RM_Lots!$D$5:$D$400))+IF(W649="Y",SUMIF(Products!$E$5:$E$300,A649,Products!$G$5:$G$300),0))*(1+N(V649)))</f>
        <v>0</v>
      </c>
      <c r="AB649" s="22" t="n">
        <f aca="false">IF(F649&lt;&gt;"Y",0,((SUMIF(Products!$E$5:$E$300,A649,Products!$K$5:$K$300)+SUMIF(RM_Lots!$A$5:$A$400,A649,RM_Lots!$F$5:$F$400))+IF(W649="Y",SUMIF(Products!$E$5:$E$300,A649,Products!$L$5:$L$300),0))*(1+N(V649)))</f>
        <v>0</v>
      </c>
      <c r="AC649" s="17" t="n">
        <f aca="false">IF(J649="",1,MAX(1,COUNTIFS($J$5:$J$863,J649,$F$5:$F$863,"Y")))</f>
        <v>1</v>
      </c>
      <c r="AD649" s="18" t="n">
        <f aca="false">(MAX(1,N(I649))*(P649+N(S649))+MAX(1,N(I649))*N(K649)/(MAX(1,N(U649))*AC649))*Settings!$B$9</f>
        <v>0</v>
      </c>
      <c r="AE649" s="18" t="n">
        <f aca="false">(MAX(1,N(I649))*N(Q649)+MAX(1,N(I649))*N(L649)/(MAX(1,N(U649))*AC649))*Settings!$B$8</f>
        <v>0</v>
      </c>
      <c r="AF649" s="18" t="n">
        <f aca="false">MAX(1,N(I649))*N(T649)</f>
        <v>0</v>
      </c>
      <c r="AG649" s="15" t="n">
        <f aca="false">AA649*N(AD649)</f>
        <v>0</v>
      </c>
      <c r="AH649" s="15" t="n">
        <f aca="false">AA649*N(AE649)</f>
        <v>0</v>
      </c>
      <c r="AI649" s="15" t="n">
        <f aca="false">AA649*N(AF649)</f>
        <v>0</v>
      </c>
      <c r="AJ649" s="15" t="n">
        <f aca="false">AA649*N(R649)</f>
        <v>0</v>
      </c>
      <c r="AK649" s="15" t="n">
        <f aca="false">AB649*N(AD649)</f>
        <v>0</v>
      </c>
      <c r="AL649" s="15" t="n">
        <f aca="false">AB649*N(AE649)</f>
        <v>0</v>
      </c>
      <c r="AM649" s="15" t="n">
        <f aca="false">AB649*N(AF649)</f>
        <v>0</v>
      </c>
      <c r="AN649" s="15" t="n">
        <f aca="false">AB649*N(R649)</f>
        <v>0</v>
      </c>
      <c r="AO649" s="21" t="str">
        <f aca="false">IF(F649&lt;&gt;"Y","n/a",IF(AND(N649&lt;&gt;"",OR(Q649&lt;&gt;"",G649="Other / bench",G649="None"),U649&lt;&gt;""),"OK","Missing"))</f>
        <v>Missing</v>
      </c>
    </row>
    <row r="650" customFormat="false" ht="15" hidden="false" customHeight="false" outlineLevel="0" collapsed="false">
      <c r="A650" s="10" t="s">
        <v>600</v>
      </c>
      <c r="B650" s="10" t="s">
        <v>740</v>
      </c>
      <c r="C650" s="10" t="s">
        <v>599</v>
      </c>
      <c r="D650" s="10" t="s">
        <v>743</v>
      </c>
      <c r="E650" s="21" t="str">
        <f aca="false">IF(A650="","",A650&amp;"|"&amp;D650)</f>
        <v>Sodium Lauryl Sulfate|Compendial tests</v>
      </c>
      <c r="F650" s="16" t="s">
        <v>662</v>
      </c>
      <c r="G650" s="16" t="s">
        <v>670</v>
      </c>
      <c r="H650" s="16" t="s">
        <v>672</v>
      </c>
      <c r="I650" s="16" t="n">
        <v>1</v>
      </c>
      <c r="J650" s="16"/>
      <c r="K650" s="14"/>
      <c r="L650" s="14"/>
      <c r="M650" s="14"/>
      <c r="N650" s="14"/>
      <c r="O650" s="14"/>
      <c r="P650" s="18" t="n">
        <f aca="false">IF(N650="",0,IF(OR(M650="",O650=""),N650,(M650+4*N650+O650)/6))</f>
        <v>0</v>
      </c>
      <c r="Q650" s="14"/>
      <c r="R650" s="14"/>
      <c r="S650" s="14"/>
      <c r="T650" s="14"/>
      <c r="U650" s="16"/>
      <c r="V650" s="13"/>
      <c r="W650" s="16" t="s">
        <v>667</v>
      </c>
      <c r="X650" s="16"/>
      <c r="Y650" s="16"/>
      <c r="Z650" s="16" t="s">
        <v>744</v>
      </c>
      <c r="AA650" s="22" t="n">
        <f aca="false">IF(F650&lt;&gt;"Y",0,((SUMIF(Products!$E$5:$E$300,A650,Products!$F$5:$F$300)+SUMIF(RM_Lots!$A$5:$A$400,A650,RM_Lots!$D$5:$D$400))+IF(W650="Y",SUMIF(Products!$E$5:$E$300,A650,Products!$G$5:$G$300),0))*(1+N(V650)))</f>
        <v>0</v>
      </c>
      <c r="AB650" s="22" t="n">
        <f aca="false">IF(F650&lt;&gt;"Y",0,((SUMIF(Products!$E$5:$E$300,A650,Products!$K$5:$K$300)+SUMIF(RM_Lots!$A$5:$A$400,A650,RM_Lots!$F$5:$F$400))+IF(W650="Y",SUMIF(Products!$E$5:$E$300,A650,Products!$L$5:$L$300),0))*(1+N(V650)))</f>
        <v>0</v>
      </c>
      <c r="AC650" s="17" t="n">
        <f aca="false">IF(J650="",1,MAX(1,COUNTIFS($J$5:$J$863,J650,$F$5:$F$863,"Y")))</f>
        <v>1</v>
      </c>
      <c r="AD650" s="18" t="n">
        <f aca="false">(MAX(1,N(I650))*(P650+N(S650))+MAX(1,N(I650))*N(K650)/(MAX(1,N(U650))*AC650))*Settings!$B$9</f>
        <v>0</v>
      </c>
      <c r="AE650" s="18" t="n">
        <f aca="false">(MAX(1,N(I650))*N(Q650)+MAX(1,N(I650))*N(L650)/(MAX(1,N(U650))*AC650))*Settings!$B$8</f>
        <v>0</v>
      </c>
      <c r="AF650" s="18" t="n">
        <f aca="false">MAX(1,N(I650))*N(T650)</f>
        <v>0</v>
      </c>
      <c r="AG650" s="15" t="n">
        <f aca="false">AA650*N(AD650)</f>
        <v>0</v>
      </c>
      <c r="AH650" s="15" t="n">
        <f aca="false">AA650*N(AE650)</f>
        <v>0</v>
      </c>
      <c r="AI650" s="15" t="n">
        <f aca="false">AA650*N(AF650)</f>
        <v>0</v>
      </c>
      <c r="AJ650" s="15" t="n">
        <f aca="false">AA650*N(R650)</f>
        <v>0</v>
      </c>
      <c r="AK650" s="15" t="n">
        <f aca="false">AB650*N(AD650)</f>
        <v>0</v>
      </c>
      <c r="AL650" s="15" t="n">
        <f aca="false">AB650*N(AE650)</f>
        <v>0</v>
      </c>
      <c r="AM650" s="15" t="n">
        <f aca="false">AB650*N(AF650)</f>
        <v>0</v>
      </c>
      <c r="AN650" s="15" t="n">
        <f aca="false">AB650*N(R650)</f>
        <v>0</v>
      </c>
      <c r="AO650" s="21" t="str">
        <f aca="false">IF(F650&lt;&gt;"Y","n/a",IF(AND(N650&lt;&gt;"",OR(Q650&lt;&gt;"",G650="Other / bench",G650="None"),U650&lt;&gt;""),"OK","Missing"))</f>
        <v>Missing</v>
      </c>
    </row>
    <row r="651" customFormat="false" ht="15" hidden="false" customHeight="false" outlineLevel="0" collapsed="false">
      <c r="A651" s="10" t="s">
        <v>601</v>
      </c>
      <c r="B651" s="10" t="s">
        <v>740</v>
      </c>
      <c r="C651" s="10" t="s">
        <v>602</v>
      </c>
      <c r="D651" s="10" t="s">
        <v>743</v>
      </c>
      <c r="E651" s="21" t="str">
        <f aca="false">IF(A651="","",A651&amp;"|"&amp;D651)</f>
        <v>Microcrystalline Cellulose RC591|Compendial tests</v>
      </c>
      <c r="F651" s="16" t="s">
        <v>662</v>
      </c>
      <c r="G651" s="16" t="s">
        <v>670</v>
      </c>
      <c r="H651" s="16" t="s">
        <v>672</v>
      </c>
      <c r="I651" s="16" t="n">
        <v>1</v>
      </c>
      <c r="J651" s="16"/>
      <c r="K651" s="14"/>
      <c r="L651" s="14"/>
      <c r="M651" s="14"/>
      <c r="N651" s="14"/>
      <c r="O651" s="14"/>
      <c r="P651" s="18" t="n">
        <f aca="false">IF(N651="",0,IF(OR(M651="",O651=""),N651,(M651+4*N651+O651)/6))</f>
        <v>0</v>
      </c>
      <c r="Q651" s="14"/>
      <c r="R651" s="14"/>
      <c r="S651" s="14"/>
      <c r="T651" s="14"/>
      <c r="U651" s="16"/>
      <c r="V651" s="13"/>
      <c r="W651" s="16" t="s">
        <v>667</v>
      </c>
      <c r="X651" s="16"/>
      <c r="Y651" s="16"/>
      <c r="Z651" s="16" t="s">
        <v>744</v>
      </c>
      <c r="AA651" s="22" t="n">
        <f aca="false">IF(F651&lt;&gt;"Y",0,((SUMIF(Products!$E$5:$E$300,A651,Products!$F$5:$F$300)+SUMIF(RM_Lots!$A$5:$A$400,A651,RM_Lots!$D$5:$D$400))+IF(W651="Y",SUMIF(Products!$E$5:$E$300,A651,Products!$G$5:$G$300),0))*(1+N(V651)))</f>
        <v>0</v>
      </c>
      <c r="AB651" s="22" t="n">
        <f aca="false">IF(F651&lt;&gt;"Y",0,((SUMIF(Products!$E$5:$E$300,A651,Products!$K$5:$K$300)+SUMIF(RM_Lots!$A$5:$A$400,A651,RM_Lots!$F$5:$F$400))+IF(W651="Y",SUMIF(Products!$E$5:$E$300,A651,Products!$L$5:$L$300),0))*(1+N(V651)))</f>
        <v>0</v>
      </c>
      <c r="AC651" s="17" t="n">
        <f aca="false">IF(J651="",1,MAX(1,COUNTIFS($J$5:$J$863,J651,$F$5:$F$863,"Y")))</f>
        <v>1</v>
      </c>
      <c r="AD651" s="18" t="n">
        <f aca="false">(MAX(1,N(I651))*(P651+N(S651))+MAX(1,N(I651))*N(K651)/(MAX(1,N(U651))*AC651))*Settings!$B$9</f>
        <v>0</v>
      </c>
      <c r="AE651" s="18" t="n">
        <f aca="false">(MAX(1,N(I651))*N(Q651)+MAX(1,N(I651))*N(L651)/(MAX(1,N(U651))*AC651))*Settings!$B$8</f>
        <v>0</v>
      </c>
      <c r="AF651" s="18" t="n">
        <f aca="false">MAX(1,N(I651))*N(T651)</f>
        <v>0</v>
      </c>
      <c r="AG651" s="15" t="n">
        <f aca="false">AA651*N(AD651)</f>
        <v>0</v>
      </c>
      <c r="AH651" s="15" t="n">
        <f aca="false">AA651*N(AE651)</f>
        <v>0</v>
      </c>
      <c r="AI651" s="15" t="n">
        <f aca="false">AA651*N(AF651)</f>
        <v>0</v>
      </c>
      <c r="AJ651" s="15" t="n">
        <f aca="false">AA651*N(R651)</f>
        <v>0</v>
      </c>
      <c r="AK651" s="15" t="n">
        <f aca="false">AB651*N(AD651)</f>
        <v>0</v>
      </c>
      <c r="AL651" s="15" t="n">
        <f aca="false">AB651*N(AE651)</f>
        <v>0</v>
      </c>
      <c r="AM651" s="15" t="n">
        <f aca="false">AB651*N(AF651)</f>
        <v>0</v>
      </c>
      <c r="AN651" s="15" t="n">
        <f aca="false">AB651*N(R651)</f>
        <v>0</v>
      </c>
      <c r="AO651" s="21" t="str">
        <f aca="false">IF(F651&lt;&gt;"Y","n/a",IF(AND(N651&lt;&gt;"",OR(Q651&lt;&gt;"",G651="Other / bench",G651="None"),U651&lt;&gt;""),"OK","Missing"))</f>
        <v>Missing</v>
      </c>
    </row>
    <row r="652" customFormat="false" ht="15" hidden="false" customHeight="false" outlineLevel="0" collapsed="false">
      <c r="A652" s="10" t="s">
        <v>603</v>
      </c>
      <c r="B652" s="10" t="s">
        <v>740</v>
      </c>
      <c r="C652" s="10" t="s">
        <v>602</v>
      </c>
      <c r="D652" s="10" t="s">
        <v>743</v>
      </c>
      <c r="E652" s="21" t="str">
        <f aca="false">IF(A652="","",A652&amp;"|"&amp;D652)</f>
        <v>Sodium Carboxymethyl Cellulose (Medium Viscosity)|Compendial tests</v>
      </c>
      <c r="F652" s="16" t="s">
        <v>662</v>
      </c>
      <c r="G652" s="16" t="s">
        <v>670</v>
      </c>
      <c r="H652" s="16" t="s">
        <v>672</v>
      </c>
      <c r="I652" s="16" t="n">
        <v>1</v>
      </c>
      <c r="J652" s="16"/>
      <c r="K652" s="14"/>
      <c r="L652" s="14"/>
      <c r="M652" s="14"/>
      <c r="N652" s="14"/>
      <c r="O652" s="14"/>
      <c r="P652" s="18" t="n">
        <f aca="false">IF(N652="",0,IF(OR(M652="",O652=""),N652,(M652+4*N652+O652)/6))</f>
        <v>0</v>
      </c>
      <c r="Q652" s="14"/>
      <c r="R652" s="14"/>
      <c r="S652" s="14"/>
      <c r="T652" s="14"/>
      <c r="U652" s="16"/>
      <c r="V652" s="13"/>
      <c r="W652" s="16" t="s">
        <v>667</v>
      </c>
      <c r="X652" s="16"/>
      <c r="Y652" s="16"/>
      <c r="Z652" s="16" t="s">
        <v>744</v>
      </c>
      <c r="AA652" s="22" t="n">
        <f aca="false">IF(F652&lt;&gt;"Y",0,((SUMIF(Products!$E$5:$E$300,A652,Products!$F$5:$F$300)+SUMIF(RM_Lots!$A$5:$A$400,A652,RM_Lots!$D$5:$D$400))+IF(W652="Y",SUMIF(Products!$E$5:$E$300,A652,Products!$G$5:$G$300),0))*(1+N(V652)))</f>
        <v>0</v>
      </c>
      <c r="AB652" s="22" t="n">
        <f aca="false">IF(F652&lt;&gt;"Y",0,((SUMIF(Products!$E$5:$E$300,A652,Products!$K$5:$K$300)+SUMIF(RM_Lots!$A$5:$A$400,A652,RM_Lots!$F$5:$F$400))+IF(W652="Y",SUMIF(Products!$E$5:$E$300,A652,Products!$L$5:$L$300),0))*(1+N(V652)))</f>
        <v>0</v>
      </c>
      <c r="AC652" s="17" t="n">
        <f aca="false">IF(J652="",1,MAX(1,COUNTIFS($J$5:$J$863,J652,$F$5:$F$863,"Y")))</f>
        <v>1</v>
      </c>
      <c r="AD652" s="18" t="n">
        <f aca="false">(MAX(1,N(I652))*(P652+N(S652))+MAX(1,N(I652))*N(K652)/(MAX(1,N(U652))*AC652))*Settings!$B$9</f>
        <v>0</v>
      </c>
      <c r="AE652" s="18" t="n">
        <f aca="false">(MAX(1,N(I652))*N(Q652)+MAX(1,N(I652))*N(L652)/(MAX(1,N(U652))*AC652))*Settings!$B$8</f>
        <v>0</v>
      </c>
      <c r="AF652" s="18" t="n">
        <f aca="false">MAX(1,N(I652))*N(T652)</f>
        <v>0</v>
      </c>
      <c r="AG652" s="15" t="n">
        <f aca="false">AA652*N(AD652)</f>
        <v>0</v>
      </c>
      <c r="AH652" s="15" t="n">
        <f aca="false">AA652*N(AE652)</f>
        <v>0</v>
      </c>
      <c r="AI652" s="15" t="n">
        <f aca="false">AA652*N(AF652)</f>
        <v>0</v>
      </c>
      <c r="AJ652" s="15" t="n">
        <f aca="false">AA652*N(R652)</f>
        <v>0</v>
      </c>
      <c r="AK652" s="15" t="n">
        <f aca="false">AB652*N(AD652)</f>
        <v>0</v>
      </c>
      <c r="AL652" s="15" t="n">
        <f aca="false">AB652*N(AE652)</f>
        <v>0</v>
      </c>
      <c r="AM652" s="15" t="n">
        <f aca="false">AB652*N(AF652)</f>
        <v>0</v>
      </c>
      <c r="AN652" s="15" t="n">
        <f aca="false">AB652*N(R652)</f>
        <v>0</v>
      </c>
      <c r="AO652" s="21" t="str">
        <f aca="false">IF(F652&lt;&gt;"Y","n/a",IF(AND(N652&lt;&gt;"",OR(Q652&lt;&gt;"",G652="Other / bench",G652="None"),U652&lt;&gt;""),"OK","Missing"))</f>
        <v>Missing</v>
      </c>
    </row>
    <row r="653" customFormat="false" ht="15" hidden="false" customHeight="false" outlineLevel="0" collapsed="false">
      <c r="A653" s="10" t="s">
        <v>604</v>
      </c>
      <c r="B653" s="10" t="s">
        <v>740</v>
      </c>
      <c r="C653" s="10" t="s">
        <v>605</v>
      </c>
      <c r="D653" s="10" t="s">
        <v>743</v>
      </c>
      <c r="E653" s="21" t="str">
        <f aca="false">IF(A653="","",A653&amp;"|"&amp;D653)</f>
        <v>Neotame|Compendial tests</v>
      </c>
      <c r="F653" s="16" t="s">
        <v>662</v>
      </c>
      <c r="G653" s="16" t="s">
        <v>670</v>
      </c>
      <c r="H653" s="16" t="s">
        <v>672</v>
      </c>
      <c r="I653" s="16" t="n">
        <v>1</v>
      </c>
      <c r="J653" s="16"/>
      <c r="K653" s="14"/>
      <c r="L653" s="14"/>
      <c r="M653" s="14"/>
      <c r="N653" s="14"/>
      <c r="O653" s="14"/>
      <c r="P653" s="18" t="n">
        <f aca="false">IF(N653="",0,IF(OR(M653="",O653=""),N653,(M653+4*N653+O653)/6))</f>
        <v>0</v>
      </c>
      <c r="Q653" s="14"/>
      <c r="R653" s="14"/>
      <c r="S653" s="14"/>
      <c r="T653" s="14"/>
      <c r="U653" s="16"/>
      <c r="V653" s="13"/>
      <c r="W653" s="16" t="s">
        <v>667</v>
      </c>
      <c r="X653" s="16"/>
      <c r="Y653" s="16"/>
      <c r="Z653" s="16" t="s">
        <v>744</v>
      </c>
      <c r="AA653" s="22" t="n">
        <f aca="false">IF(F653&lt;&gt;"Y",0,((SUMIF(Products!$E$5:$E$300,A653,Products!$F$5:$F$300)+SUMIF(RM_Lots!$A$5:$A$400,A653,RM_Lots!$D$5:$D$400))+IF(W653="Y",SUMIF(Products!$E$5:$E$300,A653,Products!$G$5:$G$300),0))*(1+N(V653)))</f>
        <v>0</v>
      </c>
      <c r="AB653" s="22" t="n">
        <f aca="false">IF(F653&lt;&gt;"Y",0,((SUMIF(Products!$E$5:$E$300,A653,Products!$K$5:$K$300)+SUMIF(RM_Lots!$A$5:$A$400,A653,RM_Lots!$F$5:$F$400))+IF(W653="Y",SUMIF(Products!$E$5:$E$300,A653,Products!$L$5:$L$300),0))*(1+N(V653)))</f>
        <v>0</v>
      </c>
      <c r="AC653" s="17" t="n">
        <f aca="false">IF(J653="",1,MAX(1,COUNTIFS($J$5:$J$863,J653,$F$5:$F$863,"Y")))</f>
        <v>1</v>
      </c>
      <c r="AD653" s="18" t="n">
        <f aca="false">(MAX(1,N(I653))*(P653+N(S653))+MAX(1,N(I653))*N(K653)/(MAX(1,N(U653))*AC653))*Settings!$B$9</f>
        <v>0</v>
      </c>
      <c r="AE653" s="18" t="n">
        <f aca="false">(MAX(1,N(I653))*N(Q653)+MAX(1,N(I653))*N(L653)/(MAX(1,N(U653))*AC653))*Settings!$B$8</f>
        <v>0</v>
      </c>
      <c r="AF653" s="18" t="n">
        <f aca="false">MAX(1,N(I653))*N(T653)</f>
        <v>0</v>
      </c>
      <c r="AG653" s="15" t="n">
        <f aca="false">AA653*N(AD653)</f>
        <v>0</v>
      </c>
      <c r="AH653" s="15" t="n">
        <f aca="false">AA653*N(AE653)</f>
        <v>0</v>
      </c>
      <c r="AI653" s="15" t="n">
        <f aca="false">AA653*N(AF653)</f>
        <v>0</v>
      </c>
      <c r="AJ653" s="15" t="n">
        <f aca="false">AA653*N(R653)</f>
        <v>0</v>
      </c>
      <c r="AK653" s="15" t="n">
        <f aca="false">AB653*N(AD653)</f>
        <v>0</v>
      </c>
      <c r="AL653" s="15" t="n">
        <f aca="false">AB653*N(AE653)</f>
        <v>0</v>
      </c>
      <c r="AM653" s="15" t="n">
        <f aca="false">AB653*N(AF653)</f>
        <v>0</v>
      </c>
      <c r="AN653" s="15" t="n">
        <f aca="false">AB653*N(R653)</f>
        <v>0</v>
      </c>
      <c r="AO653" s="21" t="str">
        <f aca="false">IF(F653&lt;&gt;"Y","n/a",IF(AND(N653&lt;&gt;"",OR(Q653&lt;&gt;"",G653="Other / bench",G653="None"),U653&lt;&gt;""),"OK","Missing"))</f>
        <v>Missing</v>
      </c>
    </row>
    <row r="654" customFormat="false" ht="15" hidden="false" customHeight="false" outlineLevel="0" collapsed="false">
      <c r="A654" s="10" t="s">
        <v>606</v>
      </c>
      <c r="B654" s="10" t="s">
        <v>740</v>
      </c>
      <c r="C654" s="10" t="s">
        <v>605</v>
      </c>
      <c r="D654" s="10" t="s">
        <v>743</v>
      </c>
      <c r="E654" s="21" t="str">
        <f aca="false">IF(A654="","",A654&amp;"|"&amp;D654)</f>
        <v>Sorbitol Solution 70%|Compendial tests</v>
      </c>
      <c r="F654" s="16" t="s">
        <v>662</v>
      </c>
      <c r="G654" s="16" t="s">
        <v>670</v>
      </c>
      <c r="H654" s="16" t="s">
        <v>672</v>
      </c>
      <c r="I654" s="16" t="n">
        <v>1</v>
      </c>
      <c r="J654" s="16"/>
      <c r="K654" s="14"/>
      <c r="L654" s="14"/>
      <c r="M654" s="14"/>
      <c r="N654" s="14"/>
      <c r="O654" s="14"/>
      <c r="P654" s="18" t="n">
        <f aca="false">IF(N654="",0,IF(OR(M654="",O654=""),N654,(M654+4*N654+O654)/6))</f>
        <v>0</v>
      </c>
      <c r="Q654" s="14"/>
      <c r="R654" s="14"/>
      <c r="S654" s="14"/>
      <c r="T654" s="14"/>
      <c r="U654" s="16"/>
      <c r="V654" s="13"/>
      <c r="W654" s="16" t="s">
        <v>667</v>
      </c>
      <c r="X654" s="16"/>
      <c r="Y654" s="16"/>
      <c r="Z654" s="16" t="s">
        <v>744</v>
      </c>
      <c r="AA654" s="22" t="n">
        <f aca="false">IF(F654&lt;&gt;"Y",0,((SUMIF(Products!$E$5:$E$300,A654,Products!$F$5:$F$300)+SUMIF(RM_Lots!$A$5:$A$400,A654,RM_Lots!$D$5:$D$400))+IF(W654="Y",SUMIF(Products!$E$5:$E$300,A654,Products!$G$5:$G$300),0))*(1+N(V654)))</f>
        <v>0</v>
      </c>
      <c r="AB654" s="22" t="n">
        <f aca="false">IF(F654&lt;&gt;"Y",0,((SUMIF(Products!$E$5:$E$300,A654,Products!$K$5:$K$300)+SUMIF(RM_Lots!$A$5:$A$400,A654,RM_Lots!$F$5:$F$400))+IF(W654="Y",SUMIF(Products!$E$5:$E$300,A654,Products!$L$5:$L$300),0))*(1+N(V654)))</f>
        <v>0</v>
      </c>
      <c r="AC654" s="17" t="n">
        <f aca="false">IF(J654="",1,MAX(1,COUNTIFS($J$5:$J$863,J654,$F$5:$F$863,"Y")))</f>
        <v>1</v>
      </c>
      <c r="AD654" s="18" t="n">
        <f aca="false">(MAX(1,N(I654))*(P654+N(S654))+MAX(1,N(I654))*N(K654)/(MAX(1,N(U654))*AC654))*Settings!$B$9</f>
        <v>0</v>
      </c>
      <c r="AE654" s="18" t="n">
        <f aca="false">(MAX(1,N(I654))*N(Q654)+MAX(1,N(I654))*N(L654)/(MAX(1,N(U654))*AC654))*Settings!$B$8</f>
        <v>0</v>
      </c>
      <c r="AF654" s="18" t="n">
        <f aca="false">MAX(1,N(I654))*N(T654)</f>
        <v>0</v>
      </c>
      <c r="AG654" s="15" t="n">
        <f aca="false">AA654*N(AD654)</f>
        <v>0</v>
      </c>
      <c r="AH654" s="15" t="n">
        <f aca="false">AA654*N(AE654)</f>
        <v>0</v>
      </c>
      <c r="AI654" s="15" t="n">
        <f aca="false">AA654*N(AF654)</f>
        <v>0</v>
      </c>
      <c r="AJ654" s="15" t="n">
        <f aca="false">AA654*N(R654)</f>
        <v>0</v>
      </c>
      <c r="AK654" s="15" t="n">
        <f aca="false">AB654*N(AD654)</f>
        <v>0</v>
      </c>
      <c r="AL654" s="15" t="n">
        <f aca="false">AB654*N(AE654)</f>
        <v>0</v>
      </c>
      <c r="AM654" s="15" t="n">
        <f aca="false">AB654*N(AF654)</f>
        <v>0</v>
      </c>
      <c r="AN654" s="15" t="n">
        <f aca="false">AB654*N(R654)</f>
        <v>0</v>
      </c>
      <c r="AO654" s="21" t="str">
        <f aca="false">IF(F654&lt;&gt;"Y","n/a",IF(AND(N654&lt;&gt;"",OR(Q654&lt;&gt;"",G654="Other / bench",G654="None"),U654&lt;&gt;""),"OK","Missing"))</f>
        <v>Missing</v>
      </c>
    </row>
    <row r="655" customFormat="false" ht="15" hidden="false" customHeight="false" outlineLevel="0" collapsed="false">
      <c r="A655" s="10" t="s">
        <v>607</v>
      </c>
      <c r="B655" s="10" t="s">
        <v>740</v>
      </c>
      <c r="C655" s="10" t="s">
        <v>605</v>
      </c>
      <c r="D655" s="10" t="s">
        <v>743</v>
      </c>
      <c r="E655" s="21" t="str">
        <f aca="false">IF(A655="","",A655&amp;"|"&amp;D655)</f>
        <v>Sucralose|Compendial tests</v>
      </c>
      <c r="F655" s="16" t="s">
        <v>662</v>
      </c>
      <c r="G655" s="16" t="s">
        <v>670</v>
      </c>
      <c r="H655" s="16" t="s">
        <v>672</v>
      </c>
      <c r="I655" s="16" t="n">
        <v>1</v>
      </c>
      <c r="J655" s="16"/>
      <c r="K655" s="14"/>
      <c r="L655" s="14"/>
      <c r="M655" s="14"/>
      <c r="N655" s="14"/>
      <c r="O655" s="14"/>
      <c r="P655" s="18" t="n">
        <f aca="false">IF(N655="",0,IF(OR(M655="",O655=""),N655,(M655+4*N655+O655)/6))</f>
        <v>0</v>
      </c>
      <c r="Q655" s="14"/>
      <c r="R655" s="14"/>
      <c r="S655" s="14"/>
      <c r="T655" s="14"/>
      <c r="U655" s="16"/>
      <c r="V655" s="13"/>
      <c r="W655" s="16" t="s">
        <v>667</v>
      </c>
      <c r="X655" s="16"/>
      <c r="Y655" s="16"/>
      <c r="Z655" s="16" t="s">
        <v>744</v>
      </c>
      <c r="AA655" s="22" t="n">
        <f aca="false">IF(F655&lt;&gt;"Y",0,((SUMIF(Products!$E$5:$E$300,A655,Products!$F$5:$F$300)+SUMIF(RM_Lots!$A$5:$A$400,A655,RM_Lots!$D$5:$D$400))+IF(W655="Y",SUMIF(Products!$E$5:$E$300,A655,Products!$G$5:$G$300),0))*(1+N(V655)))</f>
        <v>0</v>
      </c>
      <c r="AB655" s="22" t="n">
        <f aca="false">IF(F655&lt;&gt;"Y",0,((SUMIF(Products!$E$5:$E$300,A655,Products!$K$5:$K$300)+SUMIF(RM_Lots!$A$5:$A$400,A655,RM_Lots!$F$5:$F$400))+IF(W655="Y",SUMIF(Products!$E$5:$E$300,A655,Products!$L$5:$L$300),0))*(1+N(V655)))</f>
        <v>0</v>
      </c>
      <c r="AC655" s="17" t="n">
        <f aca="false">IF(J655="",1,MAX(1,COUNTIFS($J$5:$J$863,J655,$F$5:$F$863,"Y")))</f>
        <v>1</v>
      </c>
      <c r="AD655" s="18" t="n">
        <f aca="false">(MAX(1,N(I655))*(P655+N(S655))+MAX(1,N(I655))*N(K655)/(MAX(1,N(U655))*AC655))*Settings!$B$9</f>
        <v>0</v>
      </c>
      <c r="AE655" s="18" t="n">
        <f aca="false">(MAX(1,N(I655))*N(Q655)+MAX(1,N(I655))*N(L655)/(MAX(1,N(U655))*AC655))*Settings!$B$8</f>
        <v>0</v>
      </c>
      <c r="AF655" s="18" t="n">
        <f aca="false">MAX(1,N(I655))*N(T655)</f>
        <v>0</v>
      </c>
      <c r="AG655" s="15" t="n">
        <f aca="false">AA655*N(AD655)</f>
        <v>0</v>
      </c>
      <c r="AH655" s="15" t="n">
        <f aca="false">AA655*N(AE655)</f>
        <v>0</v>
      </c>
      <c r="AI655" s="15" t="n">
        <f aca="false">AA655*N(AF655)</f>
        <v>0</v>
      </c>
      <c r="AJ655" s="15" t="n">
        <f aca="false">AA655*N(R655)</f>
        <v>0</v>
      </c>
      <c r="AK655" s="15" t="n">
        <f aca="false">AB655*N(AD655)</f>
        <v>0</v>
      </c>
      <c r="AL655" s="15" t="n">
        <f aca="false">AB655*N(AE655)</f>
        <v>0</v>
      </c>
      <c r="AM655" s="15" t="n">
        <f aca="false">AB655*N(AF655)</f>
        <v>0</v>
      </c>
      <c r="AN655" s="15" t="n">
        <f aca="false">AB655*N(R655)</f>
        <v>0</v>
      </c>
      <c r="AO655" s="21" t="str">
        <f aca="false">IF(F655&lt;&gt;"Y","n/a",IF(AND(N655&lt;&gt;"",OR(Q655&lt;&gt;"",G655="Other / bench",G655="None"),U655&lt;&gt;""),"OK","Missing"))</f>
        <v>Missing</v>
      </c>
    </row>
    <row r="656" customFormat="false" ht="15" hidden="false" customHeight="false" outlineLevel="0" collapsed="false">
      <c r="A656" s="10" t="s">
        <v>608</v>
      </c>
      <c r="B656" s="10" t="s">
        <v>740</v>
      </c>
      <c r="C656" s="10" t="s">
        <v>609</v>
      </c>
      <c r="D656" s="10" t="s">
        <v>743</v>
      </c>
      <c r="E656" s="21" t="str">
        <f aca="false">IF(A656="","",A656&amp;"|"&amp;D656)</f>
        <v>Sorbitol|Compendial tests</v>
      </c>
      <c r="F656" s="16" t="s">
        <v>662</v>
      </c>
      <c r="G656" s="16" t="s">
        <v>670</v>
      </c>
      <c r="H656" s="16" t="s">
        <v>672</v>
      </c>
      <c r="I656" s="16" t="n">
        <v>1</v>
      </c>
      <c r="J656" s="16"/>
      <c r="K656" s="14"/>
      <c r="L656" s="14"/>
      <c r="M656" s="14"/>
      <c r="N656" s="14"/>
      <c r="O656" s="14"/>
      <c r="P656" s="18" t="n">
        <f aca="false">IF(N656="",0,IF(OR(M656="",O656=""),N656,(M656+4*N656+O656)/6))</f>
        <v>0</v>
      </c>
      <c r="Q656" s="14"/>
      <c r="R656" s="14"/>
      <c r="S656" s="14"/>
      <c r="T656" s="14"/>
      <c r="U656" s="16"/>
      <c r="V656" s="13"/>
      <c r="W656" s="16" t="s">
        <v>667</v>
      </c>
      <c r="X656" s="16"/>
      <c r="Y656" s="16"/>
      <c r="Z656" s="16" t="s">
        <v>744</v>
      </c>
      <c r="AA656" s="22" t="n">
        <f aca="false">IF(F656&lt;&gt;"Y",0,((SUMIF(Products!$E$5:$E$300,A656,Products!$F$5:$F$300)+SUMIF(RM_Lots!$A$5:$A$400,A656,RM_Lots!$D$5:$D$400))+IF(W656="Y",SUMIF(Products!$E$5:$E$300,A656,Products!$G$5:$G$300),0))*(1+N(V656)))</f>
        <v>0</v>
      </c>
      <c r="AB656" s="22" t="n">
        <f aca="false">IF(F656&lt;&gt;"Y",0,((SUMIF(Products!$E$5:$E$300,A656,Products!$K$5:$K$300)+SUMIF(RM_Lots!$A$5:$A$400,A656,RM_Lots!$F$5:$F$400))+IF(W656="Y",SUMIF(Products!$E$5:$E$300,A656,Products!$L$5:$L$300),0))*(1+N(V656)))</f>
        <v>0</v>
      </c>
      <c r="AC656" s="17" t="n">
        <f aca="false">IF(J656="",1,MAX(1,COUNTIFS($J$5:$J$863,J656,$F$5:$F$863,"Y")))</f>
        <v>1</v>
      </c>
      <c r="AD656" s="18" t="n">
        <f aca="false">(MAX(1,N(I656))*(P656+N(S656))+MAX(1,N(I656))*N(K656)/(MAX(1,N(U656))*AC656))*Settings!$B$9</f>
        <v>0</v>
      </c>
      <c r="AE656" s="18" t="n">
        <f aca="false">(MAX(1,N(I656))*N(Q656)+MAX(1,N(I656))*N(L656)/(MAX(1,N(U656))*AC656))*Settings!$B$8</f>
        <v>0</v>
      </c>
      <c r="AF656" s="18" t="n">
        <f aca="false">MAX(1,N(I656))*N(T656)</f>
        <v>0</v>
      </c>
      <c r="AG656" s="15" t="n">
        <f aca="false">AA656*N(AD656)</f>
        <v>0</v>
      </c>
      <c r="AH656" s="15" t="n">
        <f aca="false">AA656*N(AE656)</f>
        <v>0</v>
      </c>
      <c r="AI656" s="15" t="n">
        <f aca="false">AA656*N(AF656)</f>
        <v>0</v>
      </c>
      <c r="AJ656" s="15" t="n">
        <f aca="false">AA656*N(R656)</f>
        <v>0</v>
      </c>
      <c r="AK656" s="15" t="n">
        <f aca="false">AB656*N(AD656)</f>
        <v>0</v>
      </c>
      <c r="AL656" s="15" t="n">
        <f aca="false">AB656*N(AE656)</f>
        <v>0</v>
      </c>
      <c r="AM656" s="15" t="n">
        <f aca="false">AB656*N(AF656)</f>
        <v>0</v>
      </c>
      <c r="AN656" s="15" t="n">
        <f aca="false">AB656*N(R656)</f>
        <v>0</v>
      </c>
      <c r="AO656" s="21" t="str">
        <f aca="false">IF(F656&lt;&gt;"Y","n/a",IF(AND(N656&lt;&gt;"",OR(Q656&lt;&gt;"",G656="Other / bench",G656="None"),U656&lt;&gt;""),"OK","Missing"))</f>
        <v>Missing</v>
      </c>
    </row>
    <row r="657" customFormat="false" ht="15" hidden="false" customHeight="false" outlineLevel="0" collapsed="false">
      <c r="A657" s="10" t="s">
        <v>610</v>
      </c>
      <c r="B657" s="10" t="s">
        <v>740</v>
      </c>
      <c r="C657" s="10" t="s">
        <v>609</v>
      </c>
      <c r="D657" s="10" t="s">
        <v>743</v>
      </c>
      <c r="E657" s="21" t="str">
        <f aca="false">IF(A657="","",A657&amp;"|"&amp;D657)</f>
        <v>Sucrose|Compendial tests</v>
      </c>
      <c r="F657" s="16" t="s">
        <v>662</v>
      </c>
      <c r="G657" s="16" t="s">
        <v>670</v>
      </c>
      <c r="H657" s="16" t="s">
        <v>672</v>
      </c>
      <c r="I657" s="16" t="n">
        <v>1</v>
      </c>
      <c r="J657" s="16"/>
      <c r="K657" s="14"/>
      <c r="L657" s="14"/>
      <c r="M657" s="14"/>
      <c r="N657" s="14"/>
      <c r="O657" s="14"/>
      <c r="P657" s="18" t="n">
        <f aca="false">IF(N657="",0,IF(OR(M657="",O657=""),N657,(M657+4*N657+O657)/6))</f>
        <v>0</v>
      </c>
      <c r="Q657" s="14"/>
      <c r="R657" s="14"/>
      <c r="S657" s="14"/>
      <c r="T657" s="14"/>
      <c r="U657" s="16"/>
      <c r="V657" s="13"/>
      <c r="W657" s="16" t="s">
        <v>667</v>
      </c>
      <c r="X657" s="16"/>
      <c r="Y657" s="16"/>
      <c r="Z657" s="16" t="s">
        <v>744</v>
      </c>
      <c r="AA657" s="22" t="n">
        <f aca="false">IF(F657&lt;&gt;"Y",0,((SUMIF(Products!$E$5:$E$300,A657,Products!$F$5:$F$300)+SUMIF(RM_Lots!$A$5:$A$400,A657,RM_Lots!$D$5:$D$400))+IF(W657="Y",SUMIF(Products!$E$5:$E$300,A657,Products!$G$5:$G$300),0))*(1+N(V657)))</f>
        <v>0</v>
      </c>
      <c r="AB657" s="22" t="n">
        <f aca="false">IF(F657&lt;&gt;"Y",0,((SUMIF(Products!$E$5:$E$300,A657,Products!$K$5:$K$300)+SUMIF(RM_Lots!$A$5:$A$400,A657,RM_Lots!$F$5:$F$400))+IF(W657="Y",SUMIF(Products!$E$5:$E$300,A657,Products!$L$5:$L$300),0))*(1+N(V657)))</f>
        <v>0</v>
      </c>
      <c r="AC657" s="17" t="n">
        <f aca="false">IF(J657="",1,MAX(1,COUNTIFS($J$5:$J$863,J657,$F$5:$F$863,"Y")))</f>
        <v>1</v>
      </c>
      <c r="AD657" s="18" t="n">
        <f aca="false">(MAX(1,N(I657))*(P657+N(S657))+MAX(1,N(I657))*N(K657)/(MAX(1,N(U657))*AC657))*Settings!$B$9</f>
        <v>0</v>
      </c>
      <c r="AE657" s="18" t="n">
        <f aca="false">(MAX(1,N(I657))*N(Q657)+MAX(1,N(I657))*N(L657)/(MAX(1,N(U657))*AC657))*Settings!$B$8</f>
        <v>0</v>
      </c>
      <c r="AF657" s="18" t="n">
        <f aca="false">MAX(1,N(I657))*N(T657)</f>
        <v>0</v>
      </c>
      <c r="AG657" s="15" t="n">
        <f aca="false">AA657*N(AD657)</f>
        <v>0</v>
      </c>
      <c r="AH657" s="15" t="n">
        <f aca="false">AA657*N(AE657)</f>
        <v>0</v>
      </c>
      <c r="AI657" s="15" t="n">
        <f aca="false">AA657*N(AF657)</f>
        <v>0</v>
      </c>
      <c r="AJ657" s="15" t="n">
        <f aca="false">AA657*N(R657)</f>
        <v>0</v>
      </c>
      <c r="AK657" s="15" t="n">
        <f aca="false">AB657*N(AD657)</f>
        <v>0</v>
      </c>
      <c r="AL657" s="15" t="n">
        <f aca="false">AB657*N(AE657)</f>
        <v>0</v>
      </c>
      <c r="AM657" s="15" t="n">
        <f aca="false">AB657*N(AF657)</f>
        <v>0</v>
      </c>
      <c r="AN657" s="15" t="n">
        <f aca="false">AB657*N(R657)</f>
        <v>0</v>
      </c>
      <c r="AO657" s="21" t="str">
        <f aca="false">IF(F657&lt;&gt;"Y","n/a",IF(AND(N657&lt;&gt;"",OR(Q657&lt;&gt;"",G657="Other / bench",G657="None"),U657&lt;&gt;""),"OK","Missing"))</f>
        <v>Missing</v>
      </c>
    </row>
    <row r="658" customFormat="false" ht="15" hidden="false" customHeight="false" outlineLevel="0" collapsed="false">
      <c r="A658" s="10" t="s">
        <v>611</v>
      </c>
      <c r="B658" s="10" t="s">
        <v>740</v>
      </c>
      <c r="C658" s="10" t="s">
        <v>612</v>
      </c>
      <c r="D658" s="10" t="s">
        <v>743</v>
      </c>
      <c r="E658" s="21" t="str">
        <f aca="false">IF(A658="","",A658&amp;"|"&amp;D658)</f>
        <v>Citric Acid|Compendial tests</v>
      </c>
      <c r="F658" s="16" t="s">
        <v>662</v>
      </c>
      <c r="G658" s="16" t="s">
        <v>670</v>
      </c>
      <c r="H658" s="16" t="s">
        <v>672</v>
      </c>
      <c r="I658" s="16" t="n">
        <v>1</v>
      </c>
      <c r="J658" s="16"/>
      <c r="K658" s="14"/>
      <c r="L658" s="14"/>
      <c r="M658" s="14"/>
      <c r="N658" s="14"/>
      <c r="O658" s="14"/>
      <c r="P658" s="18" t="n">
        <f aca="false">IF(N658="",0,IF(OR(M658="",O658=""),N658,(M658+4*N658+O658)/6))</f>
        <v>0</v>
      </c>
      <c r="Q658" s="14"/>
      <c r="R658" s="14"/>
      <c r="S658" s="14"/>
      <c r="T658" s="14"/>
      <c r="U658" s="16"/>
      <c r="V658" s="13"/>
      <c r="W658" s="16" t="s">
        <v>667</v>
      </c>
      <c r="X658" s="16"/>
      <c r="Y658" s="16"/>
      <c r="Z658" s="16" t="s">
        <v>744</v>
      </c>
      <c r="AA658" s="22" t="n">
        <f aca="false">IF(F658&lt;&gt;"Y",0,((SUMIF(Products!$E$5:$E$300,A658,Products!$F$5:$F$300)+SUMIF(RM_Lots!$A$5:$A$400,A658,RM_Lots!$D$5:$D$400))+IF(W658="Y",SUMIF(Products!$E$5:$E$300,A658,Products!$G$5:$G$300),0))*(1+N(V658)))</f>
        <v>0</v>
      </c>
      <c r="AB658" s="22" t="n">
        <f aca="false">IF(F658&lt;&gt;"Y",0,((SUMIF(Products!$E$5:$E$300,A658,Products!$K$5:$K$300)+SUMIF(RM_Lots!$A$5:$A$400,A658,RM_Lots!$F$5:$F$400))+IF(W658="Y",SUMIF(Products!$E$5:$E$300,A658,Products!$L$5:$L$300),0))*(1+N(V658)))</f>
        <v>0</v>
      </c>
      <c r="AC658" s="17" t="n">
        <f aca="false">IF(J658="",1,MAX(1,COUNTIFS($J$5:$J$863,J658,$F$5:$F$863,"Y")))</f>
        <v>1</v>
      </c>
      <c r="AD658" s="18" t="n">
        <f aca="false">(MAX(1,N(I658))*(P658+N(S658))+MAX(1,N(I658))*N(K658)/(MAX(1,N(U658))*AC658))*Settings!$B$9</f>
        <v>0</v>
      </c>
      <c r="AE658" s="18" t="n">
        <f aca="false">(MAX(1,N(I658))*N(Q658)+MAX(1,N(I658))*N(L658)/(MAX(1,N(U658))*AC658))*Settings!$B$8</f>
        <v>0</v>
      </c>
      <c r="AF658" s="18" t="n">
        <f aca="false">MAX(1,N(I658))*N(T658)</f>
        <v>0</v>
      </c>
      <c r="AG658" s="15" t="n">
        <f aca="false">AA658*N(AD658)</f>
        <v>0</v>
      </c>
      <c r="AH658" s="15" t="n">
        <f aca="false">AA658*N(AE658)</f>
        <v>0</v>
      </c>
      <c r="AI658" s="15" t="n">
        <f aca="false">AA658*N(AF658)</f>
        <v>0</v>
      </c>
      <c r="AJ658" s="15" t="n">
        <f aca="false">AA658*N(R658)</f>
        <v>0</v>
      </c>
      <c r="AK658" s="15" t="n">
        <f aca="false">AB658*N(AD658)</f>
        <v>0</v>
      </c>
      <c r="AL658" s="15" t="n">
        <f aca="false">AB658*N(AE658)</f>
        <v>0</v>
      </c>
      <c r="AM658" s="15" t="n">
        <f aca="false">AB658*N(AF658)</f>
        <v>0</v>
      </c>
      <c r="AN658" s="15" t="n">
        <f aca="false">AB658*N(R658)</f>
        <v>0</v>
      </c>
      <c r="AO658" s="21" t="str">
        <f aca="false">IF(F658&lt;&gt;"Y","n/a",IF(AND(N658&lt;&gt;"",OR(Q658&lt;&gt;"",G658="Other / bench",G658="None"),U658&lt;&gt;""),"OK","Missing"))</f>
        <v>Missing</v>
      </c>
    </row>
    <row r="659" customFormat="false" ht="15" hidden="false" customHeight="false" outlineLevel="0" collapsed="false">
      <c r="A659" s="10" t="s">
        <v>613</v>
      </c>
      <c r="B659" s="10" t="s">
        <v>740</v>
      </c>
      <c r="C659" s="10" t="s">
        <v>612</v>
      </c>
      <c r="D659" s="10" t="s">
        <v>743</v>
      </c>
      <c r="E659" s="21" t="str">
        <f aca="false">IF(A659="","",A659&amp;"|"&amp;D659)</f>
        <v>Citric Acid Anhydrous|Compendial tests</v>
      </c>
      <c r="F659" s="16" t="s">
        <v>662</v>
      </c>
      <c r="G659" s="16" t="s">
        <v>670</v>
      </c>
      <c r="H659" s="16" t="s">
        <v>672</v>
      </c>
      <c r="I659" s="16" t="n">
        <v>1</v>
      </c>
      <c r="J659" s="16"/>
      <c r="K659" s="14"/>
      <c r="L659" s="14"/>
      <c r="M659" s="14"/>
      <c r="N659" s="14"/>
      <c r="O659" s="14"/>
      <c r="P659" s="18" t="n">
        <f aca="false">IF(N659="",0,IF(OR(M659="",O659=""),N659,(M659+4*N659+O659)/6))</f>
        <v>0</v>
      </c>
      <c r="Q659" s="14"/>
      <c r="R659" s="14"/>
      <c r="S659" s="14"/>
      <c r="T659" s="14"/>
      <c r="U659" s="16"/>
      <c r="V659" s="13"/>
      <c r="W659" s="16" t="s">
        <v>667</v>
      </c>
      <c r="X659" s="16"/>
      <c r="Y659" s="16"/>
      <c r="Z659" s="16" t="s">
        <v>744</v>
      </c>
      <c r="AA659" s="22" t="n">
        <f aca="false">IF(F659&lt;&gt;"Y",0,((SUMIF(Products!$E$5:$E$300,A659,Products!$F$5:$F$300)+SUMIF(RM_Lots!$A$5:$A$400,A659,RM_Lots!$D$5:$D$400))+IF(W659="Y",SUMIF(Products!$E$5:$E$300,A659,Products!$G$5:$G$300),0))*(1+N(V659)))</f>
        <v>0</v>
      </c>
      <c r="AB659" s="22" t="n">
        <f aca="false">IF(F659&lt;&gt;"Y",0,((SUMIF(Products!$E$5:$E$300,A659,Products!$K$5:$K$300)+SUMIF(RM_Lots!$A$5:$A$400,A659,RM_Lots!$F$5:$F$400))+IF(W659="Y",SUMIF(Products!$E$5:$E$300,A659,Products!$L$5:$L$300),0))*(1+N(V659)))</f>
        <v>0</v>
      </c>
      <c r="AC659" s="17" t="n">
        <f aca="false">IF(J659="",1,MAX(1,COUNTIFS($J$5:$J$863,J659,$F$5:$F$863,"Y")))</f>
        <v>1</v>
      </c>
      <c r="AD659" s="18" t="n">
        <f aca="false">(MAX(1,N(I659))*(P659+N(S659))+MAX(1,N(I659))*N(K659)/(MAX(1,N(U659))*AC659))*Settings!$B$9</f>
        <v>0</v>
      </c>
      <c r="AE659" s="18" t="n">
        <f aca="false">(MAX(1,N(I659))*N(Q659)+MAX(1,N(I659))*N(L659)/(MAX(1,N(U659))*AC659))*Settings!$B$8</f>
        <v>0</v>
      </c>
      <c r="AF659" s="18" t="n">
        <f aca="false">MAX(1,N(I659))*N(T659)</f>
        <v>0</v>
      </c>
      <c r="AG659" s="15" t="n">
        <f aca="false">AA659*N(AD659)</f>
        <v>0</v>
      </c>
      <c r="AH659" s="15" t="n">
        <f aca="false">AA659*N(AE659)</f>
        <v>0</v>
      </c>
      <c r="AI659" s="15" t="n">
        <f aca="false">AA659*N(AF659)</f>
        <v>0</v>
      </c>
      <c r="AJ659" s="15" t="n">
        <f aca="false">AA659*N(R659)</f>
        <v>0</v>
      </c>
      <c r="AK659" s="15" t="n">
        <f aca="false">AB659*N(AD659)</f>
        <v>0</v>
      </c>
      <c r="AL659" s="15" t="n">
        <f aca="false">AB659*N(AE659)</f>
        <v>0</v>
      </c>
      <c r="AM659" s="15" t="n">
        <f aca="false">AB659*N(AF659)</f>
        <v>0</v>
      </c>
      <c r="AN659" s="15" t="n">
        <f aca="false">AB659*N(R659)</f>
        <v>0</v>
      </c>
      <c r="AO659" s="21" t="str">
        <f aca="false">IF(F659&lt;&gt;"Y","n/a",IF(AND(N659&lt;&gt;"",OR(Q659&lt;&gt;"",G659="Other / bench",G659="None"),U659&lt;&gt;""),"OK","Missing"))</f>
        <v>Missing</v>
      </c>
    </row>
    <row r="660" customFormat="false" ht="15" hidden="false" customHeight="false" outlineLevel="0" collapsed="false">
      <c r="A660" s="10" t="s">
        <v>614</v>
      </c>
      <c r="B660" s="10" t="s">
        <v>740</v>
      </c>
      <c r="C660" s="10" t="s">
        <v>612</v>
      </c>
      <c r="D660" s="10" t="s">
        <v>743</v>
      </c>
      <c r="E660" s="21" t="str">
        <f aca="false">IF(A660="","",A660&amp;"|"&amp;D660)</f>
        <v>Hydrochloric Acid Solution 37%|Compendial tests</v>
      </c>
      <c r="F660" s="16" t="s">
        <v>662</v>
      </c>
      <c r="G660" s="16" t="s">
        <v>670</v>
      </c>
      <c r="H660" s="16" t="s">
        <v>672</v>
      </c>
      <c r="I660" s="16" t="n">
        <v>1</v>
      </c>
      <c r="J660" s="16"/>
      <c r="K660" s="14"/>
      <c r="L660" s="14"/>
      <c r="M660" s="14"/>
      <c r="N660" s="14"/>
      <c r="O660" s="14"/>
      <c r="P660" s="18" t="n">
        <f aca="false">IF(N660="",0,IF(OR(M660="",O660=""),N660,(M660+4*N660+O660)/6))</f>
        <v>0</v>
      </c>
      <c r="Q660" s="14"/>
      <c r="R660" s="14"/>
      <c r="S660" s="14"/>
      <c r="T660" s="14"/>
      <c r="U660" s="16"/>
      <c r="V660" s="13"/>
      <c r="W660" s="16" t="s">
        <v>667</v>
      </c>
      <c r="X660" s="16"/>
      <c r="Y660" s="16"/>
      <c r="Z660" s="16" t="s">
        <v>744</v>
      </c>
      <c r="AA660" s="22" t="n">
        <f aca="false">IF(F660&lt;&gt;"Y",0,((SUMIF(Products!$E$5:$E$300,A660,Products!$F$5:$F$300)+SUMIF(RM_Lots!$A$5:$A$400,A660,RM_Lots!$D$5:$D$400))+IF(W660="Y",SUMIF(Products!$E$5:$E$300,A660,Products!$G$5:$G$300),0))*(1+N(V660)))</f>
        <v>0</v>
      </c>
      <c r="AB660" s="22" t="n">
        <f aca="false">IF(F660&lt;&gt;"Y",0,((SUMIF(Products!$E$5:$E$300,A660,Products!$K$5:$K$300)+SUMIF(RM_Lots!$A$5:$A$400,A660,RM_Lots!$F$5:$F$400))+IF(W660="Y",SUMIF(Products!$E$5:$E$300,A660,Products!$L$5:$L$300),0))*(1+N(V660)))</f>
        <v>0</v>
      </c>
      <c r="AC660" s="17" t="n">
        <f aca="false">IF(J660="",1,MAX(1,COUNTIFS($J$5:$J$863,J660,$F$5:$F$863,"Y")))</f>
        <v>1</v>
      </c>
      <c r="AD660" s="18" t="n">
        <f aca="false">(MAX(1,N(I660))*(P660+N(S660))+MAX(1,N(I660))*N(K660)/(MAX(1,N(U660))*AC660))*Settings!$B$9</f>
        <v>0</v>
      </c>
      <c r="AE660" s="18" t="n">
        <f aca="false">(MAX(1,N(I660))*N(Q660)+MAX(1,N(I660))*N(L660)/(MAX(1,N(U660))*AC660))*Settings!$B$8</f>
        <v>0</v>
      </c>
      <c r="AF660" s="18" t="n">
        <f aca="false">MAX(1,N(I660))*N(T660)</f>
        <v>0</v>
      </c>
      <c r="AG660" s="15" t="n">
        <f aca="false">AA660*N(AD660)</f>
        <v>0</v>
      </c>
      <c r="AH660" s="15" t="n">
        <f aca="false">AA660*N(AE660)</f>
        <v>0</v>
      </c>
      <c r="AI660" s="15" t="n">
        <f aca="false">AA660*N(AF660)</f>
        <v>0</v>
      </c>
      <c r="AJ660" s="15" t="n">
        <f aca="false">AA660*N(R660)</f>
        <v>0</v>
      </c>
      <c r="AK660" s="15" t="n">
        <f aca="false">AB660*N(AD660)</f>
        <v>0</v>
      </c>
      <c r="AL660" s="15" t="n">
        <f aca="false">AB660*N(AE660)</f>
        <v>0</v>
      </c>
      <c r="AM660" s="15" t="n">
        <f aca="false">AB660*N(AF660)</f>
        <v>0</v>
      </c>
      <c r="AN660" s="15" t="n">
        <f aca="false">AB660*N(R660)</f>
        <v>0</v>
      </c>
      <c r="AO660" s="21" t="str">
        <f aca="false">IF(F660&lt;&gt;"Y","n/a",IF(AND(N660&lt;&gt;"",OR(Q660&lt;&gt;"",G660="Other / bench",G660="None"),U660&lt;&gt;""),"OK","Missing"))</f>
        <v>Missing</v>
      </c>
    </row>
    <row r="661" customFormat="false" ht="15" hidden="false" customHeight="false" outlineLevel="0" collapsed="false">
      <c r="A661" s="10" t="s">
        <v>615</v>
      </c>
      <c r="B661" s="10" t="s">
        <v>740</v>
      </c>
      <c r="C661" s="10" t="s">
        <v>612</v>
      </c>
      <c r="D661" s="10" t="s">
        <v>743</v>
      </c>
      <c r="E661" s="21" t="str">
        <f aca="false">IF(A661="","",A661&amp;"|"&amp;D661)</f>
        <v>Sodium Bicarbonate|Compendial tests</v>
      </c>
      <c r="F661" s="16" t="s">
        <v>662</v>
      </c>
      <c r="G661" s="16" t="s">
        <v>670</v>
      </c>
      <c r="H661" s="16" t="s">
        <v>672</v>
      </c>
      <c r="I661" s="16" t="n">
        <v>1</v>
      </c>
      <c r="J661" s="16"/>
      <c r="K661" s="14"/>
      <c r="L661" s="14"/>
      <c r="M661" s="14"/>
      <c r="N661" s="14"/>
      <c r="O661" s="14"/>
      <c r="P661" s="18" t="n">
        <f aca="false">IF(N661="",0,IF(OR(M661="",O661=""),N661,(M661+4*N661+O661)/6))</f>
        <v>0</v>
      </c>
      <c r="Q661" s="14"/>
      <c r="R661" s="14"/>
      <c r="S661" s="14"/>
      <c r="T661" s="14"/>
      <c r="U661" s="16"/>
      <c r="V661" s="13"/>
      <c r="W661" s="16" t="s">
        <v>667</v>
      </c>
      <c r="X661" s="16"/>
      <c r="Y661" s="16"/>
      <c r="Z661" s="16" t="s">
        <v>744</v>
      </c>
      <c r="AA661" s="22" t="n">
        <f aca="false">IF(F661&lt;&gt;"Y",0,((SUMIF(Products!$E$5:$E$300,A661,Products!$F$5:$F$300)+SUMIF(RM_Lots!$A$5:$A$400,A661,RM_Lots!$D$5:$D$400))+IF(W661="Y",SUMIF(Products!$E$5:$E$300,A661,Products!$G$5:$G$300),0))*(1+N(V661)))</f>
        <v>0</v>
      </c>
      <c r="AB661" s="22" t="n">
        <f aca="false">IF(F661&lt;&gt;"Y",0,((SUMIF(Products!$E$5:$E$300,A661,Products!$K$5:$K$300)+SUMIF(RM_Lots!$A$5:$A$400,A661,RM_Lots!$F$5:$F$400))+IF(W661="Y",SUMIF(Products!$E$5:$E$300,A661,Products!$L$5:$L$300),0))*(1+N(V661)))</f>
        <v>0</v>
      </c>
      <c r="AC661" s="17" t="n">
        <f aca="false">IF(J661="",1,MAX(1,COUNTIFS($J$5:$J$863,J661,$F$5:$F$863,"Y")))</f>
        <v>1</v>
      </c>
      <c r="AD661" s="18" t="n">
        <f aca="false">(MAX(1,N(I661))*(P661+N(S661))+MAX(1,N(I661))*N(K661)/(MAX(1,N(U661))*AC661))*Settings!$B$9</f>
        <v>0</v>
      </c>
      <c r="AE661" s="18" t="n">
        <f aca="false">(MAX(1,N(I661))*N(Q661)+MAX(1,N(I661))*N(L661)/(MAX(1,N(U661))*AC661))*Settings!$B$8</f>
        <v>0</v>
      </c>
      <c r="AF661" s="18" t="n">
        <f aca="false">MAX(1,N(I661))*N(T661)</f>
        <v>0</v>
      </c>
      <c r="AG661" s="15" t="n">
        <f aca="false">AA661*N(AD661)</f>
        <v>0</v>
      </c>
      <c r="AH661" s="15" t="n">
        <f aca="false">AA661*N(AE661)</f>
        <v>0</v>
      </c>
      <c r="AI661" s="15" t="n">
        <f aca="false">AA661*N(AF661)</f>
        <v>0</v>
      </c>
      <c r="AJ661" s="15" t="n">
        <f aca="false">AA661*N(R661)</f>
        <v>0</v>
      </c>
      <c r="AK661" s="15" t="n">
        <f aca="false">AB661*N(AD661)</f>
        <v>0</v>
      </c>
      <c r="AL661" s="15" t="n">
        <f aca="false">AB661*N(AE661)</f>
        <v>0</v>
      </c>
      <c r="AM661" s="15" t="n">
        <f aca="false">AB661*N(AF661)</f>
        <v>0</v>
      </c>
      <c r="AN661" s="15" t="n">
        <f aca="false">AB661*N(R661)</f>
        <v>0</v>
      </c>
      <c r="AO661" s="21" t="str">
        <f aca="false">IF(F661&lt;&gt;"Y","n/a",IF(AND(N661&lt;&gt;"",OR(Q661&lt;&gt;"",G661="Other / bench",G661="None"),U661&lt;&gt;""),"OK","Missing"))</f>
        <v>Missing</v>
      </c>
    </row>
    <row r="662" customFormat="false" ht="15" hidden="false" customHeight="false" outlineLevel="0" collapsed="false">
      <c r="A662" s="10" t="s">
        <v>616</v>
      </c>
      <c r="B662" s="10" t="s">
        <v>740</v>
      </c>
      <c r="C662" s="10" t="s">
        <v>612</v>
      </c>
      <c r="D662" s="10" t="s">
        <v>743</v>
      </c>
      <c r="E662" s="21" t="str">
        <f aca="false">IF(A662="","",A662&amp;"|"&amp;D662)</f>
        <v>Sodium Citrate|Compendial tests</v>
      </c>
      <c r="F662" s="16" t="s">
        <v>662</v>
      </c>
      <c r="G662" s="16" t="s">
        <v>670</v>
      </c>
      <c r="H662" s="16" t="s">
        <v>672</v>
      </c>
      <c r="I662" s="16" t="n">
        <v>1</v>
      </c>
      <c r="J662" s="16"/>
      <c r="K662" s="14"/>
      <c r="L662" s="14"/>
      <c r="M662" s="14"/>
      <c r="N662" s="14"/>
      <c r="O662" s="14"/>
      <c r="P662" s="18" t="n">
        <f aca="false">IF(N662="",0,IF(OR(M662="",O662=""),N662,(M662+4*N662+O662)/6))</f>
        <v>0</v>
      </c>
      <c r="Q662" s="14"/>
      <c r="R662" s="14"/>
      <c r="S662" s="14"/>
      <c r="T662" s="14"/>
      <c r="U662" s="16"/>
      <c r="V662" s="13"/>
      <c r="W662" s="16" t="s">
        <v>667</v>
      </c>
      <c r="X662" s="16"/>
      <c r="Y662" s="16"/>
      <c r="Z662" s="16" t="s">
        <v>744</v>
      </c>
      <c r="AA662" s="22" t="n">
        <f aca="false">IF(F662&lt;&gt;"Y",0,((SUMIF(Products!$E$5:$E$300,A662,Products!$F$5:$F$300)+SUMIF(RM_Lots!$A$5:$A$400,A662,RM_Lots!$D$5:$D$400))+IF(W662="Y",SUMIF(Products!$E$5:$E$300,A662,Products!$G$5:$G$300),0))*(1+N(V662)))</f>
        <v>0</v>
      </c>
      <c r="AB662" s="22" t="n">
        <f aca="false">IF(F662&lt;&gt;"Y",0,((SUMIF(Products!$E$5:$E$300,A662,Products!$K$5:$K$300)+SUMIF(RM_Lots!$A$5:$A$400,A662,RM_Lots!$F$5:$F$400))+IF(W662="Y",SUMIF(Products!$E$5:$E$300,A662,Products!$L$5:$L$300),0))*(1+N(V662)))</f>
        <v>0</v>
      </c>
      <c r="AC662" s="17" t="n">
        <f aca="false">IF(J662="",1,MAX(1,COUNTIFS($J$5:$J$863,J662,$F$5:$F$863,"Y")))</f>
        <v>1</v>
      </c>
      <c r="AD662" s="18" t="n">
        <f aca="false">(MAX(1,N(I662))*(P662+N(S662))+MAX(1,N(I662))*N(K662)/(MAX(1,N(U662))*AC662))*Settings!$B$9</f>
        <v>0</v>
      </c>
      <c r="AE662" s="18" t="n">
        <f aca="false">(MAX(1,N(I662))*N(Q662)+MAX(1,N(I662))*N(L662)/(MAX(1,N(U662))*AC662))*Settings!$B$8</f>
        <v>0</v>
      </c>
      <c r="AF662" s="18" t="n">
        <f aca="false">MAX(1,N(I662))*N(T662)</f>
        <v>0</v>
      </c>
      <c r="AG662" s="15" t="n">
        <f aca="false">AA662*N(AD662)</f>
        <v>0</v>
      </c>
      <c r="AH662" s="15" t="n">
        <f aca="false">AA662*N(AE662)</f>
        <v>0</v>
      </c>
      <c r="AI662" s="15" t="n">
        <f aca="false">AA662*N(AF662)</f>
        <v>0</v>
      </c>
      <c r="AJ662" s="15" t="n">
        <f aca="false">AA662*N(R662)</f>
        <v>0</v>
      </c>
      <c r="AK662" s="15" t="n">
        <f aca="false">AB662*N(AD662)</f>
        <v>0</v>
      </c>
      <c r="AL662" s="15" t="n">
        <f aca="false">AB662*N(AE662)</f>
        <v>0</v>
      </c>
      <c r="AM662" s="15" t="n">
        <f aca="false">AB662*N(AF662)</f>
        <v>0</v>
      </c>
      <c r="AN662" s="15" t="n">
        <f aca="false">AB662*N(R662)</f>
        <v>0</v>
      </c>
      <c r="AO662" s="21" t="str">
        <f aca="false">IF(F662&lt;&gt;"Y","n/a",IF(AND(N662&lt;&gt;"",OR(Q662&lt;&gt;"",G662="Other / bench",G662="None"),U662&lt;&gt;""),"OK","Missing"))</f>
        <v>Missing</v>
      </c>
    </row>
    <row r="663" customFormat="false" ht="15" hidden="false" customHeight="false" outlineLevel="0" collapsed="false">
      <c r="A663" s="10" t="s">
        <v>617</v>
      </c>
      <c r="B663" s="10" t="s">
        <v>740</v>
      </c>
      <c r="C663" s="10" t="s">
        <v>612</v>
      </c>
      <c r="D663" s="10" t="s">
        <v>743</v>
      </c>
      <c r="E663" s="21" t="str">
        <f aca="false">IF(A663="","",A663&amp;"|"&amp;D663)</f>
        <v>Sodium Citrate Dihydrate|Compendial tests</v>
      </c>
      <c r="F663" s="16" t="s">
        <v>662</v>
      </c>
      <c r="G663" s="16" t="s">
        <v>670</v>
      </c>
      <c r="H663" s="16" t="s">
        <v>672</v>
      </c>
      <c r="I663" s="16" t="n">
        <v>1</v>
      </c>
      <c r="J663" s="16"/>
      <c r="K663" s="14"/>
      <c r="L663" s="14"/>
      <c r="M663" s="14"/>
      <c r="N663" s="14"/>
      <c r="O663" s="14"/>
      <c r="P663" s="18" t="n">
        <f aca="false">IF(N663="",0,IF(OR(M663="",O663=""),N663,(M663+4*N663+O663)/6))</f>
        <v>0</v>
      </c>
      <c r="Q663" s="14"/>
      <c r="R663" s="14"/>
      <c r="S663" s="14"/>
      <c r="T663" s="14"/>
      <c r="U663" s="16"/>
      <c r="V663" s="13"/>
      <c r="W663" s="16" t="s">
        <v>667</v>
      </c>
      <c r="X663" s="16"/>
      <c r="Y663" s="16"/>
      <c r="Z663" s="16" t="s">
        <v>744</v>
      </c>
      <c r="AA663" s="22" t="n">
        <f aca="false">IF(F663&lt;&gt;"Y",0,((SUMIF(Products!$E$5:$E$300,A663,Products!$F$5:$F$300)+SUMIF(RM_Lots!$A$5:$A$400,A663,RM_Lots!$D$5:$D$400))+IF(W663="Y",SUMIF(Products!$E$5:$E$300,A663,Products!$G$5:$G$300),0))*(1+N(V663)))</f>
        <v>0</v>
      </c>
      <c r="AB663" s="22" t="n">
        <f aca="false">IF(F663&lt;&gt;"Y",0,((SUMIF(Products!$E$5:$E$300,A663,Products!$K$5:$K$300)+SUMIF(RM_Lots!$A$5:$A$400,A663,RM_Lots!$F$5:$F$400))+IF(W663="Y",SUMIF(Products!$E$5:$E$300,A663,Products!$L$5:$L$300),0))*(1+N(V663)))</f>
        <v>0</v>
      </c>
      <c r="AC663" s="17" t="n">
        <f aca="false">IF(J663="",1,MAX(1,COUNTIFS($J$5:$J$863,J663,$F$5:$F$863,"Y")))</f>
        <v>1</v>
      </c>
      <c r="AD663" s="18" t="n">
        <f aca="false">(MAX(1,N(I663))*(P663+N(S663))+MAX(1,N(I663))*N(K663)/(MAX(1,N(U663))*AC663))*Settings!$B$9</f>
        <v>0</v>
      </c>
      <c r="AE663" s="18" t="n">
        <f aca="false">(MAX(1,N(I663))*N(Q663)+MAX(1,N(I663))*N(L663)/(MAX(1,N(U663))*AC663))*Settings!$B$8</f>
        <v>0</v>
      </c>
      <c r="AF663" s="18" t="n">
        <f aca="false">MAX(1,N(I663))*N(T663)</f>
        <v>0</v>
      </c>
      <c r="AG663" s="15" t="n">
        <f aca="false">AA663*N(AD663)</f>
        <v>0</v>
      </c>
      <c r="AH663" s="15" t="n">
        <f aca="false">AA663*N(AE663)</f>
        <v>0</v>
      </c>
      <c r="AI663" s="15" t="n">
        <f aca="false">AA663*N(AF663)</f>
        <v>0</v>
      </c>
      <c r="AJ663" s="15" t="n">
        <f aca="false">AA663*N(R663)</f>
        <v>0</v>
      </c>
      <c r="AK663" s="15" t="n">
        <f aca="false">AB663*N(AD663)</f>
        <v>0</v>
      </c>
      <c r="AL663" s="15" t="n">
        <f aca="false">AB663*N(AE663)</f>
        <v>0</v>
      </c>
      <c r="AM663" s="15" t="n">
        <f aca="false">AB663*N(AF663)</f>
        <v>0</v>
      </c>
      <c r="AN663" s="15" t="n">
        <f aca="false">AB663*N(R663)</f>
        <v>0</v>
      </c>
      <c r="AO663" s="21" t="str">
        <f aca="false">IF(F663&lt;&gt;"Y","n/a",IF(AND(N663&lt;&gt;"",OR(Q663&lt;&gt;"",G663="Other / bench",G663="None"),U663&lt;&gt;""),"OK","Missing"))</f>
        <v>Missing</v>
      </c>
    </row>
    <row r="664" customFormat="false" ht="15" hidden="false" customHeight="false" outlineLevel="0" collapsed="false">
      <c r="A664" s="16"/>
      <c r="B664" s="16"/>
      <c r="C664" s="16"/>
      <c r="D664" s="16"/>
      <c r="E664" s="21" t="str">
        <f aca="false">IF(A664="","",A664&amp;"|"&amp;D664)</f>
        <v/>
      </c>
      <c r="F664" s="16"/>
      <c r="G664" s="16"/>
      <c r="H664" s="16"/>
      <c r="I664" s="16"/>
      <c r="J664" s="16"/>
      <c r="K664" s="14"/>
      <c r="L664" s="14"/>
      <c r="M664" s="14"/>
      <c r="N664" s="14"/>
      <c r="O664" s="14"/>
      <c r="P664" s="18" t="n">
        <f aca="false">IF(N664="",0,IF(OR(M664="",O664=""),N664,(M664+4*N664+O664)/6))</f>
        <v>0</v>
      </c>
      <c r="Q664" s="14"/>
      <c r="R664" s="14"/>
      <c r="S664" s="14"/>
      <c r="T664" s="14"/>
      <c r="U664" s="16"/>
      <c r="V664" s="13"/>
      <c r="W664" s="16"/>
      <c r="X664" s="16"/>
      <c r="Y664" s="16"/>
      <c r="Z664" s="16"/>
      <c r="AA664" s="22" t="n">
        <f aca="false">IF(F664&lt;&gt;"Y",0,((SUMIF(Products!$E$5:$E$300,A664,Products!$F$5:$F$300)+SUMIF(RM_Lots!$A$5:$A$400,A664,RM_Lots!$D$5:$D$400))+IF(W664="Y",SUMIF(Products!$E$5:$E$300,A664,Products!$G$5:$G$300),0))*(1+N(V664)))</f>
        <v>0</v>
      </c>
      <c r="AB664" s="22" t="n">
        <f aca="false">IF(F664&lt;&gt;"Y",0,((SUMIF(Products!$E$5:$E$300,A664,Products!$K$5:$K$300)+SUMIF(RM_Lots!$A$5:$A$400,A664,RM_Lots!$F$5:$F$400))+IF(W664="Y",SUMIF(Products!$E$5:$E$300,A664,Products!$L$5:$L$300),0))*(1+N(V664)))</f>
        <v>0</v>
      </c>
      <c r="AC664" s="17" t="n">
        <f aca="false">IF(J664="",1,MAX(1,COUNTIFS($J$5:$J$863,J664,$F$5:$F$863,"Y")))</f>
        <v>1</v>
      </c>
      <c r="AD664" s="18" t="n">
        <f aca="false">(MAX(1,N(I664))*(P664+N(S664))+MAX(1,N(I664))*N(K664)/(MAX(1,N(U664))*AC664))*Settings!$B$9</f>
        <v>0</v>
      </c>
      <c r="AE664" s="18" t="n">
        <f aca="false">(MAX(1,N(I664))*N(Q664)+MAX(1,N(I664))*N(L664)/(MAX(1,N(U664))*AC664))*Settings!$B$8</f>
        <v>0</v>
      </c>
      <c r="AF664" s="18" t="n">
        <f aca="false">MAX(1,N(I664))*N(T664)</f>
        <v>0</v>
      </c>
      <c r="AG664" s="15" t="n">
        <f aca="false">AA664*N(AD664)</f>
        <v>0</v>
      </c>
      <c r="AH664" s="15" t="n">
        <f aca="false">AA664*N(AE664)</f>
        <v>0</v>
      </c>
      <c r="AI664" s="15" t="n">
        <f aca="false">AA664*N(AF664)</f>
        <v>0</v>
      </c>
      <c r="AJ664" s="15" t="n">
        <f aca="false">AA664*N(R664)</f>
        <v>0</v>
      </c>
      <c r="AK664" s="15" t="n">
        <f aca="false">AB664*N(AD664)</f>
        <v>0</v>
      </c>
      <c r="AL664" s="15" t="n">
        <f aca="false">AB664*N(AE664)</f>
        <v>0</v>
      </c>
      <c r="AM664" s="15" t="n">
        <f aca="false">AB664*N(AF664)</f>
        <v>0</v>
      </c>
      <c r="AN664" s="15" t="n">
        <f aca="false">AB664*N(R664)</f>
        <v>0</v>
      </c>
      <c r="AO664" s="21" t="str">
        <f aca="false">IF(F664&lt;&gt;"Y","n/a",IF(AND(N664&lt;&gt;"",OR(Q664&lt;&gt;"",G664="Other / bench",G664="None"),U664&lt;&gt;""),"OK","Missing"))</f>
        <v>n/a</v>
      </c>
    </row>
    <row r="665" customFormat="false" ht="15" hidden="false" customHeight="false" outlineLevel="0" collapsed="false">
      <c r="A665" s="16"/>
      <c r="B665" s="16"/>
      <c r="C665" s="16"/>
      <c r="D665" s="16"/>
      <c r="E665" s="21" t="str">
        <f aca="false">IF(A665="","",A665&amp;"|"&amp;D665)</f>
        <v/>
      </c>
      <c r="F665" s="16"/>
      <c r="G665" s="16"/>
      <c r="H665" s="16"/>
      <c r="I665" s="16"/>
      <c r="J665" s="16"/>
      <c r="K665" s="14"/>
      <c r="L665" s="14"/>
      <c r="M665" s="14"/>
      <c r="N665" s="14"/>
      <c r="O665" s="14"/>
      <c r="P665" s="18" t="n">
        <f aca="false">IF(N665="",0,IF(OR(M665="",O665=""),N665,(M665+4*N665+O665)/6))</f>
        <v>0</v>
      </c>
      <c r="Q665" s="14"/>
      <c r="R665" s="14"/>
      <c r="S665" s="14"/>
      <c r="T665" s="14"/>
      <c r="U665" s="16"/>
      <c r="V665" s="13"/>
      <c r="W665" s="16"/>
      <c r="X665" s="16"/>
      <c r="Y665" s="16"/>
      <c r="Z665" s="16"/>
      <c r="AA665" s="22" t="n">
        <f aca="false">IF(F665&lt;&gt;"Y",0,((SUMIF(Products!$E$5:$E$300,A665,Products!$F$5:$F$300)+SUMIF(RM_Lots!$A$5:$A$400,A665,RM_Lots!$D$5:$D$400))+IF(W665="Y",SUMIF(Products!$E$5:$E$300,A665,Products!$G$5:$G$300),0))*(1+N(V665)))</f>
        <v>0</v>
      </c>
      <c r="AB665" s="22" t="n">
        <f aca="false">IF(F665&lt;&gt;"Y",0,((SUMIF(Products!$E$5:$E$300,A665,Products!$K$5:$K$300)+SUMIF(RM_Lots!$A$5:$A$400,A665,RM_Lots!$F$5:$F$400))+IF(W665="Y",SUMIF(Products!$E$5:$E$300,A665,Products!$L$5:$L$300),0))*(1+N(V665)))</f>
        <v>0</v>
      </c>
      <c r="AC665" s="17" t="n">
        <f aca="false">IF(J665="",1,MAX(1,COUNTIFS($J$5:$J$863,J665,$F$5:$F$863,"Y")))</f>
        <v>1</v>
      </c>
      <c r="AD665" s="18" t="n">
        <f aca="false">(MAX(1,N(I665))*(P665+N(S665))+MAX(1,N(I665))*N(K665)/(MAX(1,N(U665))*AC665))*Settings!$B$9</f>
        <v>0</v>
      </c>
      <c r="AE665" s="18" t="n">
        <f aca="false">(MAX(1,N(I665))*N(Q665)+MAX(1,N(I665))*N(L665)/(MAX(1,N(U665))*AC665))*Settings!$B$8</f>
        <v>0</v>
      </c>
      <c r="AF665" s="18" t="n">
        <f aca="false">MAX(1,N(I665))*N(T665)</f>
        <v>0</v>
      </c>
      <c r="AG665" s="15" t="n">
        <f aca="false">AA665*N(AD665)</f>
        <v>0</v>
      </c>
      <c r="AH665" s="15" t="n">
        <f aca="false">AA665*N(AE665)</f>
        <v>0</v>
      </c>
      <c r="AI665" s="15" t="n">
        <f aca="false">AA665*N(AF665)</f>
        <v>0</v>
      </c>
      <c r="AJ665" s="15" t="n">
        <f aca="false">AA665*N(R665)</f>
        <v>0</v>
      </c>
      <c r="AK665" s="15" t="n">
        <f aca="false">AB665*N(AD665)</f>
        <v>0</v>
      </c>
      <c r="AL665" s="15" t="n">
        <f aca="false">AB665*N(AE665)</f>
        <v>0</v>
      </c>
      <c r="AM665" s="15" t="n">
        <f aca="false">AB665*N(AF665)</f>
        <v>0</v>
      </c>
      <c r="AN665" s="15" t="n">
        <f aca="false">AB665*N(R665)</f>
        <v>0</v>
      </c>
      <c r="AO665" s="21" t="str">
        <f aca="false">IF(F665&lt;&gt;"Y","n/a",IF(AND(N665&lt;&gt;"",OR(Q665&lt;&gt;"",G665="Other / bench",G665="None"),U665&lt;&gt;""),"OK","Missing"))</f>
        <v>n/a</v>
      </c>
    </row>
    <row r="666" customFormat="false" ht="15" hidden="false" customHeight="false" outlineLevel="0" collapsed="false">
      <c r="A666" s="16"/>
      <c r="B666" s="16"/>
      <c r="C666" s="16"/>
      <c r="D666" s="16"/>
      <c r="E666" s="21" t="str">
        <f aca="false">IF(A666="","",A666&amp;"|"&amp;D666)</f>
        <v/>
      </c>
      <c r="F666" s="16"/>
      <c r="G666" s="16"/>
      <c r="H666" s="16"/>
      <c r="I666" s="16"/>
      <c r="J666" s="16"/>
      <c r="K666" s="14"/>
      <c r="L666" s="14"/>
      <c r="M666" s="14"/>
      <c r="N666" s="14"/>
      <c r="O666" s="14"/>
      <c r="P666" s="18" t="n">
        <f aca="false">IF(N666="",0,IF(OR(M666="",O666=""),N666,(M666+4*N666+O666)/6))</f>
        <v>0</v>
      </c>
      <c r="Q666" s="14"/>
      <c r="R666" s="14"/>
      <c r="S666" s="14"/>
      <c r="T666" s="14"/>
      <c r="U666" s="16"/>
      <c r="V666" s="13"/>
      <c r="W666" s="16"/>
      <c r="X666" s="16"/>
      <c r="Y666" s="16"/>
      <c r="Z666" s="16"/>
      <c r="AA666" s="22" t="n">
        <f aca="false">IF(F666&lt;&gt;"Y",0,((SUMIF(Products!$E$5:$E$300,A666,Products!$F$5:$F$300)+SUMIF(RM_Lots!$A$5:$A$400,A666,RM_Lots!$D$5:$D$400))+IF(W666="Y",SUMIF(Products!$E$5:$E$300,A666,Products!$G$5:$G$300),0))*(1+N(V666)))</f>
        <v>0</v>
      </c>
      <c r="AB666" s="22" t="n">
        <f aca="false">IF(F666&lt;&gt;"Y",0,((SUMIF(Products!$E$5:$E$300,A666,Products!$K$5:$K$300)+SUMIF(RM_Lots!$A$5:$A$400,A666,RM_Lots!$F$5:$F$400))+IF(W666="Y",SUMIF(Products!$E$5:$E$300,A666,Products!$L$5:$L$300),0))*(1+N(V666)))</f>
        <v>0</v>
      </c>
      <c r="AC666" s="17" t="n">
        <f aca="false">IF(J666="",1,MAX(1,COUNTIFS($J$5:$J$863,J666,$F$5:$F$863,"Y")))</f>
        <v>1</v>
      </c>
      <c r="AD666" s="18" t="n">
        <f aca="false">(MAX(1,N(I666))*(P666+N(S666))+MAX(1,N(I666))*N(K666)/(MAX(1,N(U666))*AC666))*Settings!$B$9</f>
        <v>0</v>
      </c>
      <c r="AE666" s="18" t="n">
        <f aca="false">(MAX(1,N(I666))*N(Q666)+MAX(1,N(I666))*N(L666)/(MAX(1,N(U666))*AC666))*Settings!$B$8</f>
        <v>0</v>
      </c>
      <c r="AF666" s="18" t="n">
        <f aca="false">MAX(1,N(I666))*N(T666)</f>
        <v>0</v>
      </c>
      <c r="AG666" s="15" t="n">
        <f aca="false">AA666*N(AD666)</f>
        <v>0</v>
      </c>
      <c r="AH666" s="15" t="n">
        <f aca="false">AA666*N(AE666)</f>
        <v>0</v>
      </c>
      <c r="AI666" s="15" t="n">
        <f aca="false">AA666*N(AF666)</f>
        <v>0</v>
      </c>
      <c r="AJ666" s="15" t="n">
        <f aca="false">AA666*N(R666)</f>
        <v>0</v>
      </c>
      <c r="AK666" s="15" t="n">
        <f aca="false">AB666*N(AD666)</f>
        <v>0</v>
      </c>
      <c r="AL666" s="15" t="n">
        <f aca="false">AB666*N(AE666)</f>
        <v>0</v>
      </c>
      <c r="AM666" s="15" t="n">
        <f aca="false">AB666*N(AF666)</f>
        <v>0</v>
      </c>
      <c r="AN666" s="15" t="n">
        <f aca="false">AB666*N(R666)</f>
        <v>0</v>
      </c>
      <c r="AO666" s="21" t="str">
        <f aca="false">IF(F666&lt;&gt;"Y","n/a",IF(AND(N666&lt;&gt;"",OR(Q666&lt;&gt;"",G666="Other / bench",G666="None"),U666&lt;&gt;""),"OK","Missing"))</f>
        <v>n/a</v>
      </c>
    </row>
    <row r="667" customFormat="false" ht="15" hidden="false" customHeight="false" outlineLevel="0" collapsed="false">
      <c r="A667" s="16"/>
      <c r="B667" s="16"/>
      <c r="C667" s="16"/>
      <c r="D667" s="16"/>
      <c r="E667" s="21" t="str">
        <f aca="false">IF(A667="","",A667&amp;"|"&amp;D667)</f>
        <v/>
      </c>
      <c r="F667" s="16"/>
      <c r="G667" s="16"/>
      <c r="H667" s="16"/>
      <c r="I667" s="16"/>
      <c r="J667" s="16"/>
      <c r="K667" s="14"/>
      <c r="L667" s="14"/>
      <c r="M667" s="14"/>
      <c r="N667" s="14"/>
      <c r="O667" s="14"/>
      <c r="P667" s="18" t="n">
        <f aca="false">IF(N667="",0,IF(OR(M667="",O667=""),N667,(M667+4*N667+O667)/6))</f>
        <v>0</v>
      </c>
      <c r="Q667" s="14"/>
      <c r="R667" s="14"/>
      <c r="S667" s="14"/>
      <c r="T667" s="14"/>
      <c r="U667" s="16"/>
      <c r="V667" s="13"/>
      <c r="W667" s="16"/>
      <c r="X667" s="16"/>
      <c r="Y667" s="16"/>
      <c r="Z667" s="16"/>
      <c r="AA667" s="22" t="n">
        <f aca="false">IF(F667&lt;&gt;"Y",0,((SUMIF(Products!$E$5:$E$300,A667,Products!$F$5:$F$300)+SUMIF(RM_Lots!$A$5:$A$400,A667,RM_Lots!$D$5:$D$400))+IF(W667="Y",SUMIF(Products!$E$5:$E$300,A667,Products!$G$5:$G$300),0))*(1+N(V667)))</f>
        <v>0</v>
      </c>
      <c r="AB667" s="22" t="n">
        <f aca="false">IF(F667&lt;&gt;"Y",0,((SUMIF(Products!$E$5:$E$300,A667,Products!$K$5:$K$300)+SUMIF(RM_Lots!$A$5:$A$400,A667,RM_Lots!$F$5:$F$400))+IF(W667="Y",SUMIF(Products!$E$5:$E$300,A667,Products!$L$5:$L$300),0))*(1+N(V667)))</f>
        <v>0</v>
      </c>
      <c r="AC667" s="17" t="n">
        <f aca="false">IF(J667="",1,MAX(1,COUNTIFS($J$5:$J$863,J667,$F$5:$F$863,"Y")))</f>
        <v>1</v>
      </c>
      <c r="AD667" s="18" t="n">
        <f aca="false">(MAX(1,N(I667))*(P667+N(S667))+MAX(1,N(I667))*N(K667)/(MAX(1,N(U667))*AC667))*Settings!$B$9</f>
        <v>0</v>
      </c>
      <c r="AE667" s="18" t="n">
        <f aca="false">(MAX(1,N(I667))*N(Q667)+MAX(1,N(I667))*N(L667)/(MAX(1,N(U667))*AC667))*Settings!$B$8</f>
        <v>0</v>
      </c>
      <c r="AF667" s="18" t="n">
        <f aca="false">MAX(1,N(I667))*N(T667)</f>
        <v>0</v>
      </c>
      <c r="AG667" s="15" t="n">
        <f aca="false">AA667*N(AD667)</f>
        <v>0</v>
      </c>
      <c r="AH667" s="15" t="n">
        <f aca="false">AA667*N(AE667)</f>
        <v>0</v>
      </c>
      <c r="AI667" s="15" t="n">
        <f aca="false">AA667*N(AF667)</f>
        <v>0</v>
      </c>
      <c r="AJ667" s="15" t="n">
        <f aca="false">AA667*N(R667)</f>
        <v>0</v>
      </c>
      <c r="AK667" s="15" t="n">
        <f aca="false">AB667*N(AD667)</f>
        <v>0</v>
      </c>
      <c r="AL667" s="15" t="n">
        <f aca="false">AB667*N(AE667)</f>
        <v>0</v>
      </c>
      <c r="AM667" s="15" t="n">
        <f aca="false">AB667*N(AF667)</f>
        <v>0</v>
      </c>
      <c r="AN667" s="15" t="n">
        <f aca="false">AB667*N(R667)</f>
        <v>0</v>
      </c>
      <c r="AO667" s="21" t="str">
        <f aca="false">IF(F667&lt;&gt;"Y","n/a",IF(AND(N667&lt;&gt;"",OR(Q667&lt;&gt;"",G667="Other / bench",G667="None"),U667&lt;&gt;""),"OK","Missing"))</f>
        <v>n/a</v>
      </c>
    </row>
    <row r="668" customFormat="false" ht="15" hidden="false" customHeight="false" outlineLevel="0" collapsed="false">
      <c r="A668" s="16"/>
      <c r="B668" s="16"/>
      <c r="C668" s="16"/>
      <c r="D668" s="16"/>
      <c r="E668" s="21" t="str">
        <f aca="false">IF(A668="","",A668&amp;"|"&amp;D668)</f>
        <v/>
      </c>
      <c r="F668" s="16"/>
      <c r="G668" s="16"/>
      <c r="H668" s="16"/>
      <c r="I668" s="16"/>
      <c r="J668" s="16"/>
      <c r="K668" s="14"/>
      <c r="L668" s="14"/>
      <c r="M668" s="14"/>
      <c r="N668" s="14"/>
      <c r="O668" s="14"/>
      <c r="P668" s="18" t="n">
        <f aca="false">IF(N668="",0,IF(OR(M668="",O668=""),N668,(M668+4*N668+O668)/6))</f>
        <v>0</v>
      </c>
      <c r="Q668" s="14"/>
      <c r="R668" s="14"/>
      <c r="S668" s="14"/>
      <c r="T668" s="14"/>
      <c r="U668" s="16"/>
      <c r="V668" s="13"/>
      <c r="W668" s="16"/>
      <c r="X668" s="16"/>
      <c r="Y668" s="16"/>
      <c r="Z668" s="16"/>
      <c r="AA668" s="22" t="n">
        <f aca="false">IF(F668&lt;&gt;"Y",0,((SUMIF(Products!$E$5:$E$300,A668,Products!$F$5:$F$300)+SUMIF(RM_Lots!$A$5:$A$400,A668,RM_Lots!$D$5:$D$400))+IF(W668="Y",SUMIF(Products!$E$5:$E$300,A668,Products!$G$5:$G$300),0))*(1+N(V668)))</f>
        <v>0</v>
      </c>
      <c r="AB668" s="22" t="n">
        <f aca="false">IF(F668&lt;&gt;"Y",0,((SUMIF(Products!$E$5:$E$300,A668,Products!$K$5:$K$300)+SUMIF(RM_Lots!$A$5:$A$400,A668,RM_Lots!$F$5:$F$400))+IF(W668="Y",SUMIF(Products!$E$5:$E$300,A668,Products!$L$5:$L$300),0))*(1+N(V668)))</f>
        <v>0</v>
      </c>
      <c r="AC668" s="17" t="n">
        <f aca="false">IF(J668="",1,MAX(1,COUNTIFS($J$5:$J$863,J668,$F$5:$F$863,"Y")))</f>
        <v>1</v>
      </c>
      <c r="AD668" s="18" t="n">
        <f aca="false">(MAX(1,N(I668))*(P668+N(S668))+MAX(1,N(I668))*N(K668)/(MAX(1,N(U668))*AC668))*Settings!$B$9</f>
        <v>0</v>
      </c>
      <c r="AE668" s="18" t="n">
        <f aca="false">(MAX(1,N(I668))*N(Q668)+MAX(1,N(I668))*N(L668)/(MAX(1,N(U668))*AC668))*Settings!$B$8</f>
        <v>0</v>
      </c>
      <c r="AF668" s="18" t="n">
        <f aca="false">MAX(1,N(I668))*N(T668)</f>
        <v>0</v>
      </c>
      <c r="AG668" s="15" t="n">
        <f aca="false">AA668*N(AD668)</f>
        <v>0</v>
      </c>
      <c r="AH668" s="15" t="n">
        <f aca="false">AA668*N(AE668)</f>
        <v>0</v>
      </c>
      <c r="AI668" s="15" t="n">
        <f aca="false">AA668*N(AF668)</f>
        <v>0</v>
      </c>
      <c r="AJ668" s="15" t="n">
        <f aca="false">AA668*N(R668)</f>
        <v>0</v>
      </c>
      <c r="AK668" s="15" t="n">
        <f aca="false">AB668*N(AD668)</f>
        <v>0</v>
      </c>
      <c r="AL668" s="15" t="n">
        <f aca="false">AB668*N(AE668)</f>
        <v>0</v>
      </c>
      <c r="AM668" s="15" t="n">
        <f aca="false">AB668*N(AF668)</f>
        <v>0</v>
      </c>
      <c r="AN668" s="15" t="n">
        <f aca="false">AB668*N(R668)</f>
        <v>0</v>
      </c>
      <c r="AO668" s="21" t="str">
        <f aca="false">IF(F668&lt;&gt;"Y","n/a",IF(AND(N668&lt;&gt;"",OR(Q668&lt;&gt;"",G668="Other / bench",G668="None"),U668&lt;&gt;""),"OK","Missing"))</f>
        <v>n/a</v>
      </c>
    </row>
    <row r="669" customFormat="false" ht="15" hidden="false" customHeight="false" outlineLevel="0" collapsed="false">
      <c r="A669" s="16"/>
      <c r="B669" s="16"/>
      <c r="C669" s="16"/>
      <c r="D669" s="16"/>
      <c r="E669" s="21" t="str">
        <f aca="false">IF(A669="","",A669&amp;"|"&amp;D669)</f>
        <v/>
      </c>
      <c r="F669" s="16"/>
      <c r="G669" s="16"/>
      <c r="H669" s="16"/>
      <c r="I669" s="16"/>
      <c r="J669" s="16"/>
      <c r="K669" s="14"/>
      <c r="L669" s="14"/>
      <c r="M669" s="14"/>
      <c r="N669" s="14"/>
      <c r="O669" s="14"/>
      <c r="P669" s="18" t="n">
        <f aca="false">IF(N669="",0,IF(OR(M669="",O669=""),N669,(M669+4*N669+O669)/6))</f>
        <v>0</v>
      </c>
      <c r="Q669" s="14"/>
      <c r="R669" s="14"/>
      <c r="S669" s="14"/>
      <c r="T669" s="14"/>
      <c r="U669" s="16"/>
      <c r="V669" s="13"/>
      <c r="W669" s="16"/>
      <c r="X669" s="16"/>
      <c r="Y669" s="16"/>
      <c r="Z669" s="16"/>
      <c r="AA669" s="22" t="n">
        <f aca="false">IF(F669&lt;&gt;"Y",0,((SUMIF(Products!$E$5:$E$300,A669,Products!$F$5:$F$300)+SUMIF(RM_Lots!$A$5:$A$400,A669,RM_Lots!$D$5:$D$400))+IF(W669="Y",SUMIF(Products!$E$5:$E$300,A669,Products!$G$5:$G$300),0))*(1+N(V669)))</f>
        <v>0</v>
      </c>
      <c r="AB669" s="22" t="n">
        <f aca="false">IF(F669&lt;&gt;"Y",0,((SUMIF(Products!$E$5:$E$300,A669,Products!$K$5:$K$300)+SUMIF(RM_Lots!$A$5:$A$400,A669,RM_Lots!$F$5:$F$400))+IF(W669="Y",SUMIF(Products!$E$5:$E$300,A669,Products!$L$5:$L$300),0))*(1+N(V669)))</f>
        <v>0</v>
      </c>
      <c r="AC669" s="17" t="n">
        <f aca="false">IF(J669="",1,MAX(1,COUNTIFS($J$5:$J$863,J669,$F$5:$F$863,"Y")))</f>
        <v>1</v>
      </c>
      <c r="AD669" s="18" t="n">
        <f aca="false">(MAX(1,N(I669))*(P669+N(S669))+MAX(1,N(I669))*N(K669)/(MAX(1,N(U669))*AC669))*Settings!$B$9</f>
        <v>0</v>
      </c>
      <c r="AE669" s="18" t="n">
        <f aca="false">(MAX(1,N(I669))*N(Q669)+MAX(1,N(I669))*N(L669)/(MAX(1,N(U669))*AC669))*Settings!$B$8</f>
        <v>0</v>
      </c>
      <c r="AF669" s="18" t="n">
        <f aca="false">MAX(1,N(I669))*N(T669)</f>
        <v>0</v>
      </c>
      <c r="AG669" s="15" t="n">
        <f aca="false">AA669*N(AD669)</f>
        <v>0</v>
      </c>
      <c r="AH669" s="15" t="n">
        <f aca="false">AA669*N(AE669)</f>
        <v>0</v>
      </c>
      <c r="AI669" s="15" t="n">
        <f aca="false">AA669*N(AF669)</f>
        <v>0</v>
      </c>
      <c r="AJ669" s="15" t="n">
        <f aca="false">AA669*N(R669)</f>
        <v>0</v>
      </c>
      <c r="AK669" s="15" t="n">
        <f aca="false">AB669*N(AD669)</f>
        <v>0</v>
      </c>
      <c r="AL669" s="15" t="n">
        <f aca="false">AB669*N(AE669)</f>
        <v>0</v>
      </c>
      <c r="AM669" s="15" t="n">
        <f aca="false">AB669*N(AF669)</f>
        <v>0</v>
      </c>
      <c r="AN669" s="15" t="n">
        <f aca="false">AB669*N(R669)</f>
        <v>0</v>
      </c>
      <c r="AO669" s="21" t="str">
        <f aca="false">IF(F669&lt;&gt;"Y","n/a",IF(AND(N669&lt;&gt;"",OR(Q669&lt;&gt;"",G669="Other / bench",G669="None"),U669&lt;&gt;""),"OK","Missing"))</f>
        <v>n/a</v>
      </c>
    </row>
    <row r="670" customFormat="false" ht="15" hidden="false" customHeight="false" outlineLevel="0" collapsed="false">
      <c r="A670" s="16"/>
      <c r="B670" s="16"/>
      <c r="C670" s="16"/>
      <c r="D670" s="16"/>
      <c r="E670" s="21" t="str">
        <f aca="false">IF(A670="","",A670&amp;"|"&amp;D670)</f>
        <v/>
      </c>
      <c r="F670" s="16"/>
      <c r="G670" s="16"/>
      <c r="H670" s="16"/>
      <c r="I670" s="16"/>
      <c r="J670" s="16"/>
      <c r="K670" s="14"/>
      <c r="L670" s="14"/>
      <c r="M670" s="14"/>
      <c r="N670" s="14"/>
      <c r="O670" s="14"/>
      <c r="P670" s="18" t="n">
        <f aca="false">IF(N670="",0,IF(OR(M670="",O670=""),N670,(M670+4*N670+O670)/6))</f>
        <v>0</v>
      </c>
      <c r="Q670" s="14"/>
      <c r="R670" s="14"/>
      <c r="S670" s="14"/>
      <c r="T670" s="14"/>
      <c r="U670" s="16"/>
      <c r="V670" s="13"/>
      <c r="W670" s="16"/>
      <c r="X670" s="16"/>
      <c r="Y670" s="16"/>
      <c r="Z670" s="16"/>
      <c r="AA670" s="22" t="n">
        <f aca="false">IF(F670&lt;&gt;"Y",0,((SUMIF(Products!$E$5:$E$300,A670,Products!$F$5:$F$300)+SUMIF(RM_Lots!$A$5:$A$400,A670,RM_Lots!$D$5:$D$400))+IF(W670="Y",SUMIF(Products!$E$5:$E$300,A670,Products!$G$5:$G$300),0))*(1+N(V670)))</f>
        <v>0</v>
      </c>
      <c r="AB670" s="22" t="n">
        <f aca="false">IF(F670&lt;&gt;"Y",0,((SUMIF(Products!$E$5:$E$300,A670,Products!$K$5:$K$300)+SUMIF(RM_Lots!$A$5:$A$400,A670,RM_Lots!$F$5:$F$400))+IF(W670="Y",SUMIF(Products!$E$5:$E$300,A670,Products!$L$5:$L$300),0))*(1+N(V670)))</f>
        <v>0</v>
      </c>
      <c r="AC670" s="17" t="n">
        <f aca="false">IF(J670="",1,MAX(1,COUNTIFS($J$5:$J$863,J670,$F$5:$F$863,"Y")))</f>
        <v>1</v>
      </c>
      <c r="AD670" s="18" t="n">
        <f aca="false">(MAX(1,N(I670))*(P670+N(S670))+MAX(1,N(I670))*N(K670)/(MAX(1,N(U670))*AC670))*Settings!$B$9</f>
        <v>0</v>
      </c>
      <c r="AE670" s="18" t="n">
        <f aca="false">(MAX(1,N(I670))*N(Q670)+MAX(1,N(I670))*N(L670)/(MAX(1,N(U670))*AC670))*Settings!$B$8</f>
        <v>0</v>
      </c>
      <c r="AF670" s="18" t="n">
        <f aca="false">MAX(1,N(I670))*N(T670)</f>
        <v>0</v>
      </c>
      <c r="AG670" s="15" t="n">
        <f aca="false">AA670*N(AD670)</f>
        <v>0</v>
      </c>
      <c r="AH670" s="15" t="n">
        <f aca="false">AA670*N(AE670)</f>
        <v>0</v>
      </c>
      <c r="AI670" s="15" t="n">
        <f aca="false">AA670*N(AF670)</f>
        <v>0</v>
      </c>
      <c r="AJ670" s="15" t="n">
        <f aca="false">AA670*N(R670)</f>
        <v>0</v>
      </c>
      <c r="AK670" s="15" t="n">
        <f aca="false">AB670*N(AD670)</f>
        <v>0</v>
      </c>
      <c r="AL670" s="15" t="n">
        <f aca="false">AB670*N(AE670)</f>
        <v>0</v>
      </c>
      <c r="AM670" s="15" t="n">
        <f aca="false">AB670*N(AF670)</f>
        <v>0</v>
      </c>
      <c r="AN670" s="15" t="n">
        <f aca="false">AB670*N(R670)</f>
        <v>0</v>
      </c>
      <c r="AO670" s="21" t="str">
        <f aca="false">IF(F670&lt;&gt;"Y","n/a",IF(AND(N670&lt;&gt;"",OR(Q670&lt;&gt;"",G670="Other / bench",G670="None"),U670&lt;&gt;""),"OK","Missing"))</f>
        <v>n/a</v>
      </c>
    </row>
    <row r="671" customFormat="false" ht="15" hidden="false" customHeight="false" outlineLevel="0" collapsed="false">
      <c r="A671" s="16"/>
      <c r="B671" s="16"/>
      <c r="C671" s="16"/>
      <c r="D671" s="16"/>
      <c r="E671" s="21" t="str">
        <f aca="false">IF(A671="","",A671&amp;"|"&amp;D671)</f>
        <v/>
      </c>
      <c r="F671" s="16"/>
      <c r="G671" s="16"/>
      <c r="H671" s="16"/>
      <c r="I671" s="16"/>
      <c r="J671" s="16"/>
      <c r="K671" s="14"/>
      <c r="L671" s="14"/>
      <c r="M671" s="14"/>
      <c r="N671" s="14"/>
      <c r="O671" s="14"/>
      <c r="P671" s="18" t="n">
        <f aca="false">IF(N671="",0,IF(OR(M671="",O671=""),N671,(M671+4*N671+O671)/6))</f>
        <v>0</v>
      </c>
      <c r="Q671" s="14"/>
      <c r="R671" s="14"/>
      <c r="S671" s="14"/>
      <c r="T671" s="14"/>
      <c r="U671" s="16"/>
      <c r="V671" s="13"/>
      <c r="W671" s="16"/>
      <c r="X671" s="16"/>
      <c r="Y671" s="16"/>
      <c r="Z671" s="16"/>
      <c r="AA671" s="22" t="n">
        <f aca="false">IF(F671&lt;&gt;"Y",0,((SUMIF(Products!$E$5:$E$300,A671,Products!$F$5:$F$300)+SUMIF(RM_Lots!$A$5:$A$400,A671,RM_Lots!$D$5:$D$400))+IF(W671="Y",SUMIF(Products!$E$5:$E$300,A671,Products!$G$5:$G$300),0))*(1+N(V671)))</f>
        <v>0</v>
      </c>
      <c r="AB671" s="22" t="n">
        <f aca="false">IF(F671&lt;&gt;"Y",0,((SUMIF(Products!$E$5:$E$300,A671,Products!$K$5:$K$300)+SUMIF(RM_Lots!$A$5:$A$400,A671,RM_Lots!$F$5:$F$400))+IF(W671="Y",SUMIF(Products!$E$5:$E$300,A671,Products!$L$5:$L$300),0))*(1+N(V671)))</f>
        <v>0</v>
      </c>
      <c r="AC671" s="17" t="n">
        <f aca="false">IF(J671="",1,MAX(1,COUNTIFS($J$5:$J$863,J671,$F$5:$F$863,"Y")))</f>
        <v>1</v>
      </c>
      <c r="AD671" s="18" t="n">
        <f aca="false">(MAX(1,N(I671))*(P671+N(S671))+MAX(1,N(I671))*N(K671)/(MAX(1,N(U671))*AC671))*Settings!$B$9</f>
        <v>0</v>
      </c>
      <c r="AE671" s="18" t="n">
        <f aca="false">(MAX(1,N(I671))*N(Q671)+MAX(1,N(I671))*N(L671)/(MAX(1,N(U671))*AC671))*Settings!$B$8</f>
        <v>0</v>
      </c>
      <c r="AF671" s="18" t="n">
        <f aca="false">MAX(1,N(I671))*N(T671)</f>
        <v>0</v>
      </c>
      <c r="AG671" s="15" t="n">
        <f aca="false">AA671*N(AD671)</f>
        <v>0</v>
      </c>
      <c r="AH671" s="15" t="n">
        <f aca="false">AA671*N(AE671)</f>
        <v>0</v>
      </c>
      <c r="AI671" s="15" t="n">
        <f aca="false">AA671*N(AF671)</f>
        <v>0</v>
      </c>
      <c r="AJ671" s="15" t="n">
        <f aca="false">AA671*N(R671)</f>
        <v>0</v>
      </c>
      <c r="AK671" s="15" t="n">
        <f aca="false">AB671*N(AD671)</f>
        <v>0</v>
      </c>
      <c r="AL671" s="15" t="n">
        <f aca="false">AB671*N(AE671)</f>
        <v>0</v>
      </c>
      <c r="AM671" s="15" t="n">
        <f aca="false">AB671*N(AF671)</f>
        <v>0</v>
      </c>
      <c r="AN671" s="15" t="n">
        <f aca="false">AB671*N(R671)</f>
        <v>0</v>
      </c>
      <c r="AO671" s="21" t="str">
        <f aca="false">IF(F671&lt;&gt;"Y","n/a",IF(AND(N671&lt;&gt;"",OR(Q671&lt;&gt;"",G671="Other / bench",G671="None"),U671&lt;&gt;""),"OK","Missing"))</f>
        <v>n/a</v>
      </c>
    </row>
    <row r="672" customFormat="false" ht="15" hidden="false" customHeight="false" outlineLevel="0" collapsed="false">
      <c r="A672" s="16"/>
      <c r="B672" s="16"/>
      <c r="C672" s="16"/>
      <c r="D672" s="16"/>
      <c r="E672" s="21" t="str">
        <f aca="false">IF(A672="","",A672&amp;"|"&amp;D672)</f>
        <v/>
      </c>
      <c r="F672" s="16"/>
      <c r="G672" s="16"/>
      <c r="H672" s="16"/>
      <c r="I672" s="16"/>
      <c r="J672" s="16"/>
      <c r="K672" s="14"/>
      <c r="L672" s="14"/>
      <c r="M672" s="14"/>
      <c r="N672" s="14"/>
      <c r="O672" s="14"/>
      <c r="P672" s="18" t="n">
        <f aca="false">IF(N672="",0,IF(OR(M672="",O672=""),N672,(M672+4*N672+O672)/6))</f>
        <v>0</v>
      </c>
      <c r="Q672" s="14"/>
      <c r="R672" s="14"/>
      <c r="S672" s="14"/>
      <c r="T672" s="14"/>
      <c r="U672" s="16"/>
      <c r="V672" s="13"/>
      <c r="W672" s="16"/>
      <c r="X672" s="16"/>
      <c r="Y672" s="16"/>
      <c r="Z672" s="16"/>
      <c r="AA672" s="22" t="n">
        <f aca="false">IF(F672&lt;&gt;"Y",0,((SUMIF(Products!$E$5:$E$300,A672,Products!$F$5:$F$300)+SUMIF(RM_Lots!$A$5:$A$400,A672,RM_Lots!$D$5:$D$400))+IF(W672="Y",SUMIF(Products!$E$5:$E$300,A672,Products!$G$5:$G$300),0))*(1+N(V672)))</f>
        <v>0</v>
      </c>
      <c r="AB672" s="22" t="n">
        <f aca="false">IF(F672&lt;&gt;"Y",0,((SUMIF(Products!$E$5:$E$300,A672,Products!$K$5:$K$300)+SUMIF(RM_Lots!$A$5:$A$400,A672,RM_Lots!$F$5:$F$400))+IF(W672="Y",SUMIF(Products!$E$5:$E$300,A672,Products!$L$5:$L$300),0))*(1+N(V672)))</f>
        <v>0</v>
      </c>
      <c r="AC672" s="17" t="n">
        <f aca="false">IF(J672="",1,MAX(1,COUNTIFS($J$5:$J$863,J672,$F$5:$F$863,"Y")))</f>
        <v>1</v>
      </c>
      <c r="AD672" s="18" t="n">
        <f aca="false">(MAX(1,N(I672))*(P672+N(S672))+MAX(1,N(I672))*N(K672)/(MAX(1,N(U672))*AC672))*Settings!$B$9</f>
        <v>0</v>
      </c>
      <c r="AE672" s="18" t="n">
        <f aca="false">(MAX(1,N(I672))*N(Q672)+MAX(1,N(I672))*N(L672)/(MAX(1,N(U672))*AC672))*Settings!$B$8</f>
        <v>0</v>
      </c>
      <c r="AF672" s="18" t="n">
        <f aca="false">MAX(1,N(I672))*N(T672)</f>
        <v>0</v>
      </c>
      <c r="AG672" s="15" t="n">
        <f aca="false">AA672*N(AD672)</f>
        <v>0</v>
      </c>
      <c r="AH672" s="15" t="n">
        <f aca="false">AA672*N(AE672)</f>
        <v>0</v>
      </c>
      <c r="AI672" s="15" t="n">
        <f aca="false">AA672*N(AF672)</f>
        <v>0</v>
      </c>
      <c r="AJ672" s="15" t="n">
        <f aca="false">AA672*N(R672)</f>
        <v>0</v>
      </c>
      <c r="AK672" s="15" t="n">
        <f aca="false">AB672*N(AD672)</f>
        <v>0</v>
      </c>
      <c r="AL672" s="15" t="n">
        <f aca="false">AB672*N(AE672)</f>
        <v>0</v>
      </c>
      <c r="AM672" s="15" t="n">
        <f aca="false">AB672*N(AF672)</f>
        <v>0</v>
      </c>
      <c r="AN672" s="15" t="n">
        <f aca="false">AB672*N(R672)</f>
        <v>0</v>
      </c>
      <c r="AO672" s="21" t="str">
        <f aca="false">IF(F672&lt;&gt;"Y","n/a",IF(AND(N672&lt;&gt;"",OR(Q672&lt;&gt;"",G672="Other / bench",G672="None"),U672&lt;&gt;""),"OK","Missing"))</f>
        <v>n/a</v>
      </c>
    </row>
    <row r="673" customFormat="false" ht="15" hidden="false" customHeight="false" outlineLevel="0" collapsed="false">
      <c r="A673" s="16"/>
      <c r="B673" s="16"/>
      <c r="C673" s="16"/>
      <c r="D673" s="16"/>
      <c r="E673" s="21" t="str">
        <f aca="false">IF(A673="","",A673&amp;"|"&amp;D673)</f>
        <v/>
      </c>
      <c r="F673" s="16"/>
      <c r="G673" s="16"/>
      <c r="H673" s="16"/>
      <c r="I673" s="16"/>
      <c r="J673" s="16"/>
      <c r="K673" s="14"/>
      <c r="L673" s="14"/>
      <c r="M673" s="14"/>
      <c r="N673" s="14"/>
      <c r="O673" s="14"/>
      <c r="P673" s="18" t="n">
        <f aca="false">IF(N673="",0,IF(OR(M673="",O673=""),N673,(M673+4*N673+O673)/6))</f>
        <v>0</v>
      </c>
      <c r="Q673" s="14"/>
      <c r="R673" s="14"/>
      <c r="S673" s="14"/>
      <c r="T673" s="14"/>
      <c r="U673" s="16"/>
      <c r="V673" s="13"/>
      <c r="W673" s="16"/>
      <c r="X673" s="16"/>
      <c r="Y673" s="16"/>
      <c r="Z673" s="16"/>
      <c r="AA673" s="22" t="n">
        <f aca="false">IF(F673&lt;&gt;"Y",0,((SUMIF(Products!$E$5:$E$300,A673,Products!$F$5:$F$300)+SUMIF(RM_Lots!$A$5:$A$400,A673,RM_Lots!$D$5:$D$400))+IF(W673="Y",SUMIF(Products!$E$5:$E$300,A673,Products!$G$5:$G$300),0))*(1+N(V673)))</f>
        <v>0</v>
      </c>
      <c r="AB673" s="22" t="n">
        <f aca="false">IF(F673&lt;&gt;"Y",0,((SUMIF(Products!$E$5:$E$300,A673,Products!$K$5:$K$300)+SUMIF(RM_Lots!$A$5:$A$400,A673,RM_Lots!$F$5:$F$400))+IF(W673="Y",SUMIF(Products!$E$5:$E$300,A673,Products!$L$5:$L$300),0))*(1+N(V673)))</f>
        <v>0</v>
      </c>
      <c r="AC673" s="17" t="n">
        <f aca="false">IF(J673="",1,MAX(1,COUNTIFS($J$5:$J$863,J673,$F$5:$F$863,"Y")))</f>
        <v>1</v>
      </c>
      <c r="AD673" s="18" t="n">
        <f aca="false">(MAX(1,N(I673))*(P673+N(S673))+MAX(1,N(I673))*N(K673)/(MAX(1,N(U673))*AC673))*Settings!$B$9</f>
        <v>0</v>
      </c>
      <c r="AE673" s="18" t="n">
        <f aca="false">(MAX(1,N(I673))*N(Q673)+MAX(1,N(I673))*N(L673)/(MAX(1,N(U673))*AC673))*Settings!$B$8</f>
        <v>0</v>
      </c>
      <c r="AF673" s="18" t="n">
        <f aca="false">MAX(1,N(I673))*N(T673)</f>
        <v>0</v>
      </c>
      <c r="AG673" s="15" t="n">
        <f aca="false">AA673*N(AD673)</f>
        <v>0</v>
      </c>
      <c r="AH673" s="15" t="n">
        <f aca="false">AA673*N(AE673)</f>
        <v>0</v>
      </c>
      <c r="AI673" s="15" t="n">
        <f aca="false">AA673*N(AF673)</f>
        <v>0</v>
      </c>
      <c r="AJ673" s="15" t="n">
        <f aca="false">AA673*N(R673)</f>
        <v>0</v>
      </c>
      <c r="AK673" s="15" t="n">
        <f aca="false">AB673*N(AD673)</f>
        <v>0</v>
      </c>
      <c r="AL673" s="15" t="n">
        <f aca="false">AB673*N(AE673)</f>
        <v>0</v>
      </c>
      <c r="AM673" s="15" t="n">
        <f aca="false">AB673*N(AF673)</f>
        <v>0</v>
      </c>
      <c r="AN673" s="15" t="n">
        <f aca="false">AB673*N(R673)</f>
        <v>0</v>
      </c>
      <c r="AO673" s="21" t="str">
        <f aca="false">IF(F673&lt;&gt;"Y","n/a",IF(AND(N673&lt;&gt;"",OR(Q673&lt;&gt;"",G673="Other / bench",G673="None"),U673&lt;&gt;""),"OK","Missing"))</f>
        <v>n/a</v>
      </c>
    </row>
    <row r="674" customFormat="false" ht="15" hidden="false" customHeight="false" outlineLevel="0" collapsed="false">
      <c r="A674" s="16"/>
      <c r="B674" s="16"/>
      <c r="C674" s="16"/>
      <c r="D674" s="16"/>
      <c r="E674" s="21" t="str">
        <f aca="false">IF(A674="","",A674&amp;"|"&amp;D674)</f>
        <v/>
      </c>
      <c r="F674" s="16"/>
      <c r="G674" s="16"/>
      <c r="H674" s="16"/>
      <c r="I674" s="16"/>
      <c r="J674" s="16"/>
      <c r="K674" s="14"/>
      <c r="L674" s="14"/>
      <c r="M674" s="14"/>
      <c r="N674" s="14"/>
      <c r="O674" s="14"/>
      <c r="P674" s="18" t="n">
        <f aca="false">IF(N674="",0,IF(OR(M674="",O674=""),N674,(M674+4*N674+O674)/6))</f>
        <v>0</v>
      </c>
      <c r="Q674" s="14"/>
      <c r="R674" s="14"/>
      <c r="S674" s="14"/>
      <c r="T674" s="14"/>
      <c r="U674" s="16"/>
      <c r="V674" s="13"/>
      <c r="W674" s="16"/>
      <c r="X674" s="16"/>
      <c r="Y674" s="16"/>
      <c r="Z674" s="16"/>
      <c r="AA674" s="22" t="n">
        <f aca="false">IF(F674&lt;&gt;"Y",0,((SUMIF(Products!$E$5:$E$300,A674,Products!$F$5:$F$300)+SUMIF(RM_Lots!$A$5:$A$400,A674,RM_Lots!$D$5:$D$400))+IF(W674="Y",SUMIF(Products!$E$5:$E$300,A674,Products!$G$5:$G$300),0))*(1+N(V674)))</f>
        <v>0</v>
      </c>
      <c r="AB674" s="22" t="n">
        <f aca="false">IF(F674&lt;&gt;"Y",0,((SUMIF(Products!$E$5:$E$300,A674,Products!$K$5:$K$300)+SUMIF(RM_Lots!$A$5:$A$400,A674,RM_Lots!$F$5:$F$400))+IF(W674="Y",SUMIF(Products!$E$5:$E$300,A674,Products!$L$5:$L$300),0))*(1+N(V674)))</f>
        <v>0</v>
      </c>
      <c r="AC674" s="17" t="n">
        <f aca="false">IF(J674="",1,MAX(1,COUNTIFS($J$5:$J$863,J674,$F$5:$F$863,"Y")))</f>
        <v>1</v>
      </c>
      <c r="AD674" s="18" t="n">
        <f aca="false">(MAX(1,N(I674))*(P674+N(S674))+MAX(1,N(I674))*N(K674)/(MAX(1,N(U674))*AC674))*Settings!$B$9</f>
        <v>0</v>
      </c>
      <c r="AE674" s="18" t="n">
        <f aca="false">(MAX(1,N(I674))*N(Q674)+MAX(1,N(I674))*N(L674)/(MAX(1,N(U674))*AC674))*Settings!$B$8</f>
        <v>0</v>
      </c>
      <c r="AF674" s="18" t="n">
        <f aca="false">MAX(1,N(I674))*N(T674)</f>
        <v>0</v>
      </c>
      <c r="AG674" s="15" t="n">
        <f aca="false">AA674*N(AD674)</f>
        <v>0</v>
      </c>
      <c r="AH674" s="15" t="n">
        <f aca="false">AA674*N(AE674)</f>
        <v>0</v>
      </c>
      <c r="AI674" s="15" t="n">
        <f aca="false">AA674*N(AF674)</f>
        <v>0</v>
      </c>
      <c r="AJ674" s="15" t="n">
        <f aca="false">AA674*N(R674)</f>
        <v>0</v>
      </c>
      <c r="AK674" s="15" t="n">
        <f aca="false">AB674*N(AD674)</f>
        <v>0</v>
      </c>
      <c r="AL674" s="15" t="n">
        <f aca="false">AB674*N(AE674)</f>
        <v>0</v>
      </c>
      <c r="AM674" s="15" t="n">
        <f aca="false">AB674*N(AF674)</f>
        <v>0</v>
      </c>
      <c r="AN674" s="15" t="n">
        <f aca="false">AB674*N(R674)</f>
        <v>0</v>
      </c>
      <c r="AO674" s="21" t="str">
        <f aca="false">IF(F674&lt;&gt;"Y","n/a",IF(AND(N674&lt;&gt;"",OR(Q674&lt;&gt;"",G674="Other / bench",G674="None"),U674&lt;&gt;""),"OK","Missing"))</f>
        <v>n/a</v>
      </c>
    </row>
    <row r="675" customFormat="false" ht="15" hidden="false" customHeight="false" outlineLevel="0" collapsed="false">
      <c r="A675" s="16"/>
      <c r="B675" s="16"/>
      <c r="C675" s="16"/>
      <c r="D675" s="16"/>
      <c r="E675" s="21" t="str">
        <f aca="false">IF(A675="","",A675&amp;"|"&amp;D675)</f>
        <v/>
      </c>
      <c r="F675" s="16"/>
      <c r="G675" s="16"/>
      <c r="H675" s="16"/>
      <c r="I675" s="16"/>
      <c r="J675" s="16"/>
      <c r="K675" s="14"/>
      <c r="L675" s="14"/>
      <c r="M675" s="14"/>
      <c r="N675" s="14"/>
      <c r="O675" s="14"/>
      <c r="P675" s="18" t="n">
        <f aca="false">IF(N675="",0,IF(OR(M675="",O675=""),N675,(M675+4*N675+O675)/6))</f>
        <v>0</v>
      </c>
      <c r="Q675" s="14"/>
      <c r="R675" s="14"/>
      <c r="S675" s="14"/>
      <c r="T675" s="14"/>
      <c r="U675" s="16"/>
      <c r="V675" s="13"/>
      <c r="W675" s="16"/>
      <c r="X675" s="16"/>
      <c r="Y675" s="16"/>
      <c r="Z675" s="16"/>
      <c r="AA675" s="22" t="n">
        <f aca="false">IF(F675&lt;&gt;"Y",0,((SUMIF(Products!$E$5:$E$300,A675,Products!$F$5:$F$300)+SUMIF(RM_Lots!$A$5:$A$400,A675,RM_Lots!$D$5:$D$400))+IF(W675="Y",SUMIF(Products!$E$5:$E$300,A675,Products!$G$5:$G$300),0))*(1+N(V675)))</f>
        <v>0</v>
      </c>
      <c r="AB675" s="22" t="n">
        <f aca="false">IF(F675&lt;&gt;"Y",0,((SUMIF(Products!$E$5:$E$300,A675,Products!$K$5:$K$300)+SUMIF(RM_Lots!$A$5:$A$400,A675,RM_Lots!$F$5:$F$400))+IF(W675="Y",SUMIF(Products!$E$5:$E$300,A675,Products!$L$5:$L$300),0))*(1+N(V675)))</f>
        <v>0</v>
      </c>
      <c r="AC675" s="17" t="n">
        <f aca="false">IF(J675="",1,MAX(1,COUNTIFS($J$5:$J$863,J675,$F$5:$F$863,"Y")))</f>
        <v>1</v>
      </c>
      <c r="AD675" s="18" t="n">
        <f aca="false">(MAX(1,N(I675))*(P675+N(S675))+MAX(1,N(I675))*N(K675)/(MAX(1,N(U675))*AC675))*Settings!$B$9</f>
        <v>0</v>
      </c>
      <c r="AE675" s="18" t="n">
        <f aca="false">(MAX(1,N(I675))*N(Q675)+MAX(1,N(I675))*N(L675)/(MAX(1,N(U675))*AC675))*Settings!$B$8</f>
        <v>0</v>
      </c>
      <c r="AF675" s="18" t="n">
        <f aca="false">MAX(1,N(I675))*N(T675)</f>
        <v>0</v>
      </c>
      <c r="AG675" s="15" t="n">
        <f aca="false">AA675*N(AD675)</f>
        <v>0</v>
      </c>
      <c r="AH675" s="15" t="n">
        <f aca="false">AA675*N(AE675)</f>
        <v>0</v>
      </c>
      <c r="AI675" s="15" t="n">
        <f aca="false">AA675*N(AF675)</f>
        <v>0</v>
      </c>
      <c r="AJ675" s="15" t="n">
        <f aca="false">AA675*N(R675)</f>
        <v>0</v>
      </c>
      <c r="AK675" s="15" t="n">
        <f aca="false">AB675*N(AD675)</f>
        <v>0</v>
      </c>
      <c r="AL675" s="15" t="n">
        <f aca="false">AB675*N(AE675)</f>
        <v>0</v>
      </c>
      <c r="AM675" s="15" t="n">
        <f aca="false">AB675*N(AF675)</f>
        <v>0</v>
      </c>
      <c r="AN675" s="15" t="n">
        <f aca="false">AB675*N(R675)</f>
        <v>0</v>
      </c>
      <c r="AO675" s="21" t="str">
        <f aca="false">IF(F675&lt;&gt;"Y","n/a",IF(AND(N675&lt;&gt;"",OR(Q675&lt;&gt;"",G675="Other / bench",G675="None"),U675&lt;&gt;""),"OK","Missing"))</f>
        <v>n/a</v>
      </c>
    </row>
    <row r="676" customFormat="false" ht="15" hidden="false" customHeight="false" outlineLevel="0" collapsed="false">
      <c r="A676" s="16"/>
      <c r="B676" s="16"/>
      <c r="C676" s="16"/>
      <c r="D676" s="16"/>
      <c r="E676" s="21" t="str">
        <f aca="false">IF(A676="","",A676&amp;"|"&amp;D676)</f>
        <v/>
      </c>
      <c r="F676" s="16"/>
      <c r="G676" s="16"/>
      <c r="H676" s="16"/>
      <c r="I676" s="16"/>
      <c r="J676" s="16"/>
      <c r="K676" s="14"/>
      <c r="L676" s="14"/>
      <c r="M676" s="14"/>
      <c r="N676" s="14"/>
      <c r="O676" s="14"/>
      <c r="P676" s="18" t="n">
        <f aca="false">IF(N676="",0,IF(OR(M676="",O676=""),N676,(M676+4*N676+O676)/6))</f>
        <v>0</v>
      </c>
      <c r="Q676" s="14"/>
      <c r="R676" s="14"/>
      <c r="S676" s="14"/>
      <c r="T676" s="14"/>
      <c r="U676" s="16"/>
      <c r="V676" s="13"/>
      <c r="W676" s="16"/>
      <c r="X676" s="16"/>
      <c r="Y676" s="16"/>
      <c r="Z676" s="16"/>
      <c r="AA676" s="22" t="n">
        <f aca="false">IF(F676&lt;&gt;"Y",0,((SUMIF(Products!$E$5:$E$300,A676,Products!$F$5:$F$300)+SUMIF(RM_Lots!$A$5:$A$400,A676,RM_Lots!$D$5:$D$400))+IF(W676="Y",SUMIF(Products!$E$5:$E$300,A676,Products!$G$5:$G$300),0))*(1+N(V676)))</f>
        <v>0</v>
      </c>
      <c r="AB676" s="22" t="n">
        <f aca="false">IF(F676&lt;&gt;"Y",0,((SUMIF(Products!$E$5:$E$300,A676,Products!$K$5:$K$300)+SUMIF(RM_Lots!$A$5:$A$400,A676,RM_Lots!$F$5:$F$400))+IF(W676="Y",SUMIF(Products!$E$5:$E$300,A676,Products!$L$5:$L$300),0))*(1+N(V676)))</f>
        <v>0</v>
      </c>
      <c r="AC676" s="17" t="n">
        <f aca="false">IF(J676="",1,MAX(1,COUNTIFS($J$5:$J$863,J676,$F$5:$F$863,"Y")))</f>
        <v>1</v>
      </c>
      <c r="AD676" s="18" t="n">
        <f aca="false">(MAX(1,N(I676))*(P676+N(S676))+MAX(1,N(I676))*N(K676)/(MAX(1,N(U676))*AC676))*Settings!$B$9</f>
        <v>0</v>
      </c>
      <c r="AE676" s="18" t="n">
        <f aca="false">(MAX(1,N(I676))*N(Q676)+MAX(1,N(I676))*N(L676)/(MAX(1,N(U676))*AC676))*Settings!$B$8</f>
        <v>0</v>
      </c>
      <c r="AF676" s="18" t="n">
        <f aca="false">MAX(1,N(I676))*N(T676)</f>
        <v>0</v>
      </c>
      <c r="AG676" s="15" t="n">
        <f aca="false">AA676*N(AD676)</f>
        <v>0</v>
      </c>
      <c r="AH676" s="15" t="n">
        <f aca="false">AA676*N(AE676)</f>
        <v>0</v>
      </c>
      <c r="AI676" s="15" t="n">
        <f aca="false">AA676*N(AF676)</f>
        <v>0</v>
      </c>
      <c r="AJ676" s="15" t="n">
        <f aca="false">AA676*N(R676)</f>
        <v>0</v>
      </c>
      <c r="AK676" s="15" t="n">
        <f aca="false">AB676*N(AD676)</f>
        <v>0</v>
      </c>
      <c r="AL676" s="15" t="n">
        <f aca="false">AB676*N(AE676)</f>
        <v>0</v>
      </c>
      <c r="AM676" s="15" t="n">
        <f aca="false">AB676*N(AF676)</f>
        <v>0</v>
      </c>
      <c r="AN676" s="15" t="n">
        <f aca="false">AB676*N(R676)</f>
        <v>0</v>
      </c>
      <c r="AO676" s="21" t="str">
        <f aca="false">IF(F676&lt;&gt;"Y","n/a",IF(AND(N676&lt;&gt;"",OR(Q676&lt;&gt;"",G676="Other / bench",G676="None"),U676&lt;&gt;""),"OK","Missing"))</f>
        <v>n/a</v>
      </c>
    </row>
    <row r="677" customFormat="false" ht="15" hidden="false" customHeight="false" outlineLevel="0" collapsed="false">
      <c r="A677" s="16"/>
      <c r="B677" s="16"/>
      <c r="C677" s="16"/>
      <c r="D677" s="16"/>
      <c r="E677" s="21" t="str">
        <f aca="false">IF(A677="","",A677&amp;"|"&amp;D677)</f>
        <v/>
      </c>
      <c r="F677" s="16"/>
      <c r="G677" s="16"/>
      <c r="H677" s="16"/>
      <c r="I677" s="16"/>
      <c r="J677" s="16"/>
      <c r="K677" s="14"/>
      <c r="L677" s="14"/>
      <c r="M677" s="14"/>
      <c r="N677" s="14"/>
      <c r="O677" s="14"/>
      <c r="P677" s="18" t="n">
        <f aca="false">IF(N677="",0,IF(OR(M677="",O677=""),N677,(M677+4*N677+O677)/6))</f>
        <v>0</v>
      </c>
      <c r="Q677" s="14"/>
      <c r="R677" s="14"/>
      <c r="S677" s="14"/>
      <c r="T677" s="14"/>
      <c r="U677" s="16"/>
      <c r="V677" s="13"/>
      <c r="W677" s="16"/>
      <c r="X677" s="16"/>
      <c r="Y677" s="16"/>
      <c r="Z677" s="16"/>
      <c r="AA677" s="22" t="n">
        <f aca="false">IF(F677&lt;&gt;"Y",0,((SUMIF(Products!$E$5:$E$300,A677,Products!$F$5:$F$300)+SUMIF(RM_Lots!$A$5:$A$400,A677,RM_Lots!$D$5:$D$400))+IF(W677="Y",SUMIF(Products!$E$5:$E$300,A677,Products!$G$5:$G$300),0))*(1+N(V677)))</f>
        <v>0</v>
      </c>
      <c r="AB677" s="22" t="n">
        <f aca="false">IF(F677&lt;&gt;"Y",0,((SUMIF(Products!$E$5:$E$300,A677,Products!$K$5:$K$300)+SUMIF(RM_Lots!$A$5:$A$400,A677,RM_Lots!$F$5:$F$400))+IF(W677="Y",SUMIF(Products!$E$5:$E$300,A677,Products!$L$5:$L$300),0))*(1+N(V677)))</f>
        <v>0</v>
      </c>
      <c r="AC677" s="17" t="n">
        <f aca="false">IF(J677="",1,MAX(1,COUNTIFS($J$5:$J$863,J677,$F$5:$F$863,"Y")))</f>
        <v>1</v>
      </c>
      <c r="AD677" s="18" t="n">
        <f aca="false">(MAX(1,N(I677))*(P677+N(S677))+MAX(1,N(I677))*N(K677)/(MAX(1,N(U677))*AC677))*Settings!$B$9</f>
        <v>0</v>
      </c>
      <c r="AE677" s="18" t="n">
        <f aca="false">(MAX(1,N(I677))*N(Q677)+MAX(1,N(I677))*N(L677)/(MAX(1,N(U677))*AC677))*Settings!$B$8</f>
        <v>0</v>
      </c>
      <c r="AF677" s="18" t="n">
        <f aca="false">MAX(1,N(I677))*N(T677)</f>
        <v>0</v>
      </c>
      <c r="AG677" s="15" t="n">
        <f aca="false">AA677*N(AD677)</f>
        <v>0</v>
      </c>
      <c r="AH677" s="15" t="n">
        <f aca="false">AA677*N(AE677)</f>
        <v>0</v>
      </c>
      <c r="AI677" s="15" t="n">
        <f aca="false">AA677*N(AF677)</f>
        <v>0</v>
      </c>
      <c r="AJ677" s="15" t="n">
        <f aca="false">AA677*N(R677)</f>
        <v>0</v>
      </c>
      <c r="AK677" s="15" t="n">
        <f aca="false">AB677*N(AD677)</f>
        <v>0</v>
      </c>
      <c r="AL677" s="15" t="n">
        <f aca="false">AB677*N(AE677)</f>
        <v>0</v>
      </c>
      <c r="AM677" s="15" t="n">
        <f aca="false">AB677*N(AF677)</f>
        <v>0</v>
      </c>
      <c r="AN677" s="15" t="n">
        <f aca="false">AB677*N(R677)</f>
        <v>0</v>
      </c>
      <c r="AO677" s="21" t="str">
        <f aca="false">IF(F677&lt;&gt;"Y","n/a",IF(AND(N677&lt;&gt;"",OR(Q677&lt;&gt;"",G677="Other / bench",G677="None"),U677&lt;&gt;""),"OK","Missing"))</f>
        <v>n/a</v>
      </c>
    </row>
    <row r="678" customFormat="false" ht="15" hidden="false" customHeight="false" outlineLevel="0" collapsed="false">
      <c r="A678" s="16"/>
      <c r="B678" s="16"/>
      <c r="C678" s="16"/>
      <c r="D678" s="16"/>
      <c r="E678" s="21" t="str">
        <f aca="false">IF(A678="","",A678&amp;"|"&amp;D678)</f>
        <v/>
      </c>
      <c r="F678" s="16"/>
      <c r="G678" s="16"/>
      <c r="H678" s="16"/>
      <c r="I678" s="16"/>
      <c r="J678" s="16"/>
      <c r="K678" s="14"/>
      <c r="L678" s="14"/>
      <c r="M678" s="14"/>
      <c r="N678" s="14"/>
      <c r="O678" s="14"/>
      <c r="P678" s="18" t="n">
        <f aca="false">IF(N678="",0,IF(OR(M678="",O678=""),N678,(M678+4*N678+O678)/6))</f>
        <v>0</v>
      </c>
      <c r="Q678" s="14"/>
      <c r="R678" s="14"/>
      <c r="S678" s="14"/>
      <c r="T678" s="14"/>
      <c r="U678" s="16"/>
      <c r="V678" s="13"/>
      <c r="W678" s="16"/>
      <c r="X678" s="16"/>
      <c r="Y678" s="16"/>
      <c r="Z678" s="16"/>
      <c r="AA678" s="22" t="n">
        <f aca="false">IF(F678&lt;&gt;"Y",0,((SUMIF(Products!$E$5:$E$300,A678,Products!$F$5:$F$300)+SUMIF(RM_Lots!$A$5:$A$400,A678,RM_Lots!$D$5:$D$400))+IF(W678="Y",SUMIF(Products!$E$5:$E$300,A678,Products!$G$5:$G$300),0))*(1+N(V678)))</f>
        <v>0</v>
      </c>
      <c r="AB678" s="22" t="n">
        <f aca="false">IF(F678&lt;&gt;"Y",0,((SUMIF(Products!$E$5:$E$300,A678,Products!$K$5:$K$300)+SUMIF(RM_Lots!$A$5:$A$400,A678,RM_Lots!$F$5:$F$400))+IF(W678="Y",SUMIF(Products!$E$5:$E$300,A678,Products!$L$5:$L$300),0))*(1+N(V678)))</f>
        <v>0</v>
      </c>
      <c r="AC678" s="17" t="n">
        <f aca="false">IF(J678="",1,MAX(1,COUNTIFS($J$5:$J$863,J678,$F$5:$F$863,"Y")))</f>
        <v>1</v>
      </c>
      <c r="AD678" s="18" t="n">
        <f aca="false">(MAX(1,N(I678))*(P678+N(S678))+MAX(1,N(I678))*N(K678)/(MAX(1,N(U678))*AC678))*Settings!$B$9</f>
        <v>0</v>
      </c>
      <c r="AE678" s="18" t="n">
        <f aca="false">(MAX(1,N(I678))*N(Q678)+MAX(1,N(I678))*N(L678)/(MAX(1,N(U678))*AC678))*Settings!$B$8</f>
        <v>0</v>
      </c>
      <c r="AF678" s="18" t="n">
        <f aca="false">MAX(1,N(I678))*N(T678)</f>
        <v>0</v>
      </c>
      <c r="AG678" s="15" t="n">
        <f aca="false">AA678*N(AD678)</f>
        <v>0</v>
      </c>
      <c r="AH678" s="15" t="n">
        <f aca="false">AA678*N(AE678)</f>
        <v>0</v>
      </c>
      <c r="AI678" s="15" t="n">
        <f aca="false">AA678*N(AF678)</f>
        <v>0</v>
      </c>
      <c r="AJ678" s="15" t="n">
        <f aca="false">AA678*N(R678)</f>
        <v>0</v>
      </c>
      <c r="AK678" s="15" t="n">
        <f aca="false">AB678*N(AD678)</f>
        <v>0</v>
      </c>
      <c r="AL678" s="15" t="n">
        <f aca="false">AB678*N(AE678)</f>
        <v>0</v>
      </c>
      <c r="AM678" s="15" t="n">
        <f aca="false">AB678*N(AF678)</f>
        <v>0</v>
      </c>
      <c r="AN678" s="15" t="n">
        <f aca="false">AB678*N(R678)</f>
        <v>0</v>
      </c>
      <c r="AO678" s="21" t="str">
        <f aca="false">IF(F678&lt;&gt;"Y","n/a",IF(AND(N678&lt;&gt;"",OR(Q678&lt;&gt;"",G678="Other / bench",G678="None"),U678&lt;&gt;""),"OK","Missing"))</f>
        <v>n/a</v>
      </c>
    </row>
    <row r="679" customFormat="false" ht="15" hidden="false" customHeight="false" outlineLevel="0" collapsed="false">
      <c r="A679" s="16"/>
      <c r="B679" s="16"/>
      <c r="C679" s="16"/>
      <c r="D679" s="16"/>
      <c r="E679" s="21" t="str">
        <f aca="false">IF(A679="","",A679&amp;"|"&amp;D679)</f>
        <v/>
      </c>
      <c r="F679" s="16"/>
      <c r="G679" s="16"/>
      <c r="H679" s="16"/>
      <c r="I679" s="16"/>
      <c r="J679" s="16"/>
      <c r="K679" s="14"/>
      <c r="L679" s="14"/>
      <c r="M679" s="14"/>
      <c r="N679" s="14"/>
      <c r="O679" s="14"/>
      <c r="P679" s="18" t="n">
        <f aca="false">IF(N679="",0,IF(OR(M679="",O679=""),N679,(M679+4*N679+O679)/6))</f>
        <v>0</v>
      </c>
      <c r="Q679" s="14"/>
      <c r="R679" s="14"/>
      <c r="S679" s="14"/>
      <c r="T679" s="14"/>
      <c r="U679" s="16"/>
      <c r="V679" s="13"/>
      <c r="W679" s="16"/>
      <c r="X679" s="16"/>
      <c r="Y679" s="16"/>
      <c r="Z679" s="16"/>
      <c r="AA679" s="22" t="n">
        <f aca="false">IF(F679&lt;&gt;"Y",0,((SUMIF(Products!$E$5:$E$300,A679,Products!$F$5:$F$300)+SUMIF(RM_Lots!$A$5:$A$400,A679,RM_Lots!$D$5:$D$400))+IF(W679="Y",SUMIF(Products!$E$5:$E$300,A679,Products!$G$5:$G$300),0))*(1+N(V679)))</f>
        <v>0</v>
      </c>
      <c r="AB679" s="22" t="n">
        <f aca="false">IF(F679&lt;&gt;"Y",0,((SUMIF(Products!$E$5:$E$300,A679,Products!$K$5:$K$300)+SUMIF(RM_Lots!$A$5:$A$400,A679,RM_Lots!$F$5:$F$400))+IF(W679="Y",SUMIF(Products!$E$5:$E$300,A679,Products!$L$5:$L$300),0))*(1+N(V679)))</f>
        <v>0</v>
      </c>
      <c r="AC679" s="17" t="n">
        <f aca="false">IF(J679="",1,MAX(1,COUNTIFS($J$5:$J$863,J679,$F$5:$F$863,"Y")))</f>
        <v>1</v>
      </c>
      <c r="AD679" s="18" t="n">
        <f aca="false">(MAX(1,N(I679))*(P679+N(S679))+MAX(1,N(I679))*N(K679)/(MAX(1,N(U679))*AC679))*Settings!$B$9</f>
        <v>0</v>
      </c>
      <c r="AE679" s="18" t="n">
        <f aca="false">(MAX(1,N(I679))*N(Q679)+MAX(1,N(I679))*N(L679)/(MAX(1,N(U679))*AC679))*Settings!$B$8</f>
        <v>0</v>
      </c>
      <c r="AF679" s="18" t="n">
        <f aca="false">MAX(1,N(I679))*N(T679)</f>
        <v>0</v>
      </c>
      <c r="AG679" s="15" t="n">
        <f aca="false">AA679*N(AD679)</f>
        <v>0</v>
      </c>
      <c r="AH679" s="15" t="n">
        <f aca="false">AA679*N(AE679)</f>
        <v>0</v>
      </c>
      <c r="AI679" s="15" t="n">
        <f aca="false">AA679*N(AF679)</f>
        <v>0</v>
      </c>
      <c r="AJ679" s="15" t="n">
        <f aca="false">AA679*N(R679)</f>
        <v>0</v>
      </c>
      <c r="AK679" s="15" t="n">
        <f aca="false">AB679*N(AD679)</f>
        <v>0</v>
      </c>
      <c r="AL679" s="15" t="n">
        <f aca="false">AB679*N(AE679)</f>
        <v>0</v>
      </c>
      <c r="AM679" s="15" t="n">
        <f aca="false">AB679*N(AF679)</f>
        <v>0</v>
      </c>
      <c r="AN679" s="15" t="n">
        <f aca="false">AB679*N(R679)</f>
        <v>0</v>
      </c>
      <c r="AO679" s="21" t="str">
        <f aca="false">IF(F679&lt;&gt;"Y","n/a",IF(AND(N679&lt;&gt;"",OR(Q679&lt;&gt;"",G679="Other / bench",G679="None"),U679&lt;&gt;""),"OK","Missing"))</f>
        <v>n/a</v>
      </c>
    </row>
    <row r="680" customFormat="false" ht="15" hidden="false" customHeight="false" outlineLevel="0" collapsed="false">
      <c r="A680" s="16"/>
      <c r="B680" s="16"/>
      <c r="C680" s="16"/>
      <c r="D680" s="16"/>
      <c r="E680" s="21" t="str">
        <f aca="false">IF(A680="","",A680&amp;"|"&amp;D680)</f>
        <v/>
      </c>
      <c r="F680" s="16"/>
      <c r="G680" s="16"/>
      <c r="H680" s="16"/>
      <c r="I680" s="16"/>
      <c r="J680" s="16"/>
      <c r="K680" s="14"/>
      <c r="L680" s="14"/>
      <c r="M680" s="14"/>
      <c r="N680" s="14"/>
      <c r="O680" s="14"/>
      <c r="P680" s="18" t="n">
        <f aca="false">IF(N680="",0,IF(OR(M680="",O680=""),N680,(M680+4*N680+O680)/6))</f>
        <v>0</v>
      </c>
      <c r="Q680" s="14"/>
      <c r="R680" s="14"/>
      <c r="S680" s="14"/>
      <c r="T680" s="14"/>
      <c r="U680" s="16"/>
      <c r="V680" s="13"/>
      <c r="W680" s="16"/>
      <c r="X680" s="16"/>
      <c r="Y680" s="16"/>
      <c r="Z680" s="16"/>
      <c r="AA680" s="22" t="n">
        <f aca="false">IF(F680&lt;&gt;"Y",0,((SUMIF(Products!$E$5:$E$300,A680,Products!$F$5:$F$300)+SUMIF(RM_Lots!$A$5:$A$400,A680,RM_Lots!$D$5:$D$400))+IF(W680="Y",SUMIF(Products!$E$5:$E$300,A680,Products!$G$5:$G$300),0))*(1+N(V680)))</f>
        <v>0</v>
      </c>
      <c r="AB680" s="22" t="n">
        <f aca="false">IF(F680&lt;&gt;"Y",0,((SUMIF(Products!$E$5:$E$300,A680,Products!$K$5:$K$300)+SUMIF(RM_Lots!$A$5:$A$400,A680,RM_Lots!$F$5:$F$400))+IF(W680="Y",SUMIF(Products!$E$5:$E$300,A680,Products!$L$5:$L$300),0))*(1+N(V680)))</f>
        <v>0</v>
      </c>
      <c r="AC680" s="17" t="n">
        <f aca="false">IF(J680="",1,MAX(1,COUNTIFS($J$5:$J$863,J680,$F$5:$F$863,"Y")))</f>
        <v>1</v>
      </c>
      <c r="AD680" s="18" t="n">
        <f aca="false">(MAX(1,N(I680))*(P680+N(S680))+MAX(1,N(I680))*N(K680)/(MAX(1,N(U680))*AC680))*Settings!$B$9</f>
        <v>0</v>
      </c>
      <c r="AE680" s="18" t="n">
        <f aca="false">(MAX(1,N(I680))*N(Q680)+MAX(1,N(I680))*N(L680)/(MAX(1,N(U680))*AC680))*Settings!$B$8</f>
        <v>0</v>
      </c>
      <c r="AF680" s="18" t="n">
        <f aca="false">MAX(1,N(I680))*N(T680)</f>
        <v>0</v>
      </c>
      <c r="AG680" s="15" t="n">
        <f aca="false">AA680*N(AD680)</f>
        <v>0</v>
      </c>
      <c r="AH680" s="15" t="n">
        <f aca="false">AA680*N(AE680)</f>
        <v>0</v>
      </c>
      <c r="AI680" s="15" t="n">
        <f aca="false">AA680*N(AF680)</f>
        <v>0</v>
      </c>
      <c r="AJ680" s="15" t="n">
        <f aca="false">AA680*N(R680)</f>
        <v>0</v>
      </c>
      <c r="AK680" s="15" t="n">
        <f aca="false">AB680*N(AD680)</f>
        <v>0</v>
      </c>
      <c r="AL680" s="15" t="n">
        <f aca="false">AB680*N(AE680)</f>
        <v>0</v>
      </c>
      <c r="AM680" s="15" t="n">
        <f aca="false">AB680*N(AF680)</f>
        <v>0</v>
      </c>
      <c r="AN680" s="15" t="n">
        <f aca="false">AB680*N(R680)</f>
        <v>0</v>
      </c>
      <c r="AO680" s="21" t="str">
        <f aca="false">IF(F680&lt;&gt;"Y","n/a",IF(AND(N680&lt;&gt;"",OR(Q680&lt;&gt;"",G680="Other / bench",G680="None"),U680&lt;&gt;""),"OK","Missing"))</f>
        <v>n/a</v>
      </c>
    </row>
    <row r="681" customFormat="false" ht="15" hidden="false" customHeight="false" outlineLevel="0" collapsed="false">
      <c r="A681" s="16"/>
      <c r="B681" s="16"/>
      <c r="C681" s="16"/>
      <c r="D681" s="16"/>
      <c r="E681" s="21" t="str">
        <f aca="false">IF(A681="","",A681&amp;"|"&amp;D681)</f>
        <v/>
      </c>
      <c r="F681" s="16"/>
      <c r="G681" s="16"/>
      <c r="H681" s="16"/>
      <c r="I681" s="16"/>
      <c r="J681" s="16"/>
      <c r="K681" s="14"/>
      <c r="L681" s="14"/>
      <c r="M681" s="14"/>
      <c r="N681" s="14"/>
      <c r="O681" s="14"/>
      <c r="P681" s="18" t="n">
        <f aca="false">IF(N681="",0,IF(OR(M681="",O681=""),N681,(M681+4*N681+O681)/6))</f>
        <v>0</v>
      </c>
      <c r="Q681" s="14"/>
      <c r="R681" s="14"/>
      <c r="S681" s="14"/>
      <c r="T681" s="14"/>
      <c r="U681" s="16"/>
      <c r="V681" s="13"/>
      <c r="W681" s="16"/>
      <c r="X681" s="16"/>
      <c r="Y681" s="16"/>
      <c r="Z681" s="16"/>
      <c r="AA681" s="22" t="n">
        <f aca="false">IF(F681&lt;&gt;"Y",0,((SUMIF(Products!$E$5:$E$300,A681,Products!$F$5:$F$300)+SUMIF(RM_Lots!$A$5:$A$400,A681,RM_Lots!$D$5:$D$400))+IF(W681="Y",SUMIF(Products!$E$5:$E$300,A681,Products!$G$5:$G$300),0))*(1+N(V681)))</f>
        <v>0</v>
      </c>
      <c r="AB681" s="22" t="n">
        <f aca="false">IF(F681&lt;&gt;"Y",0,((SUMIF(Products!$E$5:$E$300,A681,Products!$K$5:$K$300)+SUMIF(RM_Lots!$A$5:$A$400,A681,RM_Lots!$F$5:$F$400))+IF(W681="Y",SUMIF(Products!$E$5:$E$300,A681,Products!$L$5:$L$300),0))*(1+N(V681)))</f>
        <v>0</v>
      </c>
      <c r="AC681" s="17" t="n">
        <f aca="false">IF(J681="",1,MAX(1,COUNTIFS($J$5:$J$863,J681,$F$5:$F$863,"Y")))</f>
        <v>1</v>
      </c>
      <c r="AD681" s="18" t="n">
        <f aca="false">(MAX(1,N(I681))*(P681+N(S681))+MAX(1,N(I681))*N(K681)/(MAX(1,N(U681))*AC681))*Settings!$B$9</f>
        <v>0</v>
      </c>
      <c r="AE681" s="18" t="n">
        <f aca="false">(MAX(1,N(I681))*N(Q681)+MAX(1,N(I681))*N(L681)/(MAX(1,N(U681))*AC681))*Settings!$B$8</f>
        <v>0</v>
      </c>
      <c r="AF681" s="18" t="n">
        <f aca="false">MAX(1,N(I681))*N(T681)</f>
        <v>0</v>
      </c>
      <c r="AG681" s="15" t="n">
        <f aca="false">AA681*N(AD681)</f>
        <v>0</v>
      </c>
      <c r="AH681" s="15" t="n">
        <f aca="false">AA681*N(AE681)</f>
        <v>0</v>
      </c>
      <c r="AI681" s="15" t="n">
        <f aca="false">AA681*N(AF681)</f>
        <v>0</v>
      </c>
      <c r="AJ681" s="15" t="n">
        <f aca="false">AA681*N(R681)</f>
        <v>0</v>
      </c>
      <c r="AK681" s="15" t="n">
        <f aca="false">AB681*N(AD681)</f>
        <v>0</v>
      </c>
      <c r="AL681" s="15" t="n">
        <f aca="false">AB681*N(AE681)</f>
        <v>0</v>
      </c>
      <c r="AM681" s="15" t="n">
        <f aca="false">AB681*N(AF681)</f>
        <v>0</v>
      </c>
      <c r="AN681" s="15" t="n">
        <f aca="false">AB681*N(R681)</f>
        <v>0</v>
      </c>
      <c r="AO681" s="21" t="str">
        <f aca="false">IF(F681&lt;&gt;"Y","n/a",IF(AND(N681&lt;&gt;"",OR(Q681&lt;&gt;"",G681="Other / bench",G681="None"),U681&lt;&gt;""),"OK","Missing"))</f>
        <v>n/a</v>
      </c>
    </row>
    <row r="682" customFormat="false" ht="15" hidden="false" customHeight="false" outlineLevel="0" collapsed="false">
      <c r="A682" s="16"/>
      <c r="B682" s="16"/>
      <c r="C682" s="16"/>
      <c r="D682" s="16"/>
      <c r="E682" s="21" t="str">
        <f aca="false">IF(A682="","",A682&amp;"|"&amp;D682)</f>
        <v/>
      </c>
      <c r="F682" s="16"/>
      <c r="G682" s="16"/>
      <c r="H682" s="16"/>
      <c r="I682" s="16"/>
      <c r="J682" s="16"/>
      <c r="K682" s="14"/>
      <c r="L682" s="14"/>
      <c r="M682" s="14"/>
      <c r="N682" s="14"/>
      <c r="O682" s="14"/>
      <c r="P682" s="18" t="n">
        <f aca="false">IF(N682="",0,IF(OR(M682="",O682=""),N682,(M682+4*N682+O682)/6))</f>
        <v>0</v>
      </c>
      <c r="Q682" s="14"/>
      <c r="R682" s="14"/>
      <c r="S682" s="14"/>
      <c r="T682" s="14"/>
      <c r="U682" s="16"/>
      <c r="V682" s="13"/>
      <c r="W682" s="16"/>
      <c r="X682" s="16"/>
      <c r="Y682" s="16"/>
      <c r="Z682" s="16"/>
      <c r="AA682" s="22" t="n">
        <f aca="false">IF(F682&lt;&gt;"Y",0,((SUMIF(Products!$E$5:$E$300,A682,Products!$F$5:$F$300)+SUMIF(RM_Lots!$A$5:$A$400,A682,RM_Lots!$D$5:$D$400))+IF(W682="Y",SUMIF(Products!$E$5:$E$300,A682,Products!$G$5:$G$300),0))*(1+N(V682)))</f>
        <v>0</v>
      </c>
      <c r="AB682" s="22" t="n">
        <f aca="false">IF(F682&lt;&gt;"Y",0,((SUMIF(Products!$E$5:$E$300,A682,Products!$K$5:$K$300)+SUMIF(RM_Lots!$A$5:$A$400,A682,RM_Lots!$F$5:$F$400))+IF(W682="Y",SUMIF(Products!$E$5:$E$300,A682,Products!$L$5:$L$300),0))*(1+N(V682)))</f>
        <v>0</v>
      </c>
      <c r="AC682" s="17" t="n">
        <f aca="false">IF(J682="",1,MAX(1,COUNTIFS($J$5:$J$863,J682,$F$5:$F$863,"Y")))</f>
        <v>1</v>
      </c>
      <c r="AD682" s="18" t="n">
        <f aca="false">(MAX(1,N(I682))*(P682+N(S682))+MAX(1,N(I682))*N(K682)/(MAX(1,N(U682))*AC682))*Settings!$B$9</f>
        <v>0</v>
      </c>
      <c r="AE682" s="18" t="n">
        <f aca="false">(MAX(1,N(I682))*N(Q682)+MAX(1,N(I682))*N(L682)/(MAX(1,N(U682))*AC682))*Settings!$B$8</f>
        <v>0</v>
      </c>
      <c r="AF682" s="18" t="n">
        <f aca="false">MAX(1,N(I682))*N(T682)</f>
        <v>0</v>
      </c>
      <c r="AG682" s="15" t="n">
        <f aca="false">AA682*N(AD682)</f>
        <v>0</v>
      </c>
      <c r="AH682" s="15" t="n">
        <f aca="false">AA682*N(AE682)</f>
        <v>0</v>
      </c>
      <c r="AI682" s="15" t="n">
        <f aca="false">AA682*N(AF682)</f>
        <v>0</v>
      </c>
      <c r="AJ682" s="15" t="n">
        <f aca="false">AA682*N(R682)</f>
        <v>0</v>
      </c>
      <c r="AK682" s="15" t="n">
        <f aca="false">AB682*N(AD682)</f>
        <v>0</v>
      </c>
      <c r="AL682" s="15" t="n">
        <f aca="false">AB682*N(AE682)</f>
        <v>0</v>
      </c>
      <c r="AM682" s="15" t="n">
        <f aca="false">AB682*N(AF682)</f>
        <v>0</v>
      </c>
      <c r="AN682" s="15" t="n">
        <f aca="false">AB682*N(R682)</f>
        <v>0</v>
      </c>
      <c r="AO682" s="21" t="str">
        <f aca="false">IF(F682&lt;&gt;"Y","n/a",IF(AND(N682&lt;&gt;"",OR(Q682&lt;&gt;"",G682="Other / bench",G682="None"),U682&lt;&gt;""),"OK","Missing"))</f>
        <v>n/a</v>
      </c>
    </row>
    <row r="683" customFormat="false" ht="15" hidden="false" customHeight="false" outlineLevel="0" collapsed="false">
      <c r="A683" s="16"/>
      <c r="B683" s="16"/>
      <c r="C683" s="16"/>
      <c r="D683" s="16"/>
      <c r="E683" s="21" t="str">
        <f aca="false">IF(A683="","",A683&amp;"|"&amp;D683)</f>
        <v/>
      </c>
      <c r="F683" s="16"/>
      <c r="G683" s="16"/>
      <c r="H683" s="16"/>
      <c r="I683" s="16"/>
      <c r="J683" s="16"/>
      <c r="K683" s="14"/>
      <c r="L683" s="14"/>
      <c r="M683" s="14"/>
      <c r="N683" s="14"/>
      <c r="O683" s="14"/>
      <c r="P683" s="18" t="n">
        <f aca="false">IF(N683="",0,IF(OR(M683="",O683=""),N683,(M683+4*N683+O683)/6))</f>
        <v>0</v>
      </c>
      <c r="Q683" s="14"/>
      <c r="R683" s="14"/>
      <c r="S683" s="14"/>
      <c r="T683" s="14"/>
      <c r="U683" s="16"/>
      <c r="V683" s="13"/>
      <c r="W683" s="16"/>
      <c r="X683" s="16"/>
      <c r="Y683" s="16"/>
      <c r="Z683" s="16"/>
      <c r="AA683" s="22" t="n">
        <f aca="false">IF(F683&lt;&gt;"Y",0,((SUMIF(Products!$E$5:$E$300,A683,Products!$F$5:$F$300)+SUMIF(RM_Lots!$A$5:$A$400,A683,RM_Lots!$D$5:$D$400))+IF(W683="Y",SUMIF(Products!$E$5:$E$300,A683,Products!$G$5:$G$300),0))*(1+N(V683)))</f>
        <v>0</v>
      </c>
      <c r="AB683" s="22" t="n">
        <f aca="false">IF(F683&lt;&gt;"Y",0,((SUMIF(Products!$E$5:$E$300,A683,Products!$K$5:$K$300)+SUMIF(RM_Lots!$A$5:$A$400,A683,RM_Lots!$F$5:$F$400))+IF(W683="Y",SUMIF(Products!$E$5:$E$300,A683,Products!$L$5:$L$300),0))*(1+N(V683)))</f>
        <v>0</v>
      </c>
      <c r="AC683" s="17" t="n">
        <f aca="false">IF(J683="",1,MAX(1,COUNTIFS($J$5:$J$863,J683,$F$5:$F$863,"Y")))</f>
        <v>1</v>
      </c>
      <c r="AD683" s="18" t="n">
        <f aca="false">(MAX(1,N(I683))*(P683+N(S683))+MAX(1,N(I683))*N(K683)/(MAX(1,N(U683))*AC683))*Settings!$B$9</f>
        <v>0</v>
      </c>
      <c r="AE683" s="18" t="n">
        <f aca="false">(MAX(1,N(I683))*N(Q683)+MAX(1,N(I683))*N(L683)/(MAX(1,N(U683))*AC683))*Settings!$B$8</f>
        <v>0</v>
      </c>
      <c r="AF683" s="18" t="n">
        <f aca="false">MAX(1,N(I683))*N(T683)</f>
        <v>0</v>
      </c>
      <c r="AG683" s="15" t="n">
        <f aca="false">AA683*N(AD683)</f>
        <v>0</v>
      </c>
      <c r="AH683" s="15" t="n">
        <f aca="false">AA683*N(AE683)</f>
        <v>0</v>
      </c>
      <c r="AI683" s="15" t="n">
        <f aca="false">AA683*N(AF683)</f>
        <v>0</v>
      </c>
      <c r="AJ683" s="15" t="n">
        <f aca="false">AA683*N(R683)</f>
        <v>0</v>
      </c>
      <c r="AK683" s="15" t="n">
        <f aca="false">AB683*N(AD683)</f>
        <v>0</v>
      </c>
      <c r="AL683" s="15" t="n">
        <f aca="false">AB683*N(AE683)</f>
        <v>0</v>
      </c>
      <c r="AM683" s="15" t="n">
        <f aca="false">AB683*N(AF683)</f>
        <v>0</v>
      </c>
      <c r="AN683" s="15" t="n">
        <f aca="false">AB683*N(R683)</f>
        <v>0</v>
      </c>
      <c r="AO683" s="21" t="str">
        <f aca="false">IF(F683&lt;&gt;"Y","n/a",IF(AND(N683&lt;&gt;"",OR(Q683&lt;&gt;"",G683="Other / bench",G683="None"),U683&lt;&gt;""),"OK","Missing"))</f>
        <v>n/a</v>
      </c>
    </row>
    <row r="684" customFormat="false" ht="15" hidden="false" customHeight="false" outlineLevel="0" collapsed="false">
      <c r="A684" s="16"/>
      <c r="B684" s="16"/>
      <c r="C684" s="16"/>
      <c r="D684" s="16"/>
      <c r="E684" s="21" t="str">
        <f aca="false">IF(A684="","",A684&amp;"|"&amp;D684)</f>
        <v/>
      </c>
      <c r="F684" s="16"/>
      <c r="G684" s="16"/>
      <c r="H684" s="16"/>
      <c r="I684" s="16"/>
      <c r="J684" s="16"/>
      <c r="K684" s="14"/>
      <c r="L684" s="14"/>
      <c r="M684" s="14"/>
      <c r="N684" s="14"/>
      <c r="O684" s="14"/>
      <c r="P684" s="18" t="n">
        <f aca="false">IF(N684="",0,IF(OR(M684="",O684=""),N684,(M684+4*N684+O684)/6))</f>
        <v>0</v>
      </c>
      <c r="Q684" s="14"/>
      <c r="R684" s="14"/>
      <c r="S684" s="14"/>
      <c r="T684" s="14"/>
      <c r="U684" s="16"/>
      <c r="V684" s="13"/>
      <c r="W684" s="16"/>
      <c r="X684" s="16"/>
      <c r="Y684" s="16"/>
      <c r="Z684" s="16"/>
      <c r="AA684" s="22" t="n">
        <f aca="false">IF(F684&lt;&gt;"Y",0,((SUMIF(Products!$E$5:$E$300,A684,Products!$F$5:$F$300)+SUMIF(RM_Lots!$A$5:$A$400,A684,RM_Lots!$D$5:$D$400))+IF(W684="Y",SUMIF(Products!$E$5:$E$300,A684,Products!$G$5:$G$300),0))*(1+N(V684)))</f>
        <v>0</v>
      </c>
      <c r="AB684" s="22" t="n">
        <f aca="false">IF(F684&lt;&gt;"Y",0,((SUMIF(Products!$E$5:$E$300,A684,Products!$K$5:$K$300)+SUMIF(RM_Lots!$A$5:$A$400,A684,RM_Lots!$F$5:$F$400))+IF(W684="Y",SUMIF(Products!$E$5:$E$300,A684,Products!$L$5:$L$300),0))*(1+N(V684)))</f>
        <v>0</v>
      </c>
      <c r="AC684" s="17" t="n">
        <f aca="false">IF(J684="",1,MAX(1,COUNTIFS($J$5:$J$863,J684,$F$5:$F$863,"Y")))</f>
        <v>1</v>
      </c>
      <c r="AD684" s="18" t="n">
        <f aca="false">(MAX(1,N(I684))*(P684+N(S684))+MAX(1,N(I684))*N(K684)/(MAX(1,N(U684))*AC684))*Settings!$B$9</f>
        <v>0</v>
      </c>
      <c r="AE684" s="18" t="n">
        <f aca="false">(MAX(1,N(I684))*N(Q684)+MAX(1,N(I684))*N(L684)/(MAX(1,N(U684))*AC684))*Settings!$B$8</f>
        <v>0</v>
      </c>
      <c r="AF684" s="18" t="n">
        <f aca="false">MAX(1,N(I684))*N(T684)</f>
        <v>0</v>
      </c>
      <c r="AG684" s="15" t="n">
        <f aca="false">AA684*N(AD684)</f>
        <v>0</v>
      </c>
      <c r="AH684" s="15" t="n">
        <f aca="false">AA684*N(AE684)</f>
        <v>0</v>
      </c>
      <c r="AI684" s="15" t="n">
        <f aca="false">AA684*N(AF684)</f>
        <v>0</v>
      </c>
      <c r="AJ684" s="15" t="n">
        <f aca="false">AA684*N(R684)</f>
        <v>0</v>
      </c>
      <c r="AK684" s="15" t="n">
        <f aca="false">AB684*N(AD684)</f>
        <v>0</v>
      </c>
      <c r="AL684" s="15" t="n">
        <f aca="false">AB684*N(AE684)</f>
        <v>0</v>
      </c>
      <c r="AM684" s="15" t="n">
        <f aca="false">AB684*N(AF684)</f>
        <v>0</v>
      </c>
      <c r="AN684" s="15" t="n">
        <f aca="false">AB684*N(R684)</f>
        <v>0</v>
      </c>
      <c r="AO684" s="21" t="str">
        <f aca="false">IF(F684&lt;&gt;"Y","n/a",IF(AND(N684&lt;&gt;"",OR(Q684&lt;&gt;"",G684="Other / bench",G684="None"),U684&lt;&gt;""),"OK","Missing"))</f>
        <v>n/a</v>
      </c>
    </row>
    <row r="685" customFormat="false" ht="15" hidden="false" customHeight="false" outlineLevel="0" collapsed="false">
      <c r="A685" s="16"/>
      <c r="B685" s="16"/>
      <c r="C685" s="16"/>
      <c r="D685" s="16"/>
      <c r="E685" s="21" t="str">
        <f aca="false">IF(A685="","",A685&amp;"|"&amp;D685)</f>
        <v/>
      </c>
      <c r="F685" s="16"/>
      <c r="G685" s="16"/>
      <c r="H685" s="16"/>
      <c r="I685" s="16"/>
      <c r="J685" s="16"/>
      <c r="K685" s="14"/>
      <c r="L685" s="14"/>
      <c r="M685" s="14"/>
      <c r="N685" s="14"/>
      <c r="O685" s="14"/>
      <c r="P685" s="18" t="n">
        <f aca="false">IF(N685="",0,IF(OR(M685="",O685=""),N685,(M685+4*N685+O685)/6))</f>
        <v>0</v>
      </c>
      <c r="Q685" s="14"/>
      <c r="R685" s="14"/>
      <c r="S685" s="14"/>
      <c r="T685" s="14"/>
      <c r="U685" s="16"/>
      <c r="V685" s="13"/>
      <c r="W685" s="16"/>
      <c r="X685" s="16"/>
      <c r="Y685" s="16"/>
      <c r="Z685" s="16"/>
      <c r="AA685" s="22" t="n">
        <f aca="false">IF(F685&lt;&gt;"Y",0,((SUMIF(Products!$E$5:$E$300,A685,Products!$F$5:$F$300)+SUMIF(RM_Lots!$A$5:$A$400,A685,RM_Lots!$D$5:$D$400))+IF(W685="Y",SUMIF(Products!$E$5:$E$300,A685,Products!$G$5:$G$300),0))*(1+N(V685)))</f>
        <v>0</v>
      </c>
      <c r="AB685" s="22" t="n">
        <f aca="false">IF(F685&lt;&gt;"Y",0,((SUMIF(Products!$E$5:$E$300,A685,Products!$K$5:$K$300)+SUMIF(RM_Lots!$A$5:$A$400,A685,RM_Lots!$F$5:$F$400))+IF(W685="Y",SUMIF(Products!$E$5:$E$300,A685,Products!$L$5:$L$300),0))*(1+N(V685)))</f>
        <v>0</v>
      </c>
      <c r="AC685" s="17" t="n">
        <f aca="false">IF(J685="",1,MAX(1,COUNTIFS($J$5:$J$863,J685,$F$5:$F$863,"Y")))</f>
        <v>1</v>
      </c>
      <c r="AD685" s="18" t="n">
        <f aca="false">(MAX(1,N(I685))*(P685+N(S685))+MAX(1,N(I685))*N(K685)/(MAX(1,N(U685))*AC685))*Settings!$B$9</f>
        <v>0</v>
      </c>
      <c r="AE685" s="18" t="n">
        <f aca="false">(MAX(1,N(I685))*N(Q685)+MAX(1,N(I685))*N(L685)/(MAX(1,N(U685))*AC685))*Settings!$B$8</f>
        <v>0</v>
      </c>
      <c r="AF685" s="18" t="n">
        <f aca="false">MAX(1,N(I685))*N(T685)</f>
        <v>0</v>
      </c>
      <c r="AG685" s="15" t="n">
        <f aca="false">AA685*N(AD685)</f>
        <v>0</v>
      </c>
      <c r="AH685" s="15" t="n">
        <f aca="false">AA685*N(AE685)</f>
        <v>0</v>
      </c>
      <c r="AI685" s="15" t="n">
        <f aca="false">AA685*N(AF685)</f>
        <v>0</v>
      </c>
      <c r="AJ685" s="15" t="n">
        <f aca="false">AA685*N(R685)</f>
        <v>0</v>
      </c>
      <c r="AK685" s="15" t="n">
        <f aca="false">AB685*N(AD685)</f>
        <v>0</v>
      </c>
      <c r="AL685" s="15" t="n">
        <f aca="false">AB685*N(AE685)</f>
        <v>0</v>
      </c>
      <c r="AM685" s="15" t="n">
        <f aca="false">AB685*N(AF685)</f>
        <v>0</v>
      </c>
      <c r="AN685" s="15" t="n">
        <f aca="false">AB685*N(R685)</f>
        <v>0</v>
      </c>
      <c r="AO685" s="21" t="str">
        <f aca="false">IF(F685&lt;&gt;"Y","n/a",IF(AND(N685&lt;&gt;"",OR(Q685&lt;&gt;"",G685="Other / bench",G685="None"),U685&lt;&gt;""),"OK","Missing"))</f>
        <v>n/a</v>
      </c>
    </row>
    <row r="686" customFormat="false" ht="15" hidden="false" customHeight="false" outlineLevel="0" collapsed="false">
      <c r="A686" s="16"/>
      <c r="B686" s="16"/>
      <c r="C686" s="16"/>
      <c r="D686" s="16"/>
      <c r="E686" s="21" t="str">
        <f aca="false">IF(A686="","",A686&amp;"|"&amp;D686)</f>
        <v/>
      </c>
      <c r="F686" s="16"/>
      <c r="G686" s="16"/>
      <c r="H686" s="16"/>
      <c r="I686" s="16"/>
      <c r="J686" s="16"/>
      <c r="K686" s="14"/>
      <c r="L686" s="14"/>
      <c r="M686" s="14"/>
      <c r="N686" s="14"/>
      <c r="O686" s="14"/>
      <c r="P686" s="18" t="n">
        <f aca="false">IF(N686="",0,IF(OR(M686="",O686=""),N686,(M686+4*N686+O686)/6))</f>
        <v>0</v>
      </c>
      <c r="Q686" s="14"/>
      <c r="R686" s="14"/>
      <c r="S686" s="14"/>
      <c r="T686" s="14"/>
      <c r="U686" s="16"/>
      <c r="V686" s="13"/>
      <c r="W686" s="16"/>
      <c r="X686" s="16"/>
      <c r="Y686" s="16"/>
      <c r="Z686" s="16"/>
      <c r="AA686" s="22" t="n">
        <f aca="false">IF(F686&lt;&gt;"Y",0,((SUMIF(Products!$E$5:$E$300,A686,Products!$F$5:$F$300)+SUMIF(RM_Lots!$A$5:$A$400,A686,RM_Lots!$D$5:$D$400))+IF(W686="Y",SUMIF(Products!$E$5:$E$300,A686,Products!$G$5:$G$300),0))*(1+N(V686)))</f>
        <v>0</v>
      </c>
      <c r="AB686" s="22" t="n">
        <f aca="false">IF(F686&lt;&gt;"Y",0,((SUMIF(Products!$E$5:$E$300,A686,Products!$K$5:$K$300)+SUMIF(RM_Lots!$A$5:$A$400,A686,RM_Lots!$F$5:$F$400))+IF(W686="Y",SUMIF(Products!$E$5:$E$300,A686,Products!$L$5:$L$300),0))*(1+N(V686)))</f>
        <v>0</v>
      </c>
      <c r="AC686" s="17" t="n">
        <f aca="false">IF(J686="",1,MAX(1,COUNTIFS($J$5:$J$863,J686,$F$5:$F$863,"Y")))</f>
        <v>1</v>
      </c>
      <c r="AD686" s="18" t="n">
        <f aca="false">(MAX(1,N(I686))*(P686+N(S686))+MAX(1,N(I686))*N(K686)/(MAX(1,N(U686))*AC686))*Settings!$B$9</f>
        <v>0</v>
      </c>
      <c r="AE686" s="18" t="n">
        <f aca="false">(MAX(1,N(I686))*N(Q686)+MAX(1,N(I686))*N(L686)/(MAX(1,N(U686))*AC686))*Settings!$B$8</f>
        <v>0</v>
      </c>
      <c r="AF686" s="18" t="n">
        <f aca="false">MAX(1,N(I686))*N(T686)</f>
        <v>0</v>
      </c>
      <c r="AG686" s="15" t="n">
        <f aca="false">AA686*N(AD686)</f>
        <v>0</v>
      </c>
      <c r="AH686" s="15" t="n">
        <f aca="false">AA686*N(AE686)</f>
        <v>0</v>
      </c>
      <c r="AI686" s="15" t="n">
        <f aca="false">AA686*N(AF686)</f>
        <v>0</v>
      </c>
      <c r="AJ686" s="15" t="n">
        <f aca="false">AA686*N(R686)</f>
        <v>0</v>
      </c>
      <c r="AK686" s="15" t="n">
        <f aca="false">AB686*N(AD686)</f>
        <v>0</v>
      </c>
      <c r="AL686" s="15" t="n">
        <f aca="false">AB686*N(AE686)</f>
        <v>0</v>
      </c>
      <c r="AM686" s="15" t="n">
        <f aca="false">AB686*N(AF686)</f>
        <v>0</v>
      </c>
      <c r="AN686" s="15" t="n">
        <f aca="false">AB686*N(R686)</f>
        <v>0</v>
      </c>
      <c r="AO686" s="21" t="str">
        <f aca="false">IF(F686&lt;&gt;"Y","n/a",IF(AND(N686&lt;&gt;"",OR(Q686&lt;&gt;"",G686="Other / bench",G686="None"),U686&lt;&gt;""),"OK","Missing"))</f>
        <v>n/a</v>
      </c>
    </row>
    <row r="687" customFormat="false" ht="15" hidden="false" customHeight="false" outlineLevel="0" collapsed="false">
      <c r="A687" s="16"/>
      <c r="B687" s="16"/>
      <c r="C687" s="16"/>
      <c r="D687" s="16"/>
      <c r="E687" s="21" t="str">
        <f aca="false">IF(A687="","",A687&amp;"|"&amp;D687)</f>
        <v/>
      </c>
      <c r="F687" s="16"/>
      <c r="G687" s="16"/>
      <c r="H687" s="16"/>
      <c r="I687" s="16"/>
      <c r="J687" s="16"/>
      <c r="K687" s="14"/>
      <c r="L687" s="14"/>
      <c r="M687" s="14"/>
      <c r="N687" s="14"/>
      <c r="O687" s="14"/>
      <c r="P687" s="18" t="n">
        <f aca="false">IF(N687="",0,IF(OR(M687="",O687=""),N687,(M687+4*N687+O687)/6))</f>
        <v>0</v>
      </c>
      <c r="Q687" s="14"/>
      <c r="R687" s="14"/>
      <c r="S687" s="14"/>
      <c r="T687" s="14"/>
      <c r="U687" s="16"/>
      <c r="V687" s="13"/>
      <c r="W687" s="16"/>
      <c r="X687" s="16"/>
      <c r="Y687" s="16"/>
      <c r="Z687" s="16"/>
      <c r="AA687" s="22" t="n">
        <f aca="false">IF(F687&lt;&gt;"Y",0,((SUMIF(Products!$E$5:$E$300,A687,Products!$F$5:$F$300)+SUMIF(RM_Lots!$A$5:$A$400,A687,RM_Lots!$D$5:$D$400))+IF(W687="Y",SUMIF(Products!$E$5:$E$300,A687,Products!$G$5:$G$300),0))*(1+N(V687)))</f>
        <v>0</v>
      </c>
      <c r="AB687" s="22" t="n">
        <f aca="false">IF(F687&lt;&gt;"Y",0,((SUMIF(Products!$E$5:$E$300,A687,Products!$K$5:$K$300)+SUMIF(RM_Lots!$A$5:$A$400,A687,RM_Lots!$F$5:$F$400))+IF(W687="Y",SUMIF(Products!$E$5:$E$300,A687,Products!$L$5:$L$300),0))*(1+N(V687)))</f>
        <v>0</v>
      </c>
      <c r="AC687" s="17" t="n">
        <f aca="false">IF(J687="",1,MAX(1,COUNTIFS($J$5:$J$863,J687,$F$5:$F$863,"Y")))</f>
        <v>1</v>
      </c>
      <c r="AD687" s="18" t="n">
        <f aca="false">(MAX(1,N(I687))*(P687+N(S687))+MAX(1,N(I687))*N(K687)/(MAX(1,N(U687))*AC687))*Settings!$B$9</f>
        <v>0</v>
      </c>
      <c r="AE687" s="18" t="n">
        <f aca="false">(MAX(1,N(I687))*N(Q687)+MAX(1,N(I687))*N(L687)/(MAX(1,N(U687))*AC687))*Settings!$B$8</f>
        <v>0</v>
      </c>
      <c r="AF687" s="18" t="n">
        <f aca="false">MAX(1,N(I687))*N(T687)</f>
        <v>0</v>
      </c>
      <c r="AG687" s="15" t="n">
        <f aca="false">AA687*N(AD687)</f>
        <v>0</v>
      </c>
      <c r="AH687" s="15" t="n">
        <f aca="false">AA687*N(AE687)</f>
        <v>0</v>
      </c>
      <c r="AI687" s="15" t="n">
        <f aca="false">AA687*N(AF687)</f>
        <v>0</v>
      </c>
      <c r="AJ687" s="15" t="n">
        <f aca="false">AA687*N(R687)</f>
        <v>0</v>
      </c>
      <c r="AK687" s="15" t="n">
        <f aca="false">AB687*N(AD687)</f>
        <v>0</v>
      </c>
      <c r="AL687" s="15" t="n">
        <f aca="false">AB687*N(AE687)</f>
        <v>0</v>
      </c>
      <c r="AM687" s="15" t="n">
        <f aca="false">AB687*N(AF687)</f>
        <v>0</v>
      </c>
      <c r="AN687" s="15" t="n">
        <f aca="false">AB687*N(R687)</f>
        <v>0</v>
      </c>
      <c r="AO687" s="21" t="str">
        <f aca="false">IF(F687&lt;&gt;"Y","n/a",IF(AND(N687&lt;&gt;"",OR(Q687&lt;&gt;"",G687="Other / bench",G687="None"),U687&lt;&gt;""),"OK","Missing"))</f>
        <v>n/a</v>
      </c>
    </row>
    <row r="688" customFormat="false" ht="15" hidden="false" customHeight="false" outlineLevel="0" collapsed="false">
      <c r="A688" s="16"/>
      <c r="B688" s="16"/>
      <c r="C688" s="16"/>
      <c r="D688" s="16"/>
      <c r="E688" s="21" t="str">
        <f aca="false">IF(A688="","",A688&amp;"|"&amp;D688)</f>
        <v/>
      </c>
      <c r="F688" s="16"/>
      <c r="G688" s="16"/>
      <c r="H688" s="16"/>
      <c r="I688" s="16"/>
      <c r="J688" s="16"/>
      <c r="K688" s="14"/>
      <c r="L688" s="14"/>
      <c r="M688" s="14"/>
      <c r="N688" s="14"/>
      <c r="O688" s="14"/>
      <c r="P688" s="18" t="n">
        <f aca="false">IF(N688="",0,IF(OR(M688="",O688=""),N688,(M688+4*N688+O688)/6))</f>
        <v>0</v>
      </c>
      <c r="Q688" s="14"/>
      <c r="R688" s="14"/>
      <c r="S688" s="14"/>
      <c r="T688" s="14"/>
      <c r="U688" s="16"/>
      <c r="V688" s="13"/>
      <c r="W688" s="16"/>
      <c r="X688" s="16"/>
      <c r="Y688" s="16"/>
      <c r="Z688" s="16"/>
      <c r="AA688" s="22" t="n">
        <f aca="false">IF(F688&lt;&gt;"Y",0,((SUMIF(Products!$E$5:$E$300,A688,Products!$F$5:$F$300)+SUMIF(RM_Lots!$A$5:$A$400,A688,RM_Lots!$D$5:$D$400))+IF(W688="Y",SUMIF(Products!$E$5:$E$300,A688,Products!$G$5:$G$300),0))*(1+N(V688)))</f>
        <v>0</v>
      </c>
      <c r="AB688" s="22" t="n">
        <f aca="false">IF(F688&lt;&gt;"Y",0,((SUMIF(Products!$E$5:$E$300,A688,Products!$K$5:$K$300)+SUMIF(RM_Lots!$A$5:$A$400,A688,RM_Lots!$F$5:$F$400))+IF(W688="Y",SUMIF(Products!$E$5:$E$300,A688,Products!$L$5:$L$300),0))*(1+N(V688)))</f>
        <v>0</v>
      </c>
      <c r="AC688" s="17" t="n">
        <f aca="false">IF(J688="",1,MAX(1,COUNTIFS($J$5:$J$863,J688,$F$5:$F$863,"Y")))</f>
        <v>1</v>
      </c>
      <c r="AD688" s="18" t="n">
        <f aca="false">(MAX(1,N(I688))*(P688+N(S688))+MAX(1,N(I688))*N(K688)/(MAX(1,N(U688))*AC688))*Settings!$B$9</f>
        <v>0</v>
      </c>
      <c r="AE688" s="18" t="n">
        <f aca="false">(MAX(1,N(I688))*N(Q688)+MAX(1,N(I688))*N(L688)/(MAX(1,N(U688))*AC688))*Settings!$B$8</f>
        <v>0</v>
      </c>
      <c r="AF688" s="18" t="n">
        <f aca="false">MAX(1,N(I688))*N(T688)</f>
        <v>0</v>
      </c>
      <c r="AG688" s="15" t="n">
        <f aca="false">AA688*N(AD688)</f>
        <v>0</v>
      </c>
      <c r="AH688" s="15" t="n">
        <f aca="false">AA688*N(AE688)</f>
        <v>0</v>
      </c>
      <c r="AI688" s="15" t="n">
        <f aca="false">AA688*N(AF688)</f>
        <v>0</v>
      </c>
      <c r="AJ688" s="15" t="n">
        <f aca="false">AA688*N(R688)</f>
        <v>0</v>
      </c>
      <c r="AK688" s="15" t="n">
        <f aca="false">AB688*N(AD688)</f>
        <v>0</v>
      </c>
      <c r="AL688" s="15" t="n">
        <f aca="false">AB688*N(AE688)</f>
        <v>0</v>
      </c>
      <c r="AM688" s="15" t="n">
        <f aca="false">AB688*N(AF688)</f>
        <v>0</v>
      </c>
      <c r="AN688" s="15" t="n">
        <f aca="false">AB688*N(R688)</f>
        <v>0</v>
      </c>
      <c r="AO688" s="21" t="str">
        <f aca="false">IF(F688&lt;&gt;"Y","n/a",IF(AND(N688&lt;&gt;"",OR(Q688&lt;&gt;"",G688="Other / bench",G688="None"),U688&lt;&gt;""),"OK","Missing"))</f>
        <v>n/a</v>
      </c>
    </row>
    <row r="689" customFormat="false" ht="15" hidden="false" customHeight="false" outlineLevel="0" collapsed="false">
      <c r="A689" s="16"/>
      <c r="B689" s="16"/>
      <c r="C689" s="16"/>
      <c r="D689" s="16"/>
      <c r="E689" s="21" t="str">
        <f aca="false">IF(A689="","",A689&amp;"|"&amp;D689)</f>
        <v/>
      </c>
      <c r="F689" s="16"/>
      <c r="G689" s="16"/>
      <c r="H689" s="16"/>
      <c r="I689" s="16"/>
      <c r="J689" s="16"/>
      <c r="K689" s="14"/>
      <c r="L689" s="14"/>
      <c r="M689" s="14"/>
      <c r="N689" s="14"/>
      <c r="O689" s="14"/>
      <c r="P689" s="18" t="n">
        <f aca="false">IF(N689="",0,IF(OR(M689="",O689=""),N689,(M689+4*N689+O689)/6))</f>
        <v>0</v>
      </c>
      <c r="Q689" s="14"/>
      <c r="R689" s="14"/>
      <c r="S689" s="14"/>
      <c r="T689" s="14"/>
      <c r="U689" s="16"/>
      <c r="V689" s="13"/>
      <c r="W689" s="16"/>
      <c r="X689" s="16"/>
      <c r="Y689" s="16"/>
      <c r="Z689" s="16"/>
      <c r="AA689" s="22" t="n">
        <f aca="false">IF(F689&lt;&gt;"Y",0,((SUMIF(Products!$E$5:$E$300,A689,Products!$F$5:$F$300)+SUMIF(RM_Lots!$A$5:$A$400,A689,RM_Lots!$D$5:$D$400))+IF(W689="Y",SUMIF(Products!$E$5:$E$300,A689,Products!$G$5:$G$300),0))*(1+N(V689)))</f>
        <v>0</v>
      </c>
      <c r="AB689" s="22" t="n">
        <f aca="false">IF(F689&lt;&gt;"Y",0,((SUMIF(Products!$E$5:$E$300,A689,Products!$K$5:$K$300)+SUMIF(RM_Lots!$A$5:$A$400,A689,RM_Lots!$F$5:$F$400))+IF(W689="Y",SUMIF(Products!$E$5:$E$300,A689,Products!$L$5:$L$300),0))*(1+N(V689)))</f>
        <v>0</v>
      </c>
      <c r="AC689" s="17" t="n">
        <f aca="false">IF(J689="",1,MAX(1,COUNTIFS($J$5:$J$863,J689,$F$5:$F$863,"Y")))</f>
        <v>1</v>
      </c>
      <c r="AD689" s="18" t="n">
        <f aca="false">(MAX(1,N(I689))*(P689+N(S689))+MAX(1,N(I689))*N(K689)/(MAX(1,N(U689))*AC689))*Settings!$B$9</f>
        <v>0</v>
      </c>
      <c r="AE689" s="18" t="n">
        <f aca="false">(MAX(1,N(I689))*N(Q689)+MAX(1,N(I689))*N(L689)/(MAX(1,N(U689))*AC689))*Settings!$B$8</f>
        <v>0</v>
      </c>
      <c r="AF689" s="18" t="n">
        <f aca="false">MAX(1,N(I689))*N(T689)</f>
        <v>0</v>
      </c>
      <c r="AG689" s="15" t="n">
        <f aca="false">AA689*N(AD689)</f>
        <v>0</v>
      </c>
      <c r="AH689" s="15" t="n">
        <f aca="false">AA689*N(AE689)</f>
        <v>0</v>
      </c>
      <c r="AI689" s="15" t="n">
        <f aca="false">AA689*N(AF689)</f>
        <v>0</v>
      </c>
      <c r="AJ689" s="15" t="n">
        <f aca="false">AA689*N(R689)</f>
        <v>0</v>
      </c>
      <c r="AK689" s="15" t="n">
        <f aca="false">AB689*N(AD689)</f>
        <v>0</v>
      </c>
      <c r="AL689" s="15" t="n">
        <f aca="false">AB689*N(AE689)</f>
        <v>0</v>
      </c>
      <c r="AM689" s="15" t="n">
        <f aca="false">AB689*N(AF689)</f>
        <v>0</v>
      </c>
      <c r="AN689" s="15" t="n">
        <f aca="false">AB689*N(R689)</f>
        <v>0</v>
      </c>
      <c r="AO689" s="21" t="str">
        <f aca="false">IF(F689&lt;&gt;"Y","n/a",IF(AND(N689&lt;&gt;"",OR(Q689&lt;&gt;"",G689="Other / bench",G689="None"),U689&lt;&gt;""),"OK","Missing"))</f>
        <v>n/a</v>
      </c>
    </row>
    <row r="690" customFormat="false" ht="15" hidden="false" customHeight="false" outlineLevel="0" collapsed="false">
      <c r="A690" s="16"/>
      <c r="B690" s="16"/>
      <c r="C690" s="16"/>
      <c r="D690" s="16"/>
      <c r="E690" s="21" t="str">
        <f aca="false">IF(A690="","",A690&amp;"|"&amp;D690)</f>
        <v/>
      </c>
      <c r="F690" s="16"/>
      <c r="G690" s="16"/>
      <c r="H690" s="16"/>
      <c r="I690" s="16"/>
      <c r="J690" s="16"/>
      <c r="K690" s="14"/>
      <c r="L690" s="14"/>
      <c r="M690" s="14"/>
      <c r="N690" s="14"/>
      <c r="O690" s="14"/>
      <c r="P690" s="18" t="n">
        <f aca="false">IF(N690="",0,IF(OR(M690="",O690=""),N690,(M690+4*N690+O690)/6))</f>
        <v>0</v>
      </c>
      <c r="Q690" s="14"/>
      <c r="R690" s="14"/>
      <c r="S690" s="14"/>
      <c r="T690" s="14"/>
      <c r="U690" s="16"/>
      <c r="V690" s="13"/>
      <c r="W690" s="16"/>
      <c r="X690" s="16"/>
      <c r="Y690" s="16"/>
      <c r="Z690" s="16"/>
      <c r="AA690" s="22" t="n">
        <f aca="false">IF(F690&lt;&gt;"Y",0,((SUMIF(Products!$E$5:$E$300,A690,Products!$F$5:$F$300)+SUMIF(RM_Lots!$A$5:$A$400,A690,RM_Lots!$D$5:$D$400))+IF(W690="Y",SUMIF(Products!$E$5:$E$300,A690,Products!$G$5:$G$300),0))*(1+N(V690)))</f>
        <v>0</v>
      </c>
      <c r="AB690" s="22" t="n">
        <f aca="false">IF(F690&lt;&gt;"Y",0,((SUMIF(Products!$E$5:$E$300,A690,Products!$K$5:$K$300)+SUMIF(RM_Lots!$A$5:$A$400,A690,RM_Lots!$F$5:$F$400))+IF(W690="Y",SUMIF(Products!$E$5:$E$300,A690,Products!$L$5:$L$300),0))*(1+N(V690)))</f>
        <v>0</v>
      </c>
      <c r="AC690" s="17" t="n">
        <f aca="false">IF(J690="",1,MAX(1,COUNTIFS($J$5:$J$863,J690,$F$5:$F$863,"Y")))</f>
        <v>1</v>
      </c>
      <c r="AD690" s="18" t="n">
        <f aca="false">(MAX(1,N(I690))*(P690+N(S690))+MAX(1,N(I690))*N(K690)/(MAX(1,N(U690))*AC690))*Settings!$B$9</f>
        <v>0</v>
      </c>
      <c r="AE690" s="18" t="n">
        <f aca="false">(MAX(1,N(I690))*N(Q690)+MAX(1,N(I690))*N(L690)/(MAX(1,N(U690))*AC690))*Settings!$B$8</f>
        <v>0</v>
      </c>
      <c r="AF690" s="18" t="n">
        <f aca="false">MAX(1,N(I690))*N(T690)</f>
        <v>0</v>
      </c>
      <c r="AG690" s="15" t="n">
        <f aca="false">AA690*N(AD690)</f>
        <v>0</v>
      </c>
      <c r="AH690" s="15" t="n">
        <f aca="false">AA690*N(AE690)</f>
        <v>0</v>
      </c>
      <c r="AI690" s="15" t="n">
        <f aca="false">AA690*N(AF690)</f>
        <v>0</v>
      </c>
      <c r="AJ690" s="15" t="n">
        <f aca="false">AA690*N(R690)</f>
        <v>0</v>
      </c>
      <c r="AK690" s="15" t="n">
        <f aca="false">AB690*N(AD690)</f>
        <v>0</v>
      </c>
      <c r="AL690" s="15" t="n">
        <f aca="false">AB690*N(AE690)</f>
        <v>0</v>
      </c>
      <c r="AM690" s="15" t="n">
        <f aca="false">AB690*N(AF690)</f>
        <v>0</v>
      </c>
      <c r="AN690" s="15" t="n">
        <f aca="false">AB690*N(R690)</f>
        <v>0</v>
      </c>
      <c r="AO690" s="21" t="str">
        <f aca="false">IF(F690&lt;&gt;"Y","n/a",IF(AND(N690&lt;&gt;"",OR(Q690&lt;&gt;"",G690="Other / bench",G690="None"),U690&lt;&gt;""),"OK","Missing"))</f>
        <v>n/a</v>
      </c>
    </row>
    <row r="691" customFormat="false" ht="15" hidden="false" customHeight="false" outlineLevel="0" collapsed="false">
      <c r="A691" s="16"/>
      <c r="B691" s="16"/>
      <c r="C691" s="16"/>
      <c r="D691" s="16"/>
      <c r="E691" s="21" t="str">
        <f aca="false">IF(A691="","",A691&amp;"|"&amp;D691)</f>
        <v/>
      </c>
      <c r="F691" s="16"/>
      <c r="G691" s="16"/>
      <c r="H691" s="16"/>
      <c r="I691" s="16"/>
      <c r="J691" s="16"/>
      <c r="K691" s="14"/>
      <c r="L691" s="14"/>
      <c r="M691" s="14"/>
      <c r="N691" s="14"/>
      <c r="O691" s="14"/>
      <c r="P691" s="18" t="n">
        <f aca="false">IF(N691="",0,IF(OR(M691="",O691=""),N691,(M691+4*N691+O691)/6))</f>
        <v>0</v>
      </c>
      <c r="Q691" s="14"/>
      <c r="R691" s="14"/>
      <c r="S691" s="14"/>
      <c r="T691" s="14"/>
      <c r="U691" s="16"/>
      <c r="V691" s="13"/>
      <c r="W691" s="16"/>
      <c r="X691" s="16"/>
      <c r="Y691" s="16"/>
      <c r="Z691" s="16"/>
      <c r="AA691" s="22" t="n">
        <f aca="false">IF(F691&lt;&gt;"Y",0,((SUMIF(Products!$E$5:$E$300,A691,Products!$F$5:$F$300)+SUMIF(RM_Lots!$A$5:$A$400,A691,RM_Lots!$D$5:$D$400))+IF(W691="Y",SUMIF(Products!$E$5:$E$300,A691,Products!$G$5:$G$300),0))*(1+N(V691)))</f>
        <v>0</v>
      </c>
      <c r="AB691" s="22" t="n">
        <f aca="false">IF(F691&lt;&gt;"Y",0,((SUMIF(Products!$E$5:$E$300,A691,Products!$K$5:$K$300)+SUMIF(RM_Lots!$A$5:$A$400,A691,RM_Lots!$F$5:$F$400))+IF(W691="Y",SUMIF(Products!$E$5:$E$300,A691,Products!$L$5:$L$300),0))*(1+N(V691)))</f>
        <v>0</v>
      </c>
      <c r="AC691" s="17" t="n">
        <f aca="false">IF(J691="",1,MAX(1,COUNTIFS($J$5:$J$863,J691,$F$5:$F$863,"Y")))</f>
        <v>1</v>
      </c>
      <c r="AD691" s="18" t="n">
        <f aca="false">(MAX(1,N(I691))*(P691+N(S691))+MAX(1,N(I691))*N(K691)/(MAX(1,N(U691))*AC691))*Settings!$B$9</f>
        <v>0</v>
      </c>
      <c r="AE691" s="18" t="n">
        <f aca="false">(MAX(1,N(I691))*N(Q691)+MAX(1,N(I691))*N(L691)/(MAX(1,N(U691))*AC691))*Settings!$B$8</f>
        <v>0</v>
      </c>
      <c r="AF691" s="18" t="n">
        <f aca="false">MAX(1,N(I691))*N(T691)</f>
        <v>0</v>
      </c>
      <c r="AG691" s="15" t="n">
        <f aca="false">AA691*N(AD691)</f>
        <v>0</v>
      </c>
      <c r="AH691" s="15" t="n">
        <f aca="false">AA691*N(AE691)</f>
        <v>0</v>
      </c>
      <c r="AI691" s="15" t="n">
        <f aca="false">AA691*N(AF691)</f>
        <v>0</v>
      </c>
      <c r="AJ691" s="15" t="n">
        <f aca="false">AA691*N(R691)</f>
        <v>0</v>
      </c>
      <c r="AK691" s="15" t="n">
        <f aca="false">AB691*N(AD691)</f>
        <v>0</v>
      </c>
      <c r="AL691" s="15" t="n">
        <f aca="false">AB691*N(AE691)</f>
        <v>0</v>
      </c>
      <c r="AM691" s="15" t="n">
        <f aca="false">AB691*N(AF691)</f>
        <v>0</v>
      </c>
      <c r="AN691" s="15" t="n">
        <f aca="false">AB691*N(R691)</f>
        <v>0</v>
      </c>
      <c r="AO691" s="21" t="str">
        <f aca="false">IF(F691&lt;&gt;"Y","n/a",IF(AND(N691&lt;&gt;"",OR(Q691&lt;&gt;"",G691="Other / bench",G691="None"),U691&lt;&gt;""),"OK","Missing"))</f>
        <v>n/a</v>
      </c>
    </row>
    <row r="692" customFormat="false" ht="15" hidden="false" customHeight="false" outlineLevel="0" collapsed="false">
      <c r="A692" s="16"/>
      <c r="B692" s="16"/>
      <c r="C692" s="16"/>
      <c r="D692" s="16"/>
      <c r="E692" s="21" t="str">
        <f aca="false">IF(A692="","",A692&amp;"|"&amp;D692)</f>
        <v/>
      </c>
      <c r="F692" s="16"/>
      <c r="G692" s="16"/>
      <c r="H692" s="16"/>
      <c r="I692" s="16"/>
      <c r="J692" s="16"/>
      <c r="K692" s="14"/>
      <c r="L692" s="14"/>
      <c r="M692" s="14"/>
      <c r="N692" s="14"/>
      <c r="O692" s="14"/>
      <c r="P692" s="18" t="n">
        <f aca="false">IF(N692="",0,IF(OR(M692="",O692=""),N692,(M692+4*N692+O692)/6))</f>
        <v>0</v>
      </c>
      <c r="Q692" s="14"/>
      <c r="R692" s="14"/>
      <c r="S692" s="14"/>
      <c r="T692" s="14"/>
      <c r="U692" s="16"/>
      <c r="V692" s="13"/>
      <c r="W692" s="16"/>
      <c r="X692" s="16"/>
      <c r="Y692" s="16"/>
      <c r="Z692" s="16"/>
      <c r="AA692" s="22" t="n">
        <f aca="false">IF(F692&lt;&gt;"Y",0,((SUMIF(Products!$E$5:$E$300,A692,Products!$F$5:$F$300)+SUMIF(RM_Lots!$A$5:$A$400,A692,RM_Lots!$D$5:$D$400))+IF(W692="Y",SUMIF(Products!$E$5:$E$300,A692,Products!$G$5:$G$300),0))*(1+N(V692)))</f>
        <v>0</v>
      </c>
      <c r="AB692" s="22" t="n">
        <f aca="false">IF(F692&lt;&gt;"Y",0,((SUMIF(Products!$E$5:$E$300,A692,Products!$K$5:$K$300)+SUMIF(RM_Lots!$A$5:$A$400,A692,RM_Lots!$F$5:$F$400))+IF(W692="Y",SUMIF(Products!$E$5:$E$300,A692,Products!$L$5:$L$300),0))*(1+N(V692)))</f>
        <v>0</v>
      </c>
      <c r="AC692" s="17" t="n">
        <f aca="false">IF(J692="",1,MAX(1,COUNTIFS($J$5:$J$863,J692,$F$5:$F$863,"Y")))</f>
        <v>1</v>
      </c>
      <c r="AD692" s="18" t="n">
        <f aca="false">(MAX(1,N(I692))*(P692+N(S692))+MAX(1,N(I692))*N(K692)/(MAX(1,N(U692))*AC692))*Settings!$B$9</f>
        <v>0</v>
      </c>
      <c r="AE692" s="18" t="n">
        <f aca="false">(MAX(1,N(I692))*N(Q692)+MAX(1,N(I692))*N(L692)/(MAX(1,N(U692))*AC692))*Settings!$B$8</f>
        <v>0</v>
      </c>
      <c r="AF692" s="18" t="n">
        <f aca="false">MAX(1,N(I692))*N(T692)</f>
        <v>0</v>
      </c>
      <c r="AG692" s="15" t="n">
        <f aca="false">AA692*N(AD692)</f>
        <v>0</v>
      </c>
      <c r="AH692" s="15" t="n">
        <f aca="false">AA692*N(AE692)</f>
        <v>0</v>
      </c>
      <c r="AI692" s="15" t="n">
        <f aca="false">AA692*N(AF692)</f>
        <v>0</v>
      </c>
      <c r="AJ692" s="15" t="n">
        <f aca="false">AA692*N(R692)</f>
        <v>0</v>
      </c>
      <c r="AK692" s="15" t="n">
        <f aca="false">AB692*N(AD692)</f>
        <v>0</v>
      </c>
      <c r="AL692" s="15" t="n">
        <f aca="false">AB692*N(AE692)</f>
        <v>0</v>
      </c>
      <c r="AM692" s="15" t="n">
        <f aca="false">AB692*N(AF692)</f>
        <v>0</v>
      </c>
      <c r="AN692" s="15" t="n">
        <f aca="false">AB692*N(R692)</f>
        <v>0</v>
      </c>
      <c r="AO692" s="21" t="str">
        <f aca="false">IF(F692&lt;&gt;"Y","n/a",IF(AND(N692&lt;&gt;"",OR(Q692&lt;&gt;"",G692="Other / bench",G692="None"),U692&lt;&gt;""),"OK","Missing"))</f>
        <v>n/a</v>
      </c>
    </row>
    <row r="693" customFormat="false" ht="15" hidden="false" customHeight="false" outlineLevel="0" collapsed="false">
      <c r="A693" s="16"/>
      <c r="B693" s="16"/>
      <c r="C693" s="16"/>
      <c r="D693" s="16"/>
      <c r="E693" s="21" t="str">
        <f aca="false">IF(A693="","",A693&amp;"|"&amp;D693)</f>
        <v/>
      </c>
      <c r="F693" s="16"/>
      <c r="G693" s="16"/>
      <c r="H693" s="16"/>
      <c r="I693" s="16"/>
      <c r="J693" s="16"/>
      <c r="K693" s="14"/>
      <c r="L693" s="14"/>
      <c r="M693" s="14"/>
      <c r="N693" s="14"/>
      <c r="O693" s="14"/>
      <c r="P693" s="18" t="n">
        <f aca="false">IF(N693="",0,IF(OR(M693="",O693=""),N693,(M693+4*N693+O693)/6))</f>
        <v>0</v>
      </c>
      <c r="Q693" s="14"/>
      <c r="R693" s="14"/>
      <c r="S693" s="14"/>
      <c r="T693" s="14"/>
      <c r="U693" s="16"/>
      <c r="V693" s="13"/>
      <c r="W693" s="16"/>
      <c r="X693" s="16"/>
      <c r="Y693" s="16"/>
      <c r="Z693" s="16"/>
      <c r="AA693" s="22" t="n">
        <f aca="false">IF(F693&lt;&gt;"Y",0,((SUMIF(Products!$E$5:$E$300,A693,Products!$F$5:$F$300)+SUMIF(RM_Lots!$A$5:$A$400,A693,RM_Lots!$D$5:$D$400))+IF(W693="Y",SUMIF(Products!$E$5:$E$300,A693,Products!$G$5:$G$300),0))*(1+N(V693)))</f>
        <v>0</v>
      </c>
      <c r="AB693" s="22" t="n">
        <f aca="false">IF(F693&lt;&gt;"Y",0,((SUMIF(Products!$E$5:$E$300,A693,Products!$K$5:$K$300)+SUMIF(RM_Lots!$A$5:$A$400,A693,RM_Lots!$F$5:$F$400))+IF(W693="Y",SUMIF(Products!$E$5:$E$300,A693,Products!$L$5:$L$300),0))*(1+N(V693)))</f>
        <v>0</v>
      </c>
      <c r="AC693" s="17" t="n">
        <f aca="false">IF(J693="",1,MAX(1,COUNTIFS($J$5:$J$863,J693,$F$5:$F$863,"Y")))</f>
        <v>1</v>
      </c>
      <c r="AD693" s="18" t="n">
        <f aca="false">(MAX(1,N(I693))*(P693+N(S693))+MAX(1,N(I693))*N(K693)/(MAX(1,N(U693))*AC693))*Settings!$B$9</f>
        <v>0</v>
      </c>
      <c r="AE693" s="18" t="n">
        <f aca="false">(MAX(1,N(I693))*N(Q693)+MAX(1,N(I693))*N(L693)/(MAX(1,N(U693))*AC693))*Settings!$B$8</f>
        <v>0</v>
      </c>
      <c r="AF693" s="18" t="n">
        <f aca="false">MAX(1,N(I693))*N(T693)</f>
        <v>0</v>
      </c>
      <c r="AG693" s="15" t="n">
        <f aca="false">AA693*N(AD693)</f>
        <v>0</v>
      </c>
      <c r="AH693" s="15" t="n">
        <f aca="false">AA693*N(AE693)</f>
        <v>0</v>
      </c>
      <c r="AI693" s="15" t="n">
        <f aca="false">AA693*N(AF693)</f>
        <v>0</v>
      </c>
      <c r="AJ693" s="15" t="n">
        <f aca="false">AA693*N(R693)</f>
        <v>0</v>
      </c>
      <c r="AK693" s="15" t="n">
        <f aca="false">AB693*N(AD693)</f>
        <v>0</v>
      </c>
      <c r="AL693" s="15" t="n">
        <f aca="false">AB693*N(AE693)</f>
        <v>0</v>
      </c>
      <c r="AM693" s="15" t="n">
        <f aca="false">AB693*N(AF693)</f>
        <v>0</v>
      </c>
      <c r="AN693" s="15" t="n">
        <f aca="false">AB693*N(R693)</f>
        <v>0</v>
      </c>
      <c r="AO693" s="21" t="str">
        <f aca="false">IF(F693&lt;&gt;"Y","n/a",IF(AND(N693&lt;&gt;"",OR(Q693&lt;&gt;"",G693="Other / bench",G693="None"),U693&lt;&gt;""),"OK","Missing"))</f>
        <v>n/a</v>
      </c>
    </row>
    <row r="694" customFormat="false" ht="15" hidden="false" customHeight="false" outlineLevel="0" collapsed="false">
      <c r="A694" s="16"/>
      <c r="B694" s="16"/>
      <c r="C694" s="16"/>
      <c r="D694" s="16"/>
      <c r="E694" s="21" t="str">
        <f aca="false">IF(A694="","",A694&amp;"|"&amp;D694)</f>
        <v/>
      </c>
      <c r="F694" s="16"/>
      <c r="G694" s="16"/>
      <c r="H694" s="16"/>
      <c r="I694" s="16"/>
      <c r="J694" s="16"/>
      <c r="K694" s="14"/>
      <c r="L694" s="14"/>
      <c r="M694" s="14"/>
      <c r="N694" s="14"/>
      <c r="O694" s="14"/>
      <c r="P694" s="18" t="n">
        <f aca="false">IF(N694="",0,IF(OR(M694="",O694=""),N694,(M694+4*N694+O694)/6))</f>
        <v>0</v>
      </c>
      <c r="Q694" s="14"/>
      <c r="R694" s="14"/>
      <c r="S694" s="14"/>
      <c r="T694" s="14"/>
      <c r="U694" s="16"/>
      <c r="V694" s="13"/>
      <c r="W694" s="16"/>
      <c r="X694" s="16"/>
      <c r="Y694" s="16"/>
      <c r="Z694" s="16"/>
      <c r="AA694" s="22" t="n">
        <f aca="false">IF(F694&lt;&gt;"Y",0,((SUMIF(Products!$E$5:$E$300,A694,Products!$F$5:$F$300)+SUMIF(RM_Lots!$A$5:$A$400,A694,RM_Lots!$D$5:$D$400))+IF(W694="Y",SUMIF(Products!$E$5:$E$300,A694,Products!$G$5:$G$300),0))*(1+N(V694)))</f>
        <v>0</v>
      </c>
      <c r="AB694" s="22" t="n">
        <f aca="false">IF(F694&lt;&gt;"Y",0,((SUMIF(Products!$E$5:$E$300,A694,Products!$K$5:$K$300)+SUMIF(RM_Lots!$A$5:$A$400,A694,RM_Lots!$F$5:$F$400))+IF(W694="Y",SUMIF(Products!$E$5:$E$300,A694,Products!$L$5:$L$300),0))*(1+N(V694)))</f>
        <v>0</v>
      </c>
      <c r="AC694" s="17" t="n">
        <f aca="false">IF(J694="",1,MAX(1,COUNTIFS($J$5:$J$863,J694,$F$5:$F$863,"Y")))</f>
        <v>1</v>
      </c>
      <c r="AD694" s="18" t="n">
        <f aca="false">(MAX(1,N(I694))*(P694+N(S694))+MAX(1,N(I694))*N(K694)/(MAX(1,N(U694))*AC694))*Settings!$B$9</f>
        <v>0</v>
      </c>
      <c r="AE694" s="18" t="n">
        <f aca="false">(MAX(1,N(I694))*N(Q694)+MAX(1,N(I694))*N(L694)/(MAX(1,N(U694))*AC694))*Settings!$B$8</f>
        <v>0</v>
      </c>
      <c r="AF694" s="18" t="n">
        <f aca="false">MAX(1,N(I694))*N(T694)</f>
        <v>0</v>
      </c>
      <c r="AG694" s="15" t="n">
        <f aca="false">AA694*N(AD694)</f>
        <v>0</v>
      </c>
      <c r="AH694" s="15" t="n">
        <f aca="false">AA694*N(AE694)</f>
        <v>0</v>
      </c>
      <c r="AI694" s="15" t="n">
        <f aca="false">AA694*N(AF694)</f>
        <v>0</v>
      </c>
      <c r="AJ694" s="15" t="n">
        <f aca="false">AA694*N(R694)</f>
        <v>0</v>
      </c>
      <c r="AK694" s="15" t="n">
        <f aca="false">AB694*N(AD694)</f>
        <v>0</v>
      </c>
      <c r="AL694" s="15" t="n">
        <f aca="false">AB694*N(AE694)</f>
        <v>0</v>
      </c>
      <c r="AM694" s="15" t="n">
        <f aca="false">AB694*N(AF694)</f>
        <v>0</v>
      </c>
      <c r="AN694" s="15" t="n">
        <f aca="false">AB694*N(R694)</f>
        <v>0</v>
      </c>
      <c r="AO694" s="21" t="str">
        <f aca="false">IF(F694&lt;&gt;"Y","n/a",IF(AND(N694&lt;&gt;"",OR(Q694&lt;&gt;"",G694="Other / bench",G694="None"),U694&lt;&gt;""),"OK","Missing"))</f>
        <v>n/a</v>
      </c>
    </row>
    <row r="695" customFormat="false" ht="15" hidden="false" customHeight="false" outlineLevel="0" collapsed="false">
      <c r="A695" s="16"/>
      <c r="B695" s="16"/>
      <c r="C695" s="16"/>
      <c r="D695" s="16"/>
      <c r="E695" s="21" t="str">
        <f aca="false">IF(A695="","",A695&amp;"|"&amp;D695)</f>
        <v/>
      </c>
      <c r="F695" s="16"/>
      <c r="G695" s="16"/>
      <c r="H695" s="16"/>
      <c r="I695" s="16"/>
      <c r="J695" s="16"/>
      <c r="K695" s="14"/>
      <c r="L695" s="14"/>
      <c r="M695" s="14"/>
      <c r="N695" s="14"/>
      <c r="O695" s="14"/>
      <c r="P695" s="18" t="n">
        <f aca="false">IF(N695="",0,IF(OR(M695="",O695=""),N695,(M695+4*N695+O695)/6))</f>
        <v>0</v>
      </c>
      <c r="Q695" s="14"/>
      <c r="R695" s="14"/>
      <c r="S695" s="14"/>
      <c r="T695" s="14"/>
      <c r="U695" s="16"/>
      <c r="V695" s="13"/>
      <c r="W695" s="16"/>
      <c r="X695" s="16"/>
      <c r="Y695" s="16"/>
      <c r="Z695" s="16"/>
      <c r="AA695" s="22" t="n">
        <f aca="false">IF(F695&lt;&gt;"Y",0,((SUMIF(Products!$E$5:$E$300,A695,Products!$F$5:$F$300)+SUMIF(RM_Lots!$A$5:$A$400,A695,RM_Lots!$D$5:$D$400))+IF(W695="Y",SUMIF(Products!$E$5:$E$300,A695,Products!$G$5:$G$300),0))*(1+N(V695)))</f>
        <v>0</v>
      </c>
      <c r="AB695" s="22" t="n">
        <f aca="false">IF(F695&lt;&gt;"Y",0,((SUMIF(Products!$E$5:$E$300,A695,Products!$K$5:$K$300)+SUMIF(RM_Lots!$A$5:$A$400,A695,RM_Lots!$F$5:$F$400))+IF(W695="Y",SUMIF(Products!$E$5:$E$300,A695,Products!$L$5:$L$300),0))*(1+N(V695)))</f>
        <v>0</v>
      </c>
      <c r="AC695" s="17" t="n">
        <f aca="false">IF(J695="",1,MAX(1,COUNTIFS($J$5:$J$863,J695,$F$5:$F$863,"Y")))</f>
        <v>1</v>
      </c>
      <c r="AD695" s="18" t="n">
        <f aca="false">(MAX(1,N(I695))*(P695+N(S695))+MAX(1,N(I695))*N(K695)/(MAX(1,N(U695))*AC695))*Settings!$B$9</f>
        <v>0</v>
      </c>
      <c r="AE695" s="18" t="n">
        <f aca="false">(MAX(1,N(I695))*N(Q695)+MAX(1,N(I695))*N(L695)/(MAX(1,N(U695))*AC695))*Settings!$B$8</f>
        <v>0</v>
      </c>
      <c r="AF695" s="18" t="n">
        <f aca="false">MAX(1,N(I695))*N(T695)</f>
        <v>0</v>
      </c>
      <c r="AG695" s="15" t="n">
        <f aca="false">AA695*N(AD695)</f>
        <v>0</v>
      </c>
      <c r="AH695" s="15" t="n">
        <f aca="false">AA695*N(AE695)</f>
        <v>0</v>
      </c>
      <c r="AI695" s="15" t="n">
        <f aca="false">AA695*N(AF695)</f>
        <v>0</v>
      </c>
      <c r="AJ695" s="15" t="n">
        <f aca="false">AA695*N(R695)</f>
        <v>0</v>
      </c>
      <c r="AK695" s="15" t="n">
        <f aca="false">AB695*N(AD695)</f>
        <v>0</v>
      </c>
      <c r="AL695" s="15" t="n">
        <f aca="false">AB695*N(AE695)</f>
        <v>0</v>
      </c>
      <c r="AM695" s="15" t="n">
        <f aca="false">AB695*N(AF695)</f>
        <v>0</v>
      </c>
      <c r="AN695" s="15" t="n">
        <f aca="false">AB695*N(R695)</f>
        <v>0</v>
      </c>
      <c r="AO695" s="21" t="str">
        <f aca="false">IF(F695&lt;&gt;"Y","n/a",IF(AND(N695&lt;&gt;"",OR(Q695&lt;&gt;"",G695="Other / bench",G695="None"),U695&lt;&gt;""),"OK","Missing"))</f>
        <v>n/a</v>
      </c>
    </row>
    <row r="696" customFormat="false" ht="15" hidden="false" customHeight="false" outlineLevel="0" collapsed="false">
      <c r="A696" s="16"/>
      <c r="B696" s="16"/>
      <c r="C696" s="16"/>
      <c r="D696" s="16"/>
      <c r="E696" s="21" t="str">
        <f aca="false">IF(A696="","",A696&amp;"|"&amp;D696)</f>
        <v/>
      </c>
      <c r="F696" s="16"/>
      <c r="G696" s="16"/>
      <c r="H696" s="16"/>
      <c r="I696" s="16"/>
      <c r="J696" s="16"/>
      <c r="K696" s="14"/>
      <c r="L696" s="14"/>
      <c r="M696" s="14"/>
      <c r="N696" s="14"/>
      <c r="O696" s="14"/>
      <c r="P696" s="18" t="n">
        <f aca="false">IF(N696="",0,IF(OR(M696="",O696=""),N696,(M696+4*N696+O696)/6))</f>
        <v>0</v>
      </c>
      <c r="Q696" s="14"/>
      <c r="R696" s="14"/>
      <c r="S696" s="14"/>
      <c r="T696" s="14"/>
      <c r="U696" s="16"/>
      <c r="V696" s="13"/>
      <c r="W696" s="16"/>
      <c r="X696" s="16"/>
      <c r="Y696" s="16"/>
      <c r="Z696" s="16"/>
      <c r="AA696" s="22" t="n">
        <f aca="false">IF(F696&lt;&gt;"Y",0,((SUMIF(Products!$E$5:$E$300,A696,Products!$F$5:$F$300)+SUMIF(RM_Lots!$A$5:$A$400,A696,RM_Lots!$D$5:$D$400))+IF(W696="Y",SUMIF(Products!$E$5:$E$300,A696,Products!$G$5:$G$300),0))*(1+N(V696)))</f>
        <v>0</v>
      </c>
      <c r="AB696" s="22" t="n">
        <f aca="false">IF(F696&lt;&gt;"Y",0,((SUMIF(Products!$E$5:$E$300,A696,Products!$K$5:$K$300)+SUMIF(RM_Lots!$A$5:$A$400,A696,RM_Lots!$F$5:$F$400))+IF(W696="Y",SUMIF(Products!$E$5:$E$300,A696,Products!$L$5:$L$300),0))*(1+N(V696)))</f>
        <v>0</v>
      </c>
      <c r="AC696" s="17" t="n">
        <f aca="false">IF(J696="",1,MAX(1,COUNTIFS($J$5:$J$863,J696,$F$5:$F$863,"Y")))</f>
        <v>1</v>
      </c>
      <c r="AD696" s="18" t="n">
        <f aca="false">(MAX(1,N(I696))*(P696+N(S696))+MAX(1,N(I696))*N(K696)/(MAX(1,N(U696))*AC696))*Settings!$B$9</f>
        <v>0</v>
      </c>
      <c r="AE696" s="18" t="n">
        <f aca="false">(MAX(1,N(I696))*N(Q696)+MAX(1,N(I696))*N(L696)/(MAX(1,N(U696))*AC696))*Settings!$B$8</f>
        <v>0</v>
      </c>
      <c r="AF696" s="18" t="n">
        <f aca="false">MAX(1,N(I696))*N(T696)</f>
        <v>0</v>
      </c>
      <c r="AG696" s="15" t="n">
        <f aca="false">AA696*N(AD696)</f>
        <v>0</v>
      </c>
      <c r="AH696" s="15" t="n">
        <f aca="false">AA696*N(AE696)</f>
        <v>0</v>
      </c>
      <c r="AI696" s="15" t="n">
        <f aca="false">AA696*N(AF696)</f>
        <v>0</v>
      </c>
      <c r="AJ696" s="15" t="n">
        <f aca="false">AA696*N(R696)</f>
        <v>0</v>
      </c>
      <c r="AK696" s="15" t="n">
        <f aca="false">AB696*N(AD696)</f>
        <v>0</v>
      </c>
      <c r="AL696" s="15" t="n">
        <f aca="false">AB696*N(AE696)</f>
        <v>0</v>
      </c>
      <c r="AM696" s="15" t="n">
        <f aca="false">AB696*N(AF696)</f>
        <v>0</v>
      </c>
      <c r="AN696" s="15" t="n">
        <f aca="false">AB696*N(R696)</f>
        <v>0</v>
      </c>
      <c r="AO696" s="21" t="str">
        <f aca="false">IF(F696&lt;&gt;"Y","n/a",IF(AND(N696&lt;&gt;"",OR(Q696&lt;&gt;"",G696="Other / bench",G696="None"),U696&lt;&gt;""),"OK","Missing"))</f>
        <v>n/a</v>
      </c>
    </row>
    <row r="697" customFormat="false" ht="15" hidden="false" customHeight="false" outlineLevel="0" collapsed="false">
      <c r="A697" s="16"/>
      <c r="B697" s="16"/>
      <c r="C697" s="16"/>
      <c r="D697" s="16"/>
      <c r="E697" s="21" t="str">
        <f aca="false">IF(A697="","",A697&amp;"|"&amp;D697)</f>
        <v/>
      </c>
      <c r="F697" s="16"/>
      <c r="G697" s="16"/>
      <c r="H697" s="16"/>
      <c r="I697" s="16"/>
      <c r="J697" s="16"/>
      <c r="K697" s="14"/>
      <c r="L697" s="14"/>
      <c r="M697" s="14"/>
      <c r="N697" s="14"/>
      <c r="O697" s="14"/>
      <c r="P697" s="18" t="n">
        <f aca="false">IF(N697="",0,IF(OR(M697="",O697=""),N697,(M697+4*N697+O697)/6))</f>
        <v>0</v>
      </c>
      <c r="Q697" s="14"/>
      <c r="R697" s="14"/>
      <c r="S697" s="14"/>
      <c r="T697" s="14"/>
      <c r="U697" s="16"/>
      <c r="V697" s="13"/>
      <c r="W697" s="16"/>
      <c r="X697" s="16"/>
      <c r="Y697" s="16"/>
      <c r="Z697" s="16"/>
      <c r="AA697" s="22" t="n">
        <f aca="false">IF(F697&lt;&gt;"Y",0,((SUMIF(Products!$E$5:$E$300,A697,Products!$F$5:$F$300)+SUMIF(RM_Lots!$A$5:$A$400,A697,RM_Lots!$D$5:$D$400))+IF(W697="Y",SUMIF(Products!$E$5:$E$300,A697,Products!$G$5:$G$300),0))*(1+N(V697)))</f>
        <v>0</v>
      </c>
      <c r="AB697" s="22" t="n">
        <f aca="false">IF(F697&lt;&gt;"Y",0,((SUMIF(Products!$E$5:$E$300,A697,Products!$K$5:$K$300)+SUMIF(RM_Lots!$A$5:$A$400,A697,RM_Lots!$F$5:$F$400))+IF(W697="Y",SUMIF(Products!$E$5:$E$300,A697,Products!$L$5:$L$300),0))*(1+N(V697)))</f>
        <v>0</v>
      </c>
      <c r="AC697" s="17" t="n">
        <f aca="false">IF(J697="",1,MAX(1,COUNTIFS($J$5:$J$863,J697,$F$5:$F$863,"Y")))</f>
        <v>1</v>
      </c>
      <c r="AD697" s="18" t="n">
        <f aca="false">(MAX(1,N(I697))*(P697+N(S697))+MAX(1,N(I697))*N(K697)/(MAX(1,N(U697))*AC697))*Settings!$B$9</f>
        <v>0</v>
      </c>
      <c r="AE697" s="18" t="n">
        <f aca="false">(MAX(1,N(I697))*N(Q697)+MAX(1,N(I697))*N(L697)/(MAX(1,N(U697))*AC697))*Settings!$B$8</f>
        <v>0</v>
      </c>
      <c r="AF697" s="18" t="n">
        <f aca="false">MAX(1,N(I697))*N(T697)</f>
        <v>0</v>
      </c>
      <c r="AG697" s="15" t="n">
        <f aca="false">AA697*N(AD697)</f>
        <v>0</v>
      </c>
      <c r="AH697" s="15" t="n">
        <f aca="false">AA697*N(AE697)</f>
        <v>0</v>
      </c>
      <c r="AI697" s="15" t="n">
        <f aca="false">AA697*N(AF697)</f>
        <v>0</v>
      </c>
      <c r="AJ697" s="15" t="n">
        <f aca="false">AA697*N(R697)</f>
        <v>0</v>
      </c>
      <c r="AK697" s="15" t="n">
        <f aca="false">AB697*N(AD697)</f>
        <v>0</v>
      </c>
      <c r="AL697" s="15" t="n">
        <f aca="false">AB697*N(AE697)</f>
        <v>0</v>
      </c>
      <c r="AM697" s="15" t="n">
        <f aca="false">AB697*N(AF697)</f>
        <v>0</v>
      </c>
      <c r="AN697" s="15" t="n">
        <f aca="false">AB697*N(R697)</f>
        <v>0</v>
      </c>
      <c r="AO697" s="21" t="str">
        <f aca="false">IF(F697&lt;&gt;"Y","n/a",IF(AND(N697&lt;&gt;"",OR(Q697&lt;&gt;"",G697="Other / bench",G697="None"),U697&lt;&gt;""),"OK","Missing"))</f>
        <v>n/a</v>
      </c>
    </row>
    <row r="698" customFormat="false" ht="15" hidden="false" customHeight="false" outlineLevel="0" collapsed="false">
      <c r="A698" s="16"/>
      <c r="B698" s="16"/>
      <c r="C698" s="16"/>
      <c r="D698" s="16"/>
      <c r="E698" s="21" t="str">
        <f aca="false">IF(A698="","",A698&amp;"|"&amp;D698)</f>
        <v/>
      </c>
      <c r="F698" s="16"/>
      <c r="G698" s="16"/>
      <c r="H698" s="16"/>
      <c r="I698" s="16"/>
      <c r="J698" s="16"/>
      <c r="K698" s="14"/>
      <c r="L698" s="14"/>
      <c r="M698" s="14"/>
      <c r="N698" s="14"/>
      <c r="O698" s="14"/>
      <c r="P698" s="18" t="n">
        <f aca="false">IF(N698="",0,IF(OR(M698="",O698=""),N698,(M698+4*N698+O698)/6))</f>
        <v>0</v>
      </c>
      <c r="Q698" s="14"/>
      <c r="R698" s="14"/>
      <c r="S698" s="14"/>
      <c r="T698" s="14"/>
      <c r="U698" s="16"/>
      <c r="V698" s="13"/>
      <c r="W698" s="16"/>
      <c r="X698" s="16"/>
      <c r="Y698" s="16"/>
      <c r="Z698" s="16"/>
      <c r="AA698" s="22" t="n">
        <f aca="false">IF(F698&lt;&gt;"Y",0,((SUMIF(Products!$E$5:$E$300,A698,Products!$F$5:$F$300)+SUMIF(RM_Lots!$A$5:$A$400,A698,RM_Lots!$D$5:$D$400))+IF(W698="Y",SUMIF(Products!$E$5:$E$300,A698,Products!$G$5:$G$300),0))*(1+N(V698)))</f>
        <v>0</v>
      </c>
      <c r="AB698" s="22" t="n">
        <f aca="false">IF(F698&lt;&gt;"Y",0,((SUMIF(Products!$E$5:$E$300,A698,Products!$K$5:$K$300)+SUMIF(RM_Lots!$A$5:$A$400,A698,RM_Lots!$F$5:$F$400))+IF(W698="Y",SUMIF(Products!$E$5:$E$300,A698,Products!$L$5:$L$300),0))*(1+N(V698)))</f>
        <v>0</v>
      </c>
      <c r="AC698" s="17" t="n">
        <f aca="false">IF(J698="",1,MAX(1,COUNTIFS($J$5:$J$863,J698,$F$5:$F$863,"Y")))</f>
        <v>1</v>
      </c>
      <c r="AD698" s="18" t="n">
        <f aca="false">(MAX(1,N(I698))*(P698+N(S698))+MAX(1,N(I698))*N(K698)/(MAX(1,N(U698))*AC698))*Settings!$B$9</f>
        <v>0</v>
      </c>
      <c r="AE698" s="18" t="n">
        <f aca="false">(MAX(1,N(I698))*N(Q698)+MAX(1,N(I698))*N(L698)/(MAX(1,N(U698))*AC698))*Settings!$B$8</f>
        <v>0</v>
      </c>
      <c r="AF698" s="18" t="n">
        <f aca="false">MAX(1,N(I698))*N(T698)</f>
        <v>0</v>
      </c>
      <c r="AG698" s="15" t="n">
        <f aca="false">AA698*N(AD698)</f>
        <v>0</v>
      </c>
      <c r="AH698" s="15" t="n">
        <f aca="false">AA698*N(AE698)</f>
        <v>0</v>
      </c>
      <c r="AI698" s="15" t="n">
        <f aca="false">AA698*N(AF698)</f>
        <v>0</v>
      </c>
      <c r="AJ698" s="15" t="n">
        <f aca="false">AA698*N(R698)</f>
        <v>0</v>
      </c>
      <c r="AK698" s="15" t="n">
        <f aca="false">AB698*N(AD698)</f>
        <v>0</v>
      </c>
      <c r="AL698" s="15" t="n">
        <f aca="false">AB698*N(AE698)</f>
        <v>0</v>
      </c>
      <c r="AM698" s="15" t="n">
        <f aca="false">AB698*N(AF698)</f>
        <v>0</v>
      </c>
      <c r="AN698" s="15" t="n">
        <f aca="false">AB698*N(R698)</f>
        <v>0</v>
      </c>
      <c r="AO698" s="21" t="str">
        <f aca="false">IF(F698&lt;&gt;"Y","n/a",IF(AND(N698&lt;&gt;"",OR(Q698&lt;&gt;"",G698="Other / bench",G698="None"),U698&lt;&gt;""),"OK","Missing"))</f>
        <v>n/a</v>
      </c>
    </row>
    <row r="699" customFormat="false" ht="15" hidden="false" customHeight="false" outlineLevel="0" collapsed="false">
      <c r="A699" s="16"/>
      <c r="B699" s="16"/>
      <c r="C699" s="16"/>
      <c r="D699" s="16"/>
      <c r="E699" s="21" t="str">
        <f aca="false">IF(A699="","",A699&amp;"|"&amp;D699)</f>
        <v/>
      </c>
      <c r="F699" s="16"/>
      <c r="G699" s="16"/>
      <c r="H699" s="16"/>
      <c r="I699" s="16"/>
      <c r="J699" s="16"/>
      <c r="K699" s="14"/>
      <c r="L699" s="14"/>
      <c r="M699" s="14"/>
      <c r="N699" s="14"/>
      <c r="O699" s="14"/>
      <c r="P699" s="18" t="n">
        <f aca="false">IF(N699="",0,IF(OR(M699="",O699=""),N699,(M699+4*N699+O699)/6))</f>
        <v>0</v>
      </c>
      <c r="Q699" s="14"/>
      <c r="R699" s="14"/>
      <c r="S699" s="14"/>
      <c r="T699" s="14"/>
      <c r="U699" s="16"/>
      <c r="V699" s="13"/>
      <c r="W699" s="16"/>
      <c r="X699" s="16"/>
      <c r="Y699" s="16"/>
      <c r="Z699" s="16"/>
      <c r="AA699" s="22" t="n">
        <f aca="false">IF(F699&lt;&gt;"Y",0,((SUMIF(Products!$E$5:$E$300,A699,Products!$F$5:$F$300)+SUMIF(RM_Lots!$A$5:$A$400,A699,RM_Lots!$D$5:$D$400))+IF(W699="Y",SUMIF(Products!$E$5:$E$300,A699,Products!$G$5:$G$300),0))*(1+N(V699)))</f>
        <v>0</v>
      </c>
      <c r="AB699" s="22" t="n">
        <f aca="false">IF(F699&lt;&gt;"Y",0,((SUMIF(Products!$E$5:$E$300,A699,Products!$K$5:$K$300)+SUMIF(RM_Lots!$A$5:$A$400,A699,RM_Lots!$F$5:$F$400))+IF(W699="Y",SUMIF(Products!$E$5:$E$300,A699,Products!$L$5:$L$300),0))*(1+N(V699)))</f>
        <v>0</v>
      </c>
      <c r="AC699" s="17" t="n">
        <f aca="false">IF(J699="",1,MAX(1,COUNTIFS($J$5:$J$863,J699,$F$5:$F$863,"Y")))</f>
        <v>1</v>
      </c>
      <c r="AD699" s="18" t="n">
        <f aca="false">(MAX(1,N(I699))*(P699+N(S699))+MAX(1,N(I699))*N(K699)/(MAX(1,N(U699))*AC699))*Settings!$B$9</f>
        <v>0</v>
      </c>
      <c r="AE699" s="18" t="n">
        <f aca="false">(MAX(1,N(I699))*N(Q699)+MAX(1,N(I699))*N(L699)/(MAX(1,N(U699))*AC699))*Settings!$B$8</f>
        <v>0</v>
      </c>
      <c r="AF699" s="18" t="n">
        <f aca="false">MAX(1,N(I699))*N(T699)</f>
        <v>0</v>
      </c>
      <c r="AG699" s="15" t="n">
        <f aca="false">AA699*N(AD699)</f>
        <v>0</v>
      </c>
      <c r="AH699" s="15" t="n">
        <f aca="false">AA699*N(AE699)</f>
        <v>0</v>
      </c>
      <c r="AI699" s="15" t="n">
        <f aca="false">AA699*N(AF699)</f>
        <v>0</v>
      </c>
      <c r="AJ699" s="15" t="n">
        <f aca="false">AA699*N(R699)</f>
        <v>0</v>
      </c>
      <c r="AK699" s="15" t="n">
        <f aca="false">AB699*N(AD699)</f>
        <v>0</v>
      </c>
      <c r="AL699" s="15" t="n">
        <f aca="false">AB699*N(AE699)</f>
        <v>0</v>
      </c>
      <c r="AM699" s="15" t="n">
        <f aca="false">AB699*N(AF699)</f>
        <v>0</v>
      </c>
      <c r="AN699" s="15" t="n">
        <f aca="false">AB699*N(R699)</f>
        <v>0</v>
      </c>
      <c r="AO699" s="21" t="str">
        <f aca="false">IF(F699&lt;&gt;"Y","n/a",IF(AND(N699&lt;&gt;"",OR(Q699&lt;&gt;"",G699="Other / bench",G699="None"),U699&lt;&gt;""),"OK","Missing"))</f>
        <v>n/a</v>
      </c>
    </row>
    <row r="700" customFormat="false" ht="15" hidden="false" customHeight="false" outlineLevel="0" collapsed="false">
      <c r="A700" s="16"/>
      <c r="B700" s="16"/>
      <c r="C700" s="16"/>
      <c r="D700" s="16"/>
      <c r="E700" s="21" t="str">
        <f aca="false">IF(A700="","",A700&amp;"|"&amp;D700)</f>
        <v/>
      </c>
      <c r="F700" s="16"/>
      <c r="G700" s="16"/>
      <c r="H700" s="16"/>
      <c r="I700" s="16"/>
      <c r="J700" s="16"/>
      <c r="K700" s="14"/>
      <c r="L700" s="14"/>
      <c r="M700" s="14"/>
      <c r="N700" s="14"/>
      <c r="O700" s="14"/>
      <c r="P700" s="18" t="n">
        <f aca="false">IF(N700="",0,IF(OR(M700="",O700=""),N700,(M700+4*N700+O700)/6))</f>
        <v>0</v>
      </c>
      <c r="Q700" s="14"/>
      <c r="R700" s="14"/>
      <c r="S700" s="14"/>
      <c r="T700" s="14"/>
      <c r="U700" s="16"/>
      <c r="V700" s="13"/>
      <c r="W700" s="16"/>
      <c r="X700" s="16"/>
      <c r="Y700" s="16"/>
      <c r="Z700" s="16"/>
      <c r="AA700" s="22" t="n">
        <f aca="false">IF(F700&lt;&gt;"Y",0,((SUMIF(Products!$E$5:$E$300,A700,Products!$F$5:$F$300)+SUMIF(RM_Lots!$A$5:$A$400,A700,RM_Lots!$D$5:$D$400))+IF(W700="Y",SUMIF(Products!$E$5:$E$300,A700,Products!$G$5:$G$300),0))*(1+N(V700)))</f>
        <v>0</v>
      </c>
      <c r="AB700" s="22" t="n">
        <f aca="false">IF(F700&lt;&gt;"Y",0,((SUMIF(Products!$E$5:$E$300,A700,Products!$K$5:$K$300)+SUMIF(RM_Lots!$A$5:$A$400,A700,RM_Lots!$F$5:$F$400))+IF(W700="Y",SUMIF(Products!$E$5:$E$300,A700,Products!$L$5:$L$300),0))*(1+N(V700)))</f>
        <v>0</v>
      </c>
      <c r="AC700" s="17" t="n">
        <f aca="false">IF(J700="",1,MAX(1,COUNTIFS($J$5:$J$863,J700,$F$5:$F$863,"Y")))</f>
        <v>1</v>
      </c>
      <c r="AD700" s="18" t="n">
        <f aca="false">(MAX(1,N(I700))*(P700+N(S700))+MAX(1,N(I700))*N(K700)/(MAX(1,N(U700))*AC700))*Settings!$B$9</f>
        <v>0</v>
      </c>
      <c r="AE700" s="18" t="n">
        <f aca="false">(MAX(1,N(I700))*N(Q700)+MAX(1,N(I700))*N(L700)/(MAX(1,N(U700))*AC700))*Settings!$B$8</f>
        <v>0</v>
      </c>
      <c r="AF700" s="18" t="n">
        <f aca="false">MAX(1,N(I700))*N(T700)</f>
        <v>0</v>
      </c>
      <c r="AG700" s="15" t="n">
        <f aca="false">AA700*N(AD700)</f>
        <v>0</v>
      </c>
      <c r="AH700" s="15" t="n">
        <f aca="false">AA700*N(AE700)</f>
        <v>0</v>
      </c>
      <c r="AI700" s="15" t="n">
        <f aca="false">AA700*N(AF700)</f>
        <v>0</v>
      </c>
      <c r="AJ700" s="15" t="n">
        <f aca="false">AA700*N(R700)</f>
        <v>0</v>
      </c>
      <c r="AK700" s="15" t="n">
        <f aca="false">AB700*N(AD700)</f>
        <v>0</v>
      </c>
      <c r="AL700" s="15" t="n">
        <f aca="false">AB700*N(AE700)</f>
        <v>0</v>
      </c>
      <c r="AM700" s="15" t="n">
        <f aca="false">AB700*N(AF700)</f>
        <v>0</v>
      </c>
      <c r="AN700" s="15" t="n">
        <f aca="false">AB700*N(R700)</f>
        <v>0</v>
      </c>
      <c r="AO700" s="21" t="str">
        <f aca="false">IF(F700&lt;&gt;"Y","n/a",IF(AND(N700&lt;&gt;"",OR(Q700&lt;&gt;"",G700="Other / bench",G700="None"),U700&lt;&gt;""),"OK","Missing"))</f>
        <v>n/a</v>
      </c>
    </row>
    <row r="701" customFormat="false" ht="15" hidden="false" customHeight="false" outlineLevel="0" collapsed="false">
      <c r="A701" s="16"/>
      <c r="B701" s="16"/>
      <c r="C701" s="16"/>
      <c r="D701" s="16"/>
      <c r="E701" s="21" t="str">
        <f aca="false">IF(A701="","",A701&amp;"|"&amp;D701)</f>
        <v/>
      </c>
      <c r="F701" s="16"/>
      <c r="G701" s="16"/>
      <c r="H701" s="16"/>
      <c r="I701" s="16"/>
      <c r="J701" s="16"/>
      <c r="K701" s="14"/>
      <c r="L701" s="14"/>
      <c r="M701" s="14"/>
      <c r="N701" s="14"/>
      <c r="O701" s="14"/>
      <c r="P701" s="18" t="n">
        <f aca="false">IF(N701="",0,IF(OR(M701="",O701=""),N701,(M701+4*N701+O701)/6))</f>
        <v>0</v>
      </c>
      <c r="Q701" s="14"/>
      <c r="R701" s="14"/>
      <c r="S701" s="14"/>
      <c r="T701" s="14"/>
      <c r="U701" s="16"/>
      <c r="V701" s="13"/>
      <c r="W701" s="16"/>
      <c r="X701" s="16"/>
      <c r="Y701" s="16"/>
      <c r="Z701" s="16"/>
      <c r="AA701" s="22" t="n">
        <f aca="false">IF(F701&lt;&gt;"Y",0,((SUMIF(Products!$E$5:$E$300,A701,Products!$F$5:$F$300)+SUMIF(RM_Lots!$A$5:$A$400,A701,RM_Lots!$D$5:$D$400))+IF(W701="Y",SUMIF(Products!$E$5:$E$300,A701,Products!$G$5:$G$300),0))*(1+N(V701)))</f>
        <v>0</v>
      </c>
      <c r="AB701" s="22" t="n">
        <f aca="false">IF(F701&lt;&gt;"Y",0,((SUMIF(Products!$E$5:$E$300,A701,Products!$K$5:$K$300)+SUMIF(RM_Lots!$A$5:$A$400,A701,RM_Lots!$F$5:$F$400))+IF(W701="Y",SUMIF(Products!$E$5:$E$300,A701,Products!$L$5:$L$300),0))*(1+N(V701)))</f>
        <v>0</v>
      </c>
      <c r="AC701" s="17" t="n">
        <f aca="false">IF(J701="",1,MAX(1,COUNTIFS($J$5:$J$863,J701,$F$5:$F$863,"Y")))</f>
        <v>1</v>
      </c>
      <c r="AD701" s="18" t="n">
        <f aca="false">(MAX(1,N(I701))*(P701+N(S701))+MAX(1,N(I701))*N(K701)/(MAX(1,N(U701))*AC701))*Settings!$B$9</f>
        <v>0</v>
      </c>
      <c r="AE701" s="18" t="n">
        <f aca="false">(MAX(1,N(I701))*N(Q701)+MAX(1,N(I701))*N(L701)/(MAX(1,N(U701))*AC701))*Settings!$B$8</f>
        <v>0</v>
      </c>
      <c r="AF701" s="18" t="n">
        <f aca="false">MAX(1,N(I701))*N(T701)</f>
        <v>0</v>
      </c>
      <c r="AG701" s="15" t="n">
        <f aca="false">AA701*N(AD701)</f>
        <v>0</v>
      </c>
      <c r="AH701" s="15" t="n">
        <f aca="false">AA701*N(AE701)</f>
        <v>0</v>
      </c>
      <c r="AI701" s="15" t="n">
        <f aca="false">AA701*N(AF701)</f>
        <v>0</v>
      </c>
      <c r="AJ701" s="15" t="n">
        <f aca="false">AA701*N(R701)</f>
        <v>0</v>
      </c>
      <c r="AK701" s="15" t="n">
        <f aca="false">AB701*N(AD701)</f>
        <v>0</v>
      </c>
      <c r="AL701" s="15" t="n">
        <f aca="false">AB701*N(AE701)</f>
        <v>0</v>
      </c>
      <c r="AM701" s="15" t="n">
        <f aca="false">AB701*N(AF701)</f>
        <v>0</v>
      </c>
      <c r="AN701" s="15" t="n">
        <f aca="false">AB701*N(R701)</f>
        <v>0</v>
      </c>
      <c r="AO701" s="21" t="str">
        <f aca="false">IF(F701&lt;&gt;"Y","n/a",IF(AND(N701&lt;&gt;"",OR(Q701&lt;&gt;"",G701="Other / bench",G701="None"),U701&lt;&gt;""),"OK","Missing"))</f>
        <v>n/a</v>
      </c>
    </row>
    <row r="702" customFormat="false" ht="15" hidden="false" customHeight="false" outlineLevel="0" collapsed="false">
      <c r="A702" s="16"/>
      <c r="B702" s="16"/>
      <c r="C702" s="16"/>
      <c r="D702" s="16"/>
      <c r="E702" s="21" t="str">
        <f aca="false">IF(A702="","",A702&amp;"|"&amp;D702)</f>
        <v/>
      </c>
      <c r="F702" s="16"/>
      <c r="G702" s="16"/>
      <c r="H702" s="16"/>
      <c r="I702" s="16"/>
      <c r="J702" s="16"/>
      <c r="K702" s="14"/>
      <c r="L702" s="14"/>
      <c r="M702" s="14"/>
      <c r="N702" s="14"/>
      <c r="O702" s="14"/>
      <c r="P702" s="18" t="n">
        <f aca="false">IF(N702="",0,IF(OR(M702="",O702=""),N702,(M702+4*N702+O702)/6))</f>
        <v>0</v>
      </c>
      <c r="Q702" s="14"/>
      <c r="R702" s="14"/>
      <c r="S702" s="14"/>
      <c r="T702" s="14"/>
      <c r="U702" s="16"/>
      <c r="V702" s="13"/>
      <c r="W702" s="16"/>
      <c r="X702" s="16"/>
      <c r="Y702" s="16"/>
      <c r="Z702" s="16"/>
      <c r="AA702" s="22" t="n">
        <f aca="false">IF(F702&lt;&gt;"Y",0,((SUMIF(Products!$E$5:$E$300,A702,Products!$F$5:$F$300)+SUMIF(RM_Lots!$A$5:$A$400,A702,RM_Lots!$D$5:$D$400))+IF(W702="Y",SUMIF(Products!$E$5:$E$300,A702,Products!$G$5:$G$300),0))*(1+N(V702)))</f>
        <v>0</v>
      </c>
      <c r="AB702" s="22" t="n">
        <f aca="false">IF(F702&lt;&gt;"Y",0,((SUMIF(Products!$E$5:$E$300,A702,Products!$K$5:$K$300)+SUMIF(RM_Lots!$A$5:$A$400,A702,RM_Lots!$F$5:$F$400))+IF(W702="Y",SUMIF(Products!$E$5:$E$300,A702,Products!$L$5:$L$300),0))*(1+N(V702)))</f>
        <v>0</v>
      </c>
      <c r="AC702" s="17" t="n">
        <f aca="false">IF(J702="",1,MAX(1,COUNTIFS($J$5:$J$863,J702,$F$5:$F$863,"Y")))</f>
        <v>1</v>
      </c>
      <c r="AD702" s="18" t="n">
        <f aca="false">(MAX(1,N(I702))*(P702+N(S702))+MAX(1,N(I702))*N(K702)/(MAX(1,N(U702))*AC702))*Settings!$B$9</f>
        <v>0</v>
      </c>
      <c r="AE702" s="18" t="n">
        <f aca="false">(MAX(1,N(I702))*N(Q702)+MAX(1,N(I702))*N(L702)/(MAX(1,N(U702))*AC702))*Settings!$B$8</f>
        <v>0</v>
      </c>
      <c r="AF702" s="18" t="n">
        <f aca="false">MAX(1,N(I702))*N(T702)</f>
        <v>0</v>
      </c>
      <c r="AG702" s="15" t="n">
        <f aca="false">AA702*N(AD702)</f>
        <v>0</v>
      </c>
      <c r="AH702" s="15" t="n">
        <f aca="false">AA702*N(AE702)</f>
        <v>0</v>
      </c>
      <c r="AI702" s="15" t="n">
        <f aca="false">AA702*N(AF702)</f>
        <v>0</v>
      </c>
      <c r="AJ702" s="15" t="n">
        <f aca="false">AA702*N(R702)</f>
        <v>0</v>
      </c>
      <c r="AK702" s="15" t="n">
        <f aca="false">AB702*N(AD702)</f>
        <v>0</v>
      </c>
      <c r="AL702" s="15" t="n">
        <f aca="false">AB702*N(AE702)</f>
        <v>0</v>
      </c>
      <c r="AM702" s="15" t="n">
        <f aca="false">AB702*N(AF702)</f>
        <v>0</v>
      </c>
      <c r="AN702" s="15" t="n">
        <f aca="false">AB702*N(R702)</f>
        <v>0</v>
      </c>
      <c r="AO702" s="21" t="str">
        <f aca="false">IF(F702&lt;&gt;"Y","n/a",IF(AND(N702&lt;&gt;"",OR(Q702&lt;&gt;"",G702="Other / bench",G702="None"),U702&lt;&gt;""),"OK","Missing"))</f>
        <v>n/a</v>
      </c>
    </row>
    <row r="703" customFormat="false" ht="15" hidden="false" customHeight="false" outlineLevel="0" collapsed="false">
      <c r="A703" s="16"/>
      <c r="B703" s="16"/>
      <c r="C703" s="16"/>
      <c r="D703" s="16"/>
      <c r="E703" s="21" t="str">
        <f aca="false">IF(A703="","",A703&amp;"|"&amp;D703)</f>
        <v/>
      </c>
      <c r="F703" s="16"/>
      <c r="G703" s="16"/>
      <c r="H703" s="16"/>
      <c r="I703" s="16"/>
      <c r="J703" s="16"/>
      <c r="K703" s="14"/>
      <c r="L703" s="14"/>
      <c r="M703" s="14"/>
      <c r="N703" s="14"/>
      <c r="O703" s="14"/>
      <c r="P703" s="18" t="n">
        <f aca="false">IF(N703="",0,IF(OR(M703="",O703=""),N703,(M703+4*N703+O703)/6))</f>
        <v>0</v>
      </c>
      <c r="Q703" s="14"/>
      <c r="R703" s="14"/>
      <c r="S703" s="14"/>
      <c r="T703" s="14"/>
      <c r="U703" s="16"/>
      <c r="V703" s="13"/>
      <c r="W703" s="16"/>
      <c r="X703" s="16"/>
      <c r="Y703" s="16"/>
      <c r="Z703" s="16"/>
      <c r="AA703" s="22" t="n">
        <f aca="false">IF(F703&lt;&gt;"Y",0,((SUMIF(Products!$E$5:$E$300,A703,Products!$F$5:$F$300)+SUMIF(RM_Lots!$A$5:$A$400,A703,RM_Lots!$D$5:$D$400))+IF(W703="Y",SUMIF(Products!$E$5:$E$300,A703,Products!$G$5:$G$300),0))*(1+N(V703)))</f>
        <v>0</v>
      </c>
      <c r="AB703" s="22" t="n">
        <f aca="false">IF(F703&lt;&gt;"Y",0,((SUMIF(Products!$E$5:$E$300,A703,Products!$K$5:$K$300)+SUMIF(RM_Lots!$A$5:$A$400,A703,RM_Lots!$F$5:$F$400))+IF(W703="Y",SUMIF(Products!$E$5:$E$300,A703,Products!$L$5:$L$300),0))*(1+N(V703)))</f>
        <v>0</v>
      </c>
      <c r="AC703" s="17" t="n">
        <f aca="false">IF(J703="",1,MAX(1,COUNTIFS($J$5:$J$863,J703,$F$5:$F$863,"Y")))</f>
        <v>1</v>
      </c>
      <c r="AD703" s="18" t="n">
        <f aca="false">(MAX(1,N(I703))*(P703+N(S703))+MAX(1,N(I703))*N(K703)/(MAX(1,N(U703))*AC703))*Settings!$B$9</f>
        <v>0</v>
      </c>
      <c r="AE703" s="18" t="n">
        <f aca="false">(MAX(1,N(I703))*N(Q703)+MAX(1,N(I703))*N(L703)/(MAX(1,N(U703))*AC703))*Settings!$B$8</f>
        <v>0</v>
      </c>
      <c r="AF703" s="18" t="n">
        <f aca="false">MAX(1,N(I703))*N(T703)</f>
        <v>0</v>
      </c>
      <c r="AG703" s="15" t="n">
        <f aca="false">AA703*N(AD703)</f>
        <v>0</v>
      </c>
      <c r="AH703" s="15" t="n">
        <f aca="false">AA703*N(AE703)</f>
        <v>0</v>
      </c>
      <c r="AI703" s="15" t="n">
        <f aca="false">AA703*N(AF703)</f>
        <v>0</v>
      </c>
      <c r="AJ703" s="15" t="n">
        <f aca="false">AA703*N(R703)</f>
        <v>0</v>
      </c>
      <c r="AK703" s="15" t="n">
        <f aca="false">AB703*N(AD703)</f>
        <v>0</v>
      </c>
      <c r="AL703" s="15" t="n">
        <f aca="false">AB703*N(AE703)</f>
        <v>0</v>
      </c>
      <c r="AM703" s="15" t="n">
        <f aca="false">AB703*N(AF703)</f>
        <v>0</v>
      </c>
      <c r="AN703" s="15" t="n">
        <f aca="false">AB703*N(R703)</f>
        <v>0</v>
      </c>
      <c r="AO703" s="21" t="str">
        <f aca="false">IF(F703&lt;&gt;"Y","n/a",IF(AND(N703&lt;&gt;"",OR(Q703&lt;&gt;"",G703="Other / bench",G703="None"),U703&lt;&gt;""),"OK","Missing"))</f>
        <v>n/a</v>
      </c>
    </row>
    <row r="704" customFormat="false" ht="15" hidden="false" customHeight="false" outlineLevel="0" collapsed="false">
      <c r="A704" s="16"/>
      <c r="B704" s="16"/>
      <c r="C704" s="16"/>
      <c r="D704" s="16"/>
      <c r="E704" s="21" t="str">
        <f aca="false">IF(A704="","",A704&amp;"|"&amp;D704)</f>
        <v/>
      </c>
      <c r="F704" s="16"/>
      <c r="G704" s="16"/>
      <c r="H704" s="16"/>
      <c r="I704" s="16"/>
      <c r="J704" s="16"/>
      <c r="K704" s="14"/>
      <c r="L704" s="14"/>
      <c r="M704" s="14"/>
      <c r="N704" s="14"/>
      <c r="O704" s="14"/>
      <c r="P704" s="18" t="n">
        <f aca="false">IF(N704="",0,IF(OR(M704="",O704=""),N704,(M704+4*N704+O704)/6))</f>
        <v>0</v>
      </c>
      <c r="Q704" s="14"/>
      <c r="R704" s="14"/>
      <c r="S704" s="14"/>
      <c r="T704" s="14"/>
      <c r="U704" s="16"/>
      <c r="V704" s="13"/>
      <c r="W704" s="16"/>
      <c r="X704" s="16"/>
      <c r="Y704" s="16"/>
      <c r="Z704" s="16"/>
      <c r="AA704" s="22" t="n">
        <f aca="false">IF(F704&lt;&gt;"Y",0,((SUMIF(Products!$E$5:$E$300,A704,Products!$F$5:$F$300)+SUMIF(RM_Lots!$A$5:$A$400,A704,RM_Lots!$D$5:$D$400))+IF(W704="Y",SUMIF(Products!$E$5:$E$300,A704,Products!$G$5:$G$300),0))*(1+N(V704)))</f>
        <v>0</v>
      </c>
      <c r="AB704" s="22" t="n">
        <f aca="false">IF(F704&lt;&gt;"Y",0,((SUMIF(Products!$E$5:$E$300,A704,Products!$K$5:$K$300)+SUMIF(RM_Lots!$A$5:$A$400,A704,RM_Lots!$F$5:$F$400))+IF(W704="Y",SUMIF(Products!$E$5:$E$300,A704,Products!$L$5:$L$300),0))*(1+N(V704)))</f>
        <v>0</v>
      </c>
      <c r="AC704" s="17" t="n">
        <f aca="false">IF(J704="",1,MAX(1,COUNTIFS($J$5:$J$863,J704,$F$5:$F$863,"Y")))</f>
        <v>1</v>
      </c>
      <c r="AD704" s="18" t="n">
        <f aca="false">(MAX(1,N(I704))*(P704+N(S704))+MAX(1,N(I704))*N(K704)/(MAX(1,N(U704))*AC704))*Settings!$B$9</f>
        <v>0</v>
      </c>
      <c r="AE704" s="18" t="n">
        <f aca="false">(MAX(1,N(I704))*N(Q704)+MAX(1,N(I704))*N(L704)/(MAX(1,N(U704))*AC704))*Settings!$B$8</f>
        <v>0</v>
      </c>
      <c r="AF704" s="18" t="n">
        <f aca="false">MAX(1,N(I704))*N(T704)</f>
        <v>0</v>
      </c>
      <c r="AG704" s="15" t="n">
        <f aca="false">AA704*N(AD704)</f>
        <v>0</v>
      </c>
      <c r="AH704" s="15" t="n">
        <f aca="false">AA704*N(AE704)</f>
        <v>0</v>
      </c>
      <c r="AI704" s="15" t="n">
        <f aca="false">AA704*N(AF704)</f>
        <v>0</v>
      </c>
      <c r="AJ704" s="15" t="n">
        <f aca="false">AA704*N(R704)</f>
        <v>0</v>
      </c>
      <c r="AK704" s="15" t="n">
        <f aca="false">AB704*N(AD704)</f>
        <v>0</v>
      </c>
      <c r="AL704" s="15" t="n">
        <f aca="false">AB704*N(AE704)</f>
        <v>0</v>
      </c>
      <c r="AM704" s="15" t="n">
        <f aca="false">AB704*N(AF704)</f>
        <v>0</v>
      </c>
      <c r="AN704" s="15" t="n">
        <f aca="false">AB704*N(R704)</f>
        <v>0</v>
      </c>
      <c r="AO704" s="21" t="str">
        <f aca="false">IF(F704&lt;&gt;"Y","n/a",IF(AND(N704&lt;&gt;"",OR(Q704&lt;&gt;"",G704="Other / bench",G704="None"),U704&lt;&gt;""),"OK","Missing"))</f>
        <v>n/a</v>
      </c>
    </row>
    <row r="705" customFormat="false" ht="15" hidden="false" customHeight="false" outlineLevel="0" collapsed="false">
      <c r="A705" s="16"/>
      <c r="B705" s="16"/>
      <c r="C705" s="16"/>
      <c r="D705" s="16"/>
      <c r="E705" s="21" t="str">
        <f aca="false">IF(A705="","",A705&amp;"|"&amp;D705)</f>
        <v/>
      </c>
      <c r="F705" s="16"/>
      <c r="G705" s="16"/>
      <c r="H705" s="16"/>
      <c r="I705" s="16"/>
      <c r="J705" s="16"/>
      <c r="K705" s="14"/>
      <c r="L705" s="14"/>
      <c r="M705" s="14"/>
      <c r="N705" s="14"/>
      <c r="O705" s="14"/>
      <c r="P705" s="18" t="n">
        <f aca="false">IF(N705="",0,IF(OR(M705="",O705=""),N705,(M705+4*N705+O705)/6))</f>
        <v>0</v>
      </c>
      <c r="Q705" s="14"/>
      <c r="R705" s="14"/>
      <c r="S705" s="14"/>
      <c r="T705" s="14"/>
      <c r="U705" s="16"/>
      <c r="V705" s="13"/>
      <c r="W705" s="16"/>
      <c r="X705" s="16"/>
      <c r="Y705" s="16"/>
      <c r="Z705" s="16"/>
      <c r="AA705" s="22" t="n">
        <f aca="false">IF(F705&lt;&gt;"Y",0,((SUMIF(Products!$E$5:$E$300,A705,Products!$F$5:$F$300)+SUMIF(RM_Lots!$A$5:$A$400,A705,RM_Lots!$D$5:$D$400))+IF(W705="Y",SUMIF(Products!$E$5:$E$300,A705,Products!$G$5:$G$300),0))*(1+N(V705)))</f>
        <v>0</v>
      </c>
      <c r="AB705" s="22" t="n">
        <f aca="false">IF(F705&lt;&gt;"Y",0,((SUMIF(Products!$E$5:$E$300,A705,Products!$K$5:$K$300)+SUMIF(RM_Lots!$A$5:$A$400,A705,RM_Lots!$F$5:$F$400))+IF(W705="Y",SUMIF(Products!$E$5:$E$300,A705,Products!$L$5:$L$300),0))*(1+N(V705)))</f>
        <v>0</v>
      </c>
      <c r="AC705" s="17" t="n">
        <f aca="false">IF(J705="",1,MAX(1,COUNTIFS($J$5:$J$863,J705,$F$5:$F$863,"Y")))</f>
        <v>1</v>
      </c>
      <c r="AD705" s="18" t="n">
        <f aca="false">(MAX(1,N(I705))*(P705+N(S705))+MAX(1,N(I705))*N(K705)/(MAX(1,N(U705))*AC705))*Settings!$B$9</f>
        <v>0</v>
      </c>
      <c r="AE705" s="18" t="n">
        <f aca="false">(MAX(1,N(I705))*N(Q705)+MAX(1,N(I705))*N(L705)/(MAX(1,N(U705))*AC705))*Settings!$B$8</f>
        <v>0</v>
      </c>
      <c r="AF705" s="18" t="n">
        <f aca="false">MAX(1,N(I705))*N(T705)</f>
        <v>0</v>
      </c>
      <c r="AG705" s="15" t="n">
        <f aca="false">AA705*N(AD705)</f>
        <v>0</v>
      </c>
      <c r="AH705" s="15" t="n">
        <f aca="false">AA705*N(AE705)</f>
        <v>0</v>
      </c>
      <c r="AI705" s="15" t="n">
        <f aca="false">AA705*N(AF705)</f>
        <v>0</v>
      </c>
      <c r="AJ705" s="15" t="n">
        <f aca="false">AA705*N(R705)</f>
        <v>0</v>
      </c>
      <c r="AK705" s="15" t="n">
        <f aca="false">AB705*N(AD705)</f>
        <v>0</v>
      </c>
      <c r="AL705" s="15" t="n">
        <f aca="false">AB705*N(AE705)</f>
        <v>0</v>
      </c>
      <c r="AM705" s="15" t="n">
        <f aca="false">AB705*N(AF705)</f>
        <v>0</v>
      </c>
      <c r="AN705" s="15" t="n">
        <f aca="false">AB705*N(R705)</f>
        <v>0</v>
      </c>
      <c r="AO705" s="21" t="str">
        <f aca="false">IF(F705&lt;&gt;"Y","n/a",IF(AND(N705&lt;&gt;"",OR(Q705&lt;&gt;"",G705="Other / bench",G705="None"),U705&lt;&gt;""),"OK","Missing"))</f>
        <v>n/a</v>
      </c>
    </row>
    <row r="706" customFormat="false" ht="15" hidden="false" customHeight="false" outlineLevel="0" collapsed="false">
      <c r="A706" s="16"/>
      <c r="B706" s="16"/>
      <c r="C706" s="16"/>
      <c r="D706" s="16"/>
      <c r="E706" s="21" t="str">
        <f aca="false">IF(A706="","",A706&amp;"|"&amp;D706)</f>
        <v/>
      </c>
      <c r="F706" s="16"/>
      <c r="G706" s="16"/>
      <c r="H706" s="16"/>
      <c r="I706" s="16"/>
      <c r="J706" s="16"/>
      <c r="K706" s="14"/>
      <c r="L706" s="14"/>
      <c r="M706" s="14"/>
      <c r="N706" s="14"/>
      <c r="O706" s="14"/>
      <c r="P706" s="18" t="n">
        <f aca="false">IF(N706="",0,IF(OR(M706="",O706=""),N706,(M706+4*N706+O706)/6))</f>
        <v>0</v>
      </c>
      <c r="Q706" s="14"/>
      <c r="R706" s="14"/>
      <c r="S706" s="14"/>
      <c r="T706" s="14"/>
      <c r="U706" s="16"/>
      <c r="V706" s="13"/>
      <c r="W706" s="16"/>
      <c r="X706" s="16"/>
      <c r="Y706" s="16"/>
      <c r="Z706" s="16"/>
      <c r="AA706" s="22" t="n">
        <f aca="false">IF(F706&lt;&gt;"Y",0,((SUMIF(Products!$E$5:$E$300,A706,Products!$F$5:$F$300)+SUMIF(RM_Lots!$A$5:$A$400,A706,RM_Lots!$D$5:$D$400))+IF(W706="Y",SUMIF(Products!$E$5:$E$300,A706,Products!$G$5:$G$300),0))*(1+N(V706)))</f>
        <v>0</v>
      </c>
      <c r="AB706" s="22" t="n">
        <f aca="false">IF(F706&lt;&gt;"Y",0,((SUMIF(Products!$E$5:$E$300,A706,Products!$K$5:$K$300)+SUMIF(RM_Lots!$A$5:$A$400,A706,RM_Lots!$F$5:$F$400))+IF(W706="Y",SUMIF(Products!$E$5:$E$300,A706,Products!$L$5:$L$300),0))*(1+N(V706)))</f>
        <v>0</v>
      </c>
      <c r="AC706" s="17" t="n">
        <f aca="false">IF(J706="",1,MAX(1,COUNTIFS($J$5:$J$863,J706,$F$5:$F$863,"Y")))</f>
        <v>1</v>
      </c>
      <c r="AD706" s="18" t="n">
        <f aca="false">(MAX(1,N(I706))*(P706+N(S706))+MAX(1,N(I706))*N(K706)/(MAX(1,N(U706))*AC706))*Settings!$B$9</f>
        <v>0</v>
      </c>
      <c r="AE706" s="18" t="n">
        <f aca="false">(MAX(1,N(I706))*N(Q706)+MAX(1,N(I706))*N(L706)/(MAX(1,N(U706))*AC706))*Settings!$B$8</f>
        <v>0</v>
      </c>
      <c r="AF706" s="18" t="n">
        <f aca="false">MAX(1,N(I706))*N(T706)</f>
        <v>0</v>
      </c>
      <c r="AG706" s="15" t="n">
        <f aca="false">AA706*N(AD706)</f>
        <v>0</v>
      </c>
      <c r="AH706" s="15" t="n">
        <f aca="false">AA706*N(AE706)</f>
        <v>0</v>
      </c>
      <c r="AI706" s="15" t="n">
        <f aca="false">AA706*N(AF706)</f>
        <v>0</v>
      </c>
      <c r="AJ706" s="15" t="n">
        <f aca="false">AA706*N(R706)</f>
        <v>0</v>
      </c>
      <c r="AK706" s="15" t="n">
        <f aca="false">AB706*N(AD706)</f>
        <v>0</v>
      </c>
      <c r="AL706" s="15" t="n">
        <f aca="false">AB706*N(AE706)</f>
        <v>0</v>
      </c>
      <c r="AM706" s="15" t="n">
        <f aca="false">AB706*N(AF706)</f>
        <v>0</v>
      </c>
      <c r="AN706" s="15" t="n">
        <f aca="false">AB706*N(R706)</f>
        <v>0</v>
      </c>
      <c r="AO706" s="21" t="str">
        <f aca="false">IF(F706&lt;&gt;"Y","n/a",IF(AND(N706&lt;&gt;"",OR(Q706&lt;&gt;"",G706="Other / bench",G706="None"),U706&lt;&gt;""),"OK","Missing"))</f>
        <v>n/a</v>
      </c>
    </row>
    <row r="707" customFormat="false" ht="15" hidden="false" customHeight="false" outlineLevel="0" collapsed="false">
      <c r="A707" s="16"/>
      <c r="B707" s="16"/>
      <c r="C707" s="16"/>
      <c r="D707" s="16"/>
      <c r="E707" s="21" t="str">
        <f aca="false">IF(A707="","",A707&amp;"|"&amp;D707)</f>
        <v/>
      </c>
      <c r="F707" s="16"/>
      <c r="G707" s="16"/>
      <c r="H707" s="16"/>
      <c r="I707" s="16"/>
      <c r="J707" s="16"/>
      <c r="K707" s="14"/>
      <c r="L707" s="14"/>
      <c r="M707" s="14"/>
      <c r="N707" s="14"/>
      <c r="O707" s="14"/>
      <c r="P707" s="18" t="n">
        <f aca="false">IF(N707="",0,IF(OR(M707="",O707=""),N707,(M707+4*N707+O707)/6))</f>
        <v>0</v>
      </c>
      <c r="Q707" s="14"/>
      <c r="R707" s="14"/>
      <c r="S707" s="14"/>
      <c r="T707" s="14"/>
      <c r="U707" s="16"/>
      <c r="V707" s="13"/>
      <c r="W707" s="16"/>
      <c r="X707" s="16"/>
      <c r="Y707" s="16"/>
      <c r="Z707" s="16"/>
      <c r="AA707" s="22" t="n">
        <f aca="false">IF(F707&lt;&gt;"Y",0,((SUMIF(Products!$E$5:$E$300,A707,Products!$F$5:$F$300)+SUMIF(RM_Lots!$A$5:$A$400,A707,RM_Lots!$D$5:$D$400))+IF(W707="Y",SUMIF(Products!$E$5:$E$300,A707,Products!$G$5:$G$300),0))*(1+N(V707)))</f>
        <v>0</v>
      </c>
      <c r="AB707" s="22" t="n">
        <f aca="false">IF(F707&lt;&gt;"Y",0,((SUMIF(Products!$E$5:$E$300,A707,Products!$K$5:$K$300)+SUMIF(RM_Lots!$A$5:$A$400,A707,RM_Lots!$F$5:$F$400))+IF(W707="Y",SUMIF(Products!$E$5:$E$300,A707,Products!$L$5:$L$300),0))*(1+N(V707)))</f>
        <v>0</v>
      </c>
      <c r="AC707" s="17" t="n">
        <f aca="false">IF(J707="",1,MAX(1,COUNTIFS($J$5:$J$863,J707,$F$5:$F$863,"Y")))</f>
        <v>1</v>
      </c>
      <c r="AD707" s="18" t="n">
        <f aca="false">(MAX(1,N(I707))*(P707+N(S707))+MAX(1,N(I707))*N(K707)/(MAX(1,N(U707))*AC707))*Settings!$B$9</f>
        <v>0</v>
      </c>
      <c r="AE707" s="18" t="n">
        <f aca="false">(MAX(1,N(I707))*N(Q707)+MAX(1,N(I707))*N(L707)/(MAX(1,N(U707))*AC707))*Settings!$B$8</f>
        <v>0</v>
      </c>
      <c r="AF707" s="18" t="n">
        <f aca="false">MAX(1,N(I707))*N(T707)</f>
        <v>0</v>
      </c>
      <c r="AG707" s="15" t="n">
        <f aca="false">AA707*N(AD707)</f>
        <v>0</v>
      </c>
      <c r="AH707" s="15" t="n">
        <f aca="false">AA707*N(AE707)</f>
        <v>0</v>
      </c>
      <c r="AI707" s="15" t="n">
        <f aca="false">AA707*N(AF707)</f>
        <v>0</v>
      </c>
      <c r="AJ707" s="15" t="n">
        <f aca="false">AA707*N(R707)</f>
        <v>0</v>
      </c>
      <c r="AK707" s="15" t="n">
        <f aca="false">AB707*N(AD707)</f>
        <v>0</v>
      </c>
      <c r="AL707" s="15" t="n">
        <f aca="false">AB707*N(AE707)</f>
        <v>0</v>
      </c>
      <c r="AM707" s="15" t="n">
        <f aca="false">AB707*N(AF707)</f>
        <v>0</v>
      </c>
      <c r="AN707" s="15" t="n">
        <f aca="false">AB707*N(R707)</f>
        <v>0</v>
      </c>
      <c r="AO707" s="21" t="str">
        <f aca="false">IF(F707&lt;&gt;"Y","n/a",IF(AND(N707&lt;&gt;"",OR(Q707&lt;&gt;"",G707="Other / bench",G707="None"),U707&lt;&gt;""),"OK","Missing"))</f>
        <v>n/a</v>
      </c>
    </row>
    <row r="708" customFormat="false" ht="15" hidden="false" customHeight="false" outlineLevel="0" collapsed="false">
      <c r="A708" s="16"/>
      <c r="B708" s="16"/>
      <c r="C708" s="16"/>
      <c r="D708" s="16"/>
      <c r="E708" s="21" t="str">
        <f aca="false">IF(A708="","",A708&amp;"|"&amp;D708)</f>
        <v/>
      </c>
      <c r="F708" s="16"/>
      <c r="G708" s="16"/>
      <c r="H708" s="16"/>
      <c r="I708" s="16"/>
      <c r="J708" s="16"/>
      <c r="K708" s="14"/>
      <c r="L708" s="14"/>
      <c r="M708" s="14"/>
      <c r="N708" s="14"/>
      <c r="O708" s="14"/>
      <c r="P708" s="18" t="n">
        <f aca="false">IF(N708="",0,IF(OR(M708="",O708=""),N708,(M708+4*N708+O708)/6))</f>
        <v>0</v>
      </c>
      <c r="Q708" s="14"/>
      <c r="R708" s="14"/>
      <c r="S708" s="14"/>
      <c r="T708" s="14"/>
      <c r="U708" s="16"/>
      <c r="V708" s="13"/>
      <c r="W708" s="16"/>
      <c r="X708" s="16"/>
      <c r="Y708" s="16"/>
      <c r="Z708" s="16"/>
      <c r="AA708" s="22" t="n">
        <f aca="false">IF(F708&lt;&gt;"Y",0,((SUMIF(Products!$E$5:$E$300,A708,Products!$F$5:$F$300)+SUMIF(RM_Lots!$A$5:$A$400,A708,RM_Lots!$D$5:$D$400))+IF(W708="Y",SUMIF(Products!$E$5:$E$300,A708,Products!$G$5:$G$300),0))*(1+N(V708)))</f>
        <v>0</v>
      </c>
      <c r="AB708" s="22" t="n">
        <f aca="false">IF(F708&lt;&gt;"Y",0,((SUMIF(Products!$E$5:$E$300,A708,Products!$K$5:$K$300)+SUMIF(RM_Lots!$A$5:$A$400,A708,RM_Lots!$F$5:$F$400))+IF(W708="Y",SUMIF(Products!$E$5:$E$300,A708,Products!$L$5:$L$300),0))*(1+N(V708)))</f>
        <v>0</v>
      </c>
      <c r="AC708" s="17" t="n">
        <f aca="false">IF(J708="",1,MAX(1,COUNTIFS($J$5:$J$863,J708,$F$5:$F$863,"Y")))</f>
        <v>1</v>
      </c>
      <c r="AD708" s="18" t="n">
        <f aca="false">(MAX(1,N(I708))*(P708+N(S708))+MAX(1,N(I708))*N(K708)/(MAX(1,N(U708))*AC708))*Settings!$B$9</f>
        <v>0</v>
      </c>
      <c r="AE708" s="18" t="n">
        <f aca="false">(MAX(1,N(I708))*N(Q708)+MAX(1,N(I708))*N(L708)/(MAX(1,N(U708))*AC708))*Settings!$B$8</f>
        <v>0</v>
      </c>
      <c r="AF708" s="18" t="n">
        <f aca="false">MAX(1,N(I708))*N(T708)</f>
        <v>0</v>
      </c>
      <c r="AG708" s="15" t="n">
        <f aca="false">AA708*N(AD708)</f>
        <v>0</v>
      </c>
      <c r="AH708" s="15" t="n">
        <f aca="false">AA708*N(AE708)</f>
        <v>0</v>
      </c>
      <c r="AI708" s="15" t="n">
        <f aca="false">AA708*N(AF708)</f>
        <v>0</v>
      </c>
      <c r="AJ708" s="15" t="n">
        <f aca="false">AA708*N(R708)</f>
        <v>0</v>
      </c>
      <c r="AK708" s="15" t="n">
        <f aca="false">AB708*N(AD708)</f>
        <v>0</v>
      </c>
      <c r="AL708" s="15" t="n">
        <f aca="false">AB708*N(AE708)</f>
        <v>0</v>
      </c>
      <c r="AM708" s="15" t="n">
        <f aca="false">AB708*N(AF708)</f>
        <v>0</v>
      </c>
      <c r="AN708" s="15" t="n">
        <f aca="false">AB708*N(R708)</f>
        <v>0</v>
      </c>
      <c r="AO708" s="21" t="str">
        <f aca="false">IF(F708&lt;&gt;"Y","n/a",IF(AND(N708&lt;&gt;"",OR(Q708&lt;&gt;"",G708="Other / bench",G708="None"),U708&lt;&gt;""),"OK","Missing"))</f>
        <v>n/a</v>
      </c>
    </row>
    <row r="709" customFormat="false" ht="15" hidden="false" customHeight="false" outlineLevel="0" collapsed="false">
      <c r="A709" s="16"/>
      <c r="B709" s="16"/>
      <c r="C709" s="16"/>
      <c r="D709" s="16"/>
      <c r="E709" s="21" t="str">
        <f aca="false">IF(A709="","",A709&amp;"|"&amp;D709)</f>
        <v/>
      </c>
      <c r="F709" s="16"/>
      <c r="G709" s="16"/>
      <c r="H709" s="16"/>
      <c r="I709" s="16"/>
      <c r="J709" s="16"/>
      <c r="K709" s="14"/>
      <c r="L709" s="14"/>
      <c r="M709" s="14"/>
      <c r="N709" s="14"/>
      <c r="O709" s="14"/>
      <c r="P709" s="18" t="n">
        <f aca="false">IF(N709="",0,IF(OR(M709="",O709=""),N709,(M709+4*N709+O709)/6))</f>
        <v>0</v>
      </c>
      <c r="Q709" s="14"/>
      <c r="R709" s="14"/>
      <c r="S709" s="14"/>
      <c r="T709" s="14"/>
      <c r="U709" s="16"/>
      <c r="V709" s="13"/>
      <c r="W709" s="16"/>
      <c r="X709" s="16"/>
      <c r="Y709" s="16"/>
      <c r="Z709" s="16"/>
      <c r="AA709" s="22" t="n">
        <f aca="false">IF(F709&lt;&gt;"Y",0,((SUMIF(Products!$E$5:$E$300,A709,Products!$F$5:$F$300)+SUMIF(RM_Lots!$A$5:$A$400,A709,RM_Lots!$D$5:$D$400))+IF(W709="Y",SUMIF(Products!$E$5:$E$300,A709,Products!$G$5:$G$300),0))*(1+N(V709)))</f>
        <v>0</v>
      </c>
      <c r="AB709" s="22" t="n">
        <f aca="false">IF(F709&lt;&gt;"Y",0,((SUMIF(Products!$E$5:$E$300,A709,Products!$K$5:$K$300)+SUMIF(RM_Lots!$A$5:$A$400,A709,RM_Lots!$F$5:$F$400))+IF(W709="Y",SUMIF(Products!$E$5:$E$300,A709,Products!$L$5:$L$300),0))*(1+N(V709)))</f>
        <v>0</v>
      </c>
      <c r="AC709" s="17" t="n">
        <f aca="false">IF(J709="",1,MAX(1,COUNTIFS($J$5:$J$863,J709,$F$5:$F$863,"Y")))</f>
        <v>1</v>
      </c>
      <c r="AD709" s="18" t="n">
        <f aca="false">(MAX(1,N(I709))*(P709+N(S709))+MAX(1,N(I709))*N(K709)/(MAX(1,N(U709))*AC709))*Settings!$B$9</f>
        <v>0</v>
      </c>
      <c r="AE709" s="18" t="n">
        <f aca="false">(MAX(1,N(I709))*N(Q709)+MAX(1,N(I709))*N(L709)/(MAX(1,N(U709))*AC709))*Settings!$B$8</f>
        <v>0</v>
      </c>
      <c r="AF709" s="18" t="n">
        <f aca="false">MAX(1,N(I709))*N(T709)</f>
        <v>0</v>
      </c>
      <c r="AG709" s="15" t="n">
        <f aca="false">AA709*N(AD709)</f>
        <v>0</v>
      </c>
      <c r="AH709" s="15" t="n">
        <f aca="false">AA709*N(AE709)</f>
        <v>0</v>
      </c>
      <c r="AI709" s="15" t="n">
        <f aca="false">AA709*N(AF709)</f>
        <v>0</v>
      </c>
      <c r="AJ709" s="15" t="n">
        <f aca="false">AA709*N(R709)</f>
        <v>0</v>
      </c>
      <c r="AK709" s="15" t="n">
        <f aca="false">AB709*N(AD709)</f>
        <v>0</v>
      </c>
      <c r="AL709" s="15" t="n">
        <f aca="false">AB709*N(AE709)</f>
        <v>0</v>
      </c>
      <c r="AM709" s="15" t="n">
        <f aca="false">AB709*N(AF709)</f>
        <v>0</v>
      </c>
      <c r="AN709" s="15" t="n">
        <f aca="false">AB709*N(R709)</f>
        <v>0</v>
      </c>
      <c r="AO709" s="21" t="str">
        <f aca="false">IF(F709&lt;&gt;"Y","n/a",IF(AND(N709&lt;&gt;"",OR(Q709&lt;&gt;"",G709="Other / bench",G709="None"),U709&lt;&gt;""),"OK","Missing"))</f>
        <v>n/a</v>
      </c>
    </row>
    <row r="710" customFormat="false" ht="15" hidden="false" customHeight="false" outlineLevel="0" collapsed="false">
      <c r="A710" s="16"/>
      <c r="B710" s="16"/>
      <c r="C710" s="16"/>
      <c r="D710" s="16"/>
      <c r="E710" s="21" t="str">
        <f aca="false">IF(A710="","",A710&amp;"|"&amp;D710)</f>
        <v/>
      </c>
      <c r="F710" s="16"/>
      <c r="G710" s="16"/>
      <c r="H710" s="16"/>
      <c r="I710" s="16"/>
      <c r="J710" s="16"/>
      <c r="K710" s="14"/>
      <c r="L710" s="14"/>
      <c r="M710" s="14"/>
      <c r="N710" s="14"/>
      <c r="O710" s="14"/>
      <c r="P710" s="18" t="n">
        <f aca="false">IF(N710="",0,IF(OR(M710="",O710=""),N710,(M710+4*N710+O710)/6))</f>
        <v>0</v>
      </c>
      <c r="Q710" s="14"/>
      <c r="R710" s="14"/>
      <c r="S710" s="14"/>
      <c r="T710" s="14"/>
      <c r="U710" s="16"/>
      <c r="V710" s="13"/>
      <c r="W710" s="16"/>
      <c r="X710" s="16"/>
      <c r="Y710" s="16"/>
      <c r="Z710" s="16"/>
      <c r="AA710" s="22" t="n">
        <f aca="false">IF(F710&lt;&gt;"Y",0,((SUMIF(Products!$E$5:$E$300,A710,Products!$F$5:$F$300)+SUMIF(RM_Lots!$A$5:$A$400,A710,RM_Lots!$D$5:$D$400))+IF(W710="Y",SUMIF(Products!$E$5:$E$300,A710,Products!$G$5:$G$300),0))*(1+N(V710)))</f>
        <v>0</v>
      </c>
      <c r="AB710" s="22" t="n">
        <f aca="false">IF(F710&lt;&gt;"Y",0,((SUMIF(Products!$E$5:$E$300,A710,Products!$K$5:$K$300)+SUMIF(RM_Lots!$A$5:$A$400,A710,RM_Lots!$F$5:$F$400))+IF(W710="Y",SUMIF(Products!$E$5:$E$300,A710,Products!$L$5:$L$300),0))*(1+N(V710)))</f>
        <v>0</v>
      </c>
      <c r="AC710" s="17" t="n">
        <f aca="false">IF(J710="",1,MAX(1,COUNTIFS($J$5:$J$863,J710,$F$5:$F$863,"Y")))</f>
        <v>1</v>
      </c>
      <c r="AD710" s="18" t="n">
        <f aca="false">(MAX(1,N(I710))*(P710+N(S710))+MAX(1,N(I710))*N(K710)/(MAX(1,N(U710))*AC710))*Settings!$B$9</f>
        <v>0</v>
      </c>
      <c r="AE710" s="18" t="n">
        <f aca="false">(MAX(1,N(I710))*N(Q710)+MAX(1,N(I710))*N(L710)/(MAX(1,N(U710))*AC710))*Settings!$B$8</f>
        <v>0</v>
      </c>
      <c r="AF710" s="18" t="n">
        <f aca="false">MAX(1,N(I710))*N(T710)</f>
        <v>0</v>
      </c>
      <c r="AG710" s="15" t="n">
        <f aca="false">AA710*N(AD710)</f>
        <v>0</v>
      </c>
      <c r="AH710" s="15" t="n">
        <f aca="false">AA710*N(AE710)</f>
        <v>0</v>
      </c>
      <c r="AI710" s="15" t="n">
        <f aca="false">AA710*N(AF710)</f>
        <v>0</v>
      </c>
      <c r="AJ710" s="15" t="n">
        <f aca="false">AA710*N(R710)</f>
        <v>0</v>
      </c>
      <c r="AK710" s="15" t="n">
        <f aca="false">AB710*N(AD710)</f>
        <v>0</v>
      </c>
      <c r="AL710" s="15" t="n">
        <f aca="false">AB710*N(AE710)</f>
        <v>0</v>
      </c>
      <c r="AM710" s="15" t="n">
        <f aca="false">AB710*N(AF710)</f>
        <v>0</v>
      </c>
      <c r="AN710" s="15" t="n">
        <f aca="false">AB710*N(R710)</f>
        <v>0</v>
      </c>
      <c r="AO710" s="21" t="str">
        <f aca="false">IF(F710&lt;&gt;"Y","n/a",IF(AND(N710&lt;&gt;"",OR(Q710&lt;&gt;"",G710="Other / bench",G710="None"),U710&lt;&gt;""),"OK","Missing"))</f>
        <v>n/a</v>
      </c>
    </row>
    <row r="711" customFormat="false" ht="15" hidden="false" customHeight="false" outlineLevel="0" collapsed="false">
      <c r="A711" s="16"/>
      <c r="B711" s="16"/>
      <c r="C711" s="16"/>
      <c r="D711" s="16"/>
      <c r="E711" s="21" t="str">
        <f aca="false">IF(A711="","",A711&amp;"|"&amp;D711)</f>
        <v/>
      </c>
      <c r="F711" s="16"/>
      <c r="G711" s="16"/>
      <c r="H711" s="16"/>
      <c r="I711" s="16"/>
      <c r="J711" s="16"/>
      <c r="K711" s="14"/>
      <c r="L711" s="14"/>
      <c r="M711" s="14"/>
      <c r="N711" s="14"/>
      <c r="O711" s="14"/>
      <c r="P711" s="18" t="n">
        <f aca="false">IF(N711="",0,IF(OR(M711="",O711=""),N711,(M711+4*N711+O711)/6))</f>
        <v>0</v>
      </c>
      <c r="Q711" s="14"/>
      <c r="R711" s="14"/>
      <c r="S711" s="14"/>
      <c r="T711" s="14"/>
      <c r="U711" s="16"/>
      <c r="V711" s="13"/>
      <c r="W711" s="16"/>
      <c r="X711" s="16"/>
      <c r="Y711" s="16"/>
      <c r="Z711" s="16"/>
      <c r="AA711" s="22" t="n">
        <f aca="false">IF(F711&lt;&gt;"Y",0,((SUMIF(Products!$E$5:$E$300,A711,Products!$F$5:$F$300)+SUMIF(RM_Lots!$A$5:$A$400,A711,RM_Lots!$D$5:$D$400))+IF(W711="Y",SUMIF(Products!$E$5:$E$300,A711,Products!$G$5:$G$300),0))*(1+N(V711)))</f>
        <v>0</v>
      </c>
      <c r="AB711" s="22" t="n">
        <f aca="false">IF(F711&lt;&gt;"Y",0,((SUMIF(Products!$E$5:$E$300,A711,Products!$K$5:$K$300)+SUMIF(RM_Lots!$A$5:$A$400,A711,RM_Lots!$F$5:$F$400))+IF(W711="Y",SUMIF(Products!$E$5:$E$300,A711,Products!$L$5:$L$300),0))*(1+N(V711)))</f>
        <v>0</v>
      </c>
      <c r="AC711" s="17" t="n">
        <f aca="false">IF(J711="",1,MAX(1,COUNTIFS($J$5:$J$863,J711,$F$5:$F$863,"Y")))</f>
        <v>1</v>
      </c>
      <c r="AD711" s="18" t="n">
        <f aca="false">(MAX(1,N(I711))*(P711+N(S711))+MAX(1,N(I711))*N(K711)/(MAX(1,N(U711))*AC711))*Settings!$B$9</f>
        <v>0</v>
      </c>
      <c r="AE711" s="18" t="n">
        <f aca="false">(MAX(1,N(I711))*N(Q711)+MAX(1,N(I711))*N(L711)/(MAX(1,N(U711))*AC711))*Settings!$B$8</f>
        <v>0</v>
      </c>
      <c r="AF711" s="18" t="n">
        <f aca="false">MAX(1,N(I711))*N(T711)</f>
        <v>0</v>
      </c>
      <c r="AG711" s="15" t="n">
        <f aca="false">AA711*N(AD711)</f>
        <v>0</v>
      </c>
      <c r="AH711" s="15" t="n">
        <f aca="false">AA711*N(AE711)</f>
        <v>0</v>
      </c>
      <c r="AI711" s="15" t="n">
        <f aca="false">AA711*N(AF711)</f>
        <v>0</v>
      </c>
      <c r="AJ711" s="15" t="n">
        <f aca="false">AA711*N(R711)</f>
        <v>0</v>
      </c>
      <c r="AK711" s="15" t="n">
        <f aca="false">AB711*N(AD711)</f>
        <v>0</v>
      </c>
      <c r="AL711" s="15" t="n">
        <f aca="false">AB711*N(AE711)</f>
        <v>0</v>
      </c>
      <c r="AM711" s="15" t="n">
        <f aca="false">AB711*N(AF711)</f>
        <v>0</v>
      </c>
      <c r="AN711" s="15" t="n">
        <f aca="false">AB711*N(R711)</f>
        <v>0</v>
      </c>
      <c r="AO711" s="21" t="str">
        <f aca="false">IF(F711&lt;&gt;"Y","n/a",IF(AND(N711&lt;&gt;"",OR(Q711&lt;&gt;"",G711="Other / bench",G711="None"),U711&lt;&gt;""),"OK","Missing"))</f>
        <v>n/a</v>
      </c>
    </row>
    <row r="712" customFormat="false" ht="15" hidden="false" customHeight="false" outlineLevel="0" collapsed="false">
      <c r="A712" s="16"/>
      <c r="B712" s="16"/>
      <c r="C712" s="16"/>
      <c r="D712" s="16"/>
      <c r="E712" s="21" t="str">
        <f aca="false">IF(A712="","",A712&amp;"|"&amp;D712)</f>
        <v/>
      </c>
      <c r="F712" s="16"/>
      <c r="G712" s="16"/>
      <c r="H712" s="16"/>
      <c r="I712" s="16"/>
      <c r="J712" s="16"/>
      <c r="K712" s="14"/>
      <c r="L712" s="14"/>
      <c r="M712" s="14"/>
      <c r="N712" s="14"/>
      <c r="O712" s="14"/>
      <c r="P712" s="18" t="n">
        <f aca="false">IF(N712="",0,IF(OR(M712="",O712=""),N712,(M712+4*N712+O712)/6))</f>
        <v>0</v>
      </c>
      <c r="Q712" s="14"/>
      <c r="R712" s="14"/>
      <c r="S712" s="14"/>
      <c r="T712" s="14"/>
      <c r="U712" s="16"/>
      <c r="V712" s="13"/>
      <c r="W712" s="16"/>
      <c r="X712" s="16"/>
      <c r="Y712" s="16"/>
      <c r="Z712" s="16"/>
      <c r="AA712" s="22" t="n">
        <f aca="false">IF(F712&lt;&gt;"Y",0,((SUMIF(Products!$E$5:$E$300,A712,Products!$F$5:$F$300)+SUMIF(RM_Lots!$A$5:$A$400,A712,RM_Lots!$D$5:$D$400))+IF(W712="Y",SUMIF(Products!$E$5:$E$300,A712,Products!$G$5:$G$300),0))*(1+N(V712)))</f>
        <v>0</v>
      </c>
      <c r="AB712" s="22" t="n">
        <f aca="false">IF(F712&lt;&gt;"Y",0,((SUMIF(Products!$E$5:$E$300,A712,Products!$K$5:$K$300)+SUMIF(RM_Lots!$A$5:$A$400,A712,RM_Lots!$F$5:$F$400))+IF(W712="Y",SUMIF(Products!$E$5:$E$300,A712,Products!$L$5:$L$300),0))*(1+N(V712)))</f>
        <v>0</v>
      </c>
      <c r="AC712" s="17" t="n">
        <f aca="false">IF(J712="",1,MAX(1,COUNTIFS($J$5:$J$863,J712,$F$5:$F$863,"Y")))</f>
        <v>1</v>
      </c>
      <c r="AD712" s="18" t="n">
        <f aca="false">(MAX(1,N(I712))*(P712+N(S712))+MAX(1,N(I712))*N(K712)/(MAX(1,N(U712))*AC712))*Settings!$B$9</f>
        <v>0</v>
      </c>
      <c r="AE712" s="18" t="n">
        <f aca="false">(MAX(1,N(I712))*N(Q712)+MAX(1,N(I712))*N(L712)/(MAX(1,N(U712))*AC712))*Settings!$B$8</f>
        <v>0</v>
      </c>
      <c r="AF712" s="18" t="n">
        <f aca="false">MAX(1,N(I712))*N(T712)</f>
        <v>0</v>
      </c>
      <c r="AG712" s="15" t="n">
        <f aca="false">AA712*N(AD712)</f>
        <v>0</v>
      </c>
      <c r="AH712" s="15" t="n">
        <f aca="false">AA712*N(AE712)</f>
        <v>0</v>
      </c>
      <c r="AI712" s="15" t="n">
        <f aca="false">AA712*N(AF712)</f>
        <v>0</v>
      </c>
      <c r="AJ712" s="15" t="n">
        <f aca="false">AA712*N(R712)</f>
        <v>0</v>
      </c>
      <c r="AK712" s="15" t="n">
        <f aca="false">AB712*N(AD712)</f>
        <v>0</v>
      </c>
      <c r="AL712" s="15" t="n">
        <f aca="false">AB712*N(AE712)</f>
        <v>0</v>
      </c>
      <c r="AM712" s="15" t="n">
        <f aca="false">AB712*N(AF712)</f>
        <v>0</v>
      </c>
      <c r="AN712" s="15" t="n">
        <f aca="false">AB712*N(R712)</f>
        <v>0</v>
      </c>
      <c r="AO712" s="21" t="str">
        <f aca="false">IF(F712&lt;&gt;"Y","n/a",IF(AND(N712&lt;&gt;"",OR(Q712&lt;&gt;"",G712="Other / bench",G712="None"),U712&lt;&gt;""),"OK","Missing"))</f>
        <v>n/a</v>
      </c>
    </row>
    <row r="713" customFormat="false" ht="15" hidden="false" customHeight="false" outlineLevel="0" collapsed="false">
      <c r="A713" s="16"/>
      <c r="B713" s="16"/>
      <c r="C713" s="16"/>
      <c r="D713" s="16"/>
      <c r="E713" s="21" t="str">
        <f aca="false">IF(A713="","",A713&amp;"|"&amp;D713)</f>
        <v/>
      </c>
      <c r="F713" s="16"/>
      <c r="G713" s="16"/>
      <c r="H713" s="16"/>
      <c r="I713" s="16"/>
      <c r="J713" s="16"/>
      <c r="K713" s="14"/>
      <c r="L713" s="14"/>
      <c r="M713" s="14"/>
      <c r="N713" s="14"/>
      <c r="O713" s="14"/>
      <c r="P713" s="18" t="n">
        <f aca="false">IF(N713="",0,IF(OR(M713="",O713=""),N713,(M713+4*N713+O713)/6))</f>
        <v>0</v>
      </c>
      <c r="Q713" s="14"/>
      <c r="R713" s="14"/>
      <c r="S713" s="14"/>
      <c r="T713" s="14"/>
      <c r="U713" s="16"/>
      <c r="V713" s="13"/>
      <c r="W713" s="16"/>
      <c r="X713" s="16"/>
      <c r="Y713" s="16"/>
      <c r="Z713" s="16"/>
      <c r="AA713" s="22" t="n">
        <f aca="false">IF(F713&lt;&gt;"Y",0,((SUMIF(Products!$E$5:$E$300,A713,Products!$F$5:$F$300)+SUMIF(RM_Lots!$A$5:$A$400,A713,RM_Lots!$D$5:$D$400))+IF(W713="Y",SUMIF(Products!$E$5:$E$300,A713,Products!$G$5:$G$300),0))*(1+N(V713)))</f>
        <v>0</v>
      </c>
      <c r="AB713" s="22" t="n">
        <f aca="false">IF(F713&lt;&gt;"Y",0,((SUMIF(Products!$E$5:$E$300,A713,Products!$K$5:$K$300)+SUMIF(RM_Lots!$A$5:$A$400,A713,RM_Lots!$F$5:$F$400))+IF(W713="Y",SUMIF(Products!$E$5:$E$300,A713,Products!$L$5:$L$300),0))*(1+N(V713)))</f>
        <v>0</v>
      </c>
      <c r="AC713" s="17" t="n">
        <f aca="false">IF(J713="",1,MAX(1,COUNTIFS($J$5:$J$863,J713,$F$5:$F$863,"Y")))</f>
        <v>1</v>
      </c>
      <c r="AD713" s="18" t="n">
        <f aca="false">(MAX(1,N(I713))*(P713+N(S713))+MAX(1,N(I713))*N(K713)/(MAX(1,N(U713))*AC713))*Settings!$B$9</f>
        <v>0</v>
      </c>
      <c r="AE713" s="18" t="n">
        <f aca="false">(MAX(1,N(I713))*N(Q713)+MAX(1,N(I713))*N(L713)/(MAX(1,N(U713))*AC713))*Settings!$B$8</f>
        <v>0</v>
      </c>
      <c r="AF713" s="18" t="n">
        <f aca="false">MAX(1,N(I713))*N(T713)</f>
        <v>0</v>
      </c>
      <c r="AG713" s="15" t="n">
        <f aca="false">AA713*N(AD713)</f>
        <v>0</v>
      </c>
      <c r="AH713" s="15" t="n">
        <f aca="false">AA713*N(AE713)</f>
        <v>0</v>
      </c>
      <c r="AI713" s="15" t="n">
        <f aca="false">AA713*N(AF713)</f>
        <v>0</v>
      </c>
      <c r="AJ713" s="15" t="n">
        <f aca="false">AA713*N(R713)</f>
        <v>0</v>
      </c>
      <c r="AK713" s="15" t="n">
        <f aca="false">AB713*N(AD713)</f>
        <v>0</v>
      </c>
      <c r="AL713" s="15" t="n">
        <f aca="false">AB713*N(AE713)</f>
        <v>0</v>
      </c>
      <c r="AM713" s="15" t="n">
        <f aca="false">AB713*N(AF713)</f>
        <v>0</v>
      </c>
      <c r="AN713" s="15" t="n">
        <f aca="false">AB713*N(R713)</f>
        <v>0</v>
      </c>
      <c r="AO713" s="21" t="str">
        <f aca="false">IF(F713&lt;&gt;"Y","n/a",IF(AND(N713&lt;&gt;"",OR(Q713&lt;&gt;"",G713="Other / bench",G713="None"),U713&lt;&gt;""),"OK","Missing"))</f>
        <v>n/a</v>
      </c>
    </row>
    <row r="714" customFormat="false" ht="15" hidden="false" customHeight="false" outlineLevel="0" collapsed="false">
      <c r="A714" s="16"/>
      <c r="B714" s="16"/>
      <c r="C714" s="16"/>
      <c r="D714" s="16"/>
      <c r="E714" s="21" t="str">
        <f aca="false">IF(A714="","",A714&amp;"|"&amp;D714)</f>
        <v/>
      </c>
      <c r="F714" s="16"/>
      <c r="G714" s="16"/>
      <c r="H714" s="16"/>
      <c r="I714" s="16"/>
      <c r="J714" s="16"/>
      <c r="K714" s="14"/>
      <c r="L714" s="14"/>
      <c r="M714" s="14"/>
      <c r="N714" s="14"/>
      <c r="O714" s="14"/>
      <c r="P714" s="18" t="n">
        <f aca="false">IF(N714="",0,IF(OR(M714="",O714=""),N714,(M714+4*N714+O714)/6))</f>
        <v>0</v>
      </c>
      <c r="Q714" s="14"/>
      <c r="R714" s="14"/>
      <c r="S714" s="14"/>
      <c r="T714" s="14"/>
      <c r="U714" s="16"/>
      <c r="V714" s="13"/>
      <c r="W714" s="16"/>
      <c r="X714" s="16"/>
      <c r="Y714" s="16"/>
      <c r="Z714" s="16"/>
      <c r="AA714" s="22" t="n">
        <f aca="false">IF(F714&lt;&gt;"Y",0,((SUMIF(Products!$E$5:$E$300,A714,Products!$F$5:$F$300)+SUMIF(RM_Lots!$A$5:$A$400,A714,RM_Lots!$D$5:$D$400))+IF(W714="Y",SUMIF(Products!$E$5:$E$300,A714,Products!$G$5:$G$300),0))*(1+N(V714)))</f>
        <v>0</v>
      </c>
      <c r="AB714" s="22" t="n">
        <f aca="false">IF(F714&lt;&gt;"Y",0,((SUMIF(Products!$E$5:$E$300,A714,Products!$K$5:$K$300)+SUMIF(RM_Lots!$A$5:$A$400,A714,RM_Lots!$F$5:$F$400))+IF(W714="Y",SUMIF(Products!$E$5:$E$300,A714,Products!$L$5:$L$300),0))*(1+N(V714)))</f>
        <v>0</v>
      </c>
      <c r="AC714" s="17" t="n">
        <f aca="false">IF(J714="",1,MAX(1,COUNTIFS($J$5:$J$863,J714,$F$5:$F$863,"Y")))</f>
        <v>1</v>
      </c>
      <c r="AD714" s="18" t="n">
        <f aca="false">(MAX(1,N(I714))*(P714+N(S714))+MAX(1,N(I714))*N(K714)/(MAX(1,N(U714))*AC714))*Settings!$B$9</f>
        <v>0</v>
      </c>
      <c r="AE714" s="18" t="n">
        <f aca="false">(MAX(1,N(I714))*N(Q714)+MAX(1,N(I714))*N(L714)/(MAX(1,N(U714))*AC714))*Settings!$B$8</f>
        <v>0</v>
      </c>
      <c r="AF714" s="18" t="n">
        <f aca="false">MAX(1,N(I714))*N(T714)</f>
        <v>0</v>
      </c>
      <c r="AG714" s="15" t="n">
        <f aca="false">AA714*N(AD714)</f>
        <v>0</v>
      </c>
      <c r="AH714" s="15" t="n">
        <f aca="false">AA714*N(AE714)</f>
        <v>0</v>
      </c>
      <c r="AI714" s="15" t="n">
        <f aca="false">AA714*N(AF714)</f>
        <v>0</v>
      </c>
      <c r="AJ714" s="15" t="n">
        <f aca="false">AA714*N(R714)</f>
        <v>0</v>
      </c>
      <c r="AK714" s="15" t="n">
        <f aca="false">AB714*N(AD714)</f>
        <v>0</v>
      </c>
      <c r="AL714" s="15" t="n">
        <f aca="false">AB714*N(AE714)</f>
        <v>0</v>
      </c>
      <c r="AM714" s="15" t="n">
        <f aca="false">AB714*N(AF714)</f>
        <v>0</v>
      </c>
      <c r="AN714" s="15" t="n">
        <f aca="false">AB714*N(R714)</f>
        <v>0</v>
      </c>
      <c r="AO714" s="21" t="str">
        <f aca="false">IF(F714&lt;&gt;"Y","n/a",IF(AND(N714&lt;&gt;"",OR(Q714&lt;&gt;"",G714="Other / bench",G714="None"),U714&lt;&gt;""),"OK","Missing"))</f>
        <v>n/a</v>
      </c>
    </row>
    <row r="715" customFormat="false" ht="15" hidden="false" customHeight="false" outlineLevel="0" collapsed="false">
      <c r="A715" s="16"/>
      <c r="B715" s="16"/>
      <c r="C715" s="16"/>
      <c r="D715" s="16"/>
      <c r="E715" s="21" t="str">
        <f aca="false">IF(A715="","",A715&amp;"|"&amp;D715)</f>
        <v/>
      </c>
      <c r="F715" s="16"/>
      <c r="G715" s="16"/>
      <c r="H715" s="16"/>
      <c r="I715" s="16"/>
      <c r="J715" s="16"/>
      <c r="K715" s="14"/>
      <c r="L715" s="14"/>
      <c r="M715" s="14"/>
      <c r="N715" s="14"/>
      <c r="O715" s="14"/>
      <c r="P715" s="18" t="n">
        <f aca="false">IF(N715="",0,IF(OR(M715="",O715=""),N715,(M715+4*N715+O715)/6))</f>
        <v>0</v>
      </c>
      <c r="Q715" s="14"/>
      <c r="R715" s="14"/>
      <c r="S715" s="14"/>
      <c r="T715" s="14"/>
      <c r="U715" s="16"/>
      <c r="V715" s="13"/>
      <c r="W715" s="16"/>
      <c r="X715" s="16"/>
      <c r="Y715" s="16"/>
      <c r="Z715" s="16"/>
      <c r="AA715" s="22" t="n">
        <f aca="false">IF(F715&lt;&gt;"Y",0,((SUMIF(Products!$E$5:$E$300,A715,Products!$F$5:$F$300)+SUMIF(RM_Lots!$A$5:$A$400,A715,RM_Lots!$D$5:$D$400))+IF(W715="Y",SUMIF(Products!$E$5:$E$300,A715,Products!$G$5:$G$300),0))*(1+N(V715)))</f>
        <v>0</v>
      </c>
      <c r="AB715" s="22" t="n">
        <f aca="false">IF(F715&lt;&gt;"Y",0,((SUMIF(Products!$E$5:$E$300,A715,Products!$K$5:$K$300)+SUMIF(RM_Lots!$A$5:$A$400,A715,RM_Lots!$F$5:$F$400))+IF(W715="Y",SUMIF(Products!$E$5:$E$300,A715,Products!$L$5:$L$300),0))*(1+N(V715)))</f>
        <v>0</v>
      </c>
      <c r="AC715" s="17" t="n">
        <f aca="false">IF(J715="",1,MAX(1,COUNTIFS($J$5:$J$863,J715,$F$5:$F$863,"Y")))</f>
        <v>1</v>
      </c>
      <c r="AD715" s="18" t="n">
        <f aca="false">(MAX(1,N(I715))*(P715+N(S715))+MAX(1,N(I715))*N(K715)/(MAX(1,N(U715))*AC715))*Settings!$B$9</f>
        <v>0</v>
      </c>
      <c r="AE715" s="18" t="n">
        <f aca="false">(MAX(1,N(I715))*N(Q715)+MAX(1,N(I715))*N(L715)/(MAX(1,N(U715))*AC715))*Settings!$B$8</f>
        <v>0</v>
      </c>
      <c r="AF715" s="18" t="n">
        <f aca="false">MAX(1,N(I715))*N(T715)</f>
        <v>0</v>
      </c>
      <c r="AG715" s="15" t="n">
        <f aca="false">AA715*N(AD715)</f>
        <v>0</v>
      </c>
      <c r="AH715" s="15" t="n">
        <f aca="false">AA715*N(AE715)</f>
        <v>0</v>
      </c>
      <c r="AI715" s="15" t="n">
        <f aca="false">AA715*N(AF715)</f>
        <v>0</v>
      </c>
      <c r="AJ715" s="15" t="n">
        <f aca="false">AA715*N(R715)</f>
        <v>0</v>
      </c>
      <c r="AK715" s="15" t="n">
        <f aca="false">AB715*N(AD715)</f>
        <v>0</v>
      </c>
      <c r="AL715" s="15" t="n">
        <f aca="false">AB715*N(AE715)</f>
        <v>0</v>
      </c>
      <c r="AM715" s="15" t="n">
        <f aca="false">AB715*N(AF715)</f>
        <v>0</v>
      </c>
      <c r="AN715" s="15" t="n">
        <f aca="false">AB715*N(R715)</f>
        <v>0</v>
      </c>
      <c r="AO715" s="21" t="str">
        <f aca="false">IF(F715&lt;&gt;"Y","n/a",IF(AND(N715&lt;&gt;"",OR(Q715&lt;&gt;"",G715="Other / bench",G715="None"),U715&lt;&gt;""),"OK","Missing"))</f>
        <v>n/a</v>
      </c>
    </row>
    <row r="716" customFormat="false" ht="15" hidden="false" customHeight="false" outlineLevel="0" collapsed="false">
      <c r="A716" s="16"/>
      <c r="B716" s="16"/>
      <c r="C716" s="16"/>
      <c r="D716" s="16"/>
      <c r="E716" s="21" t="str">
        <f aca="false">IF(A716="","",A716&amp;"|"&amp;D716)</f>
        <v/>
      </c>
      <c r="F716" s="16"/>
      <c r="G716" s="16"/>
      <c r="H716" s="16"/>
      <c r="I716" s="16"/>
      <c r="J716" s="16"/>
      <c r="K716" s="14"/>
      <c r="L716" s="14"/>
      <c r="M716" s="14"/>
      <c r="N716" s="14"/>
      <c r="O716" s="14"/>
      <c r="P716" s="18" t="n">
        <f aca="false">IF(N716="",0,IF(OR(M716="",O716=""),N716,(M716+4*N716+O716)/6))</f>
        <v>0</v>
      </c>
      <c r="Q716" s="14"/>
      <c r="R716" s="14"/>
      <c r="S716" s="14"/>
      <c r="T716" s="14"/>
      <c r="U716" s="16"/>
      <c r="V716" s="13"/>
      <c r="W716" s="16"/>
      <c r="X716" s="16"/>
      <c r="Y716" s="16"/>
      <c r="Z716" s="16"/>
      <c r="AA716" s="22" t="n">
        <f aca="false">IF(F716&lt;&gt;"Y",0,((SUMIF(Products!$E$5:$E$300,A716,Products!$F$5:$F$300)+SUMIF(RM_Lots!$A$5:$A$400,A716,RM_Lots!$D$5:$D$400))+IF(W716="Y",SUMIF(Products!$E$5:$E$300,A716,Products!$G$5:$G$300),0))*(1+N(V716)))</f>
        <v>0</v>
      </c>
      <c r="AB716" s="22" t="n">
        <f aca="false">IF(F716&lt;&gt;"Y",0,((SUMIF(Products!$E$5:$E$300,A716,Products!$K$5:$K$300)+SUMIF(RM_Lots!$A$5:$A$400,A716,RM_Lots!$F$5:$F$400))+IF(W716="Y",SUMIF(Products!$E$5:$E$300,A716,Products!$L$5:$L$300),0))*(1+N(V716)))</f>
        <v>0</v>
      </c>
      <c r="AC716" s="17" t="n">
        <f aca="false">IF(J716="",1,MAX(1,COUNTIFS($J$5:$J$863,J716,$F$5:$F$863,"Y")))</f>
        <v>1</v>
      </c>
      <c r="AD716" s="18" t="n">
        <f aca="false">(MAX(1,N(I716))*(P716+N(S716))+MAX(1,N(I716))*N(K716)/(MAX(1,N(U716))*AC716))*Settings!$B$9</f>
        <v>0</v>
      </c>
      <c r="AE716" s="18" t="n">
        <f aca="false">(MAX(1,N(I716))*N(Q716)+MAX(1,N(I716))*N(L716)/(MAX(1,N(U716))*AC716))*Settings!$B$8</f>
        <v>0</v>
      </c>
      <c r="AF716" s="18" t="n">
        <f aca="false">MAX(1,N(I716))*N(T716)</f>
        <v>0</v>
      </c>
      <c r="AG716" s="15" t="n">
        <f aca="false">AA716*N(AD716)</f>
        <v>0</v>
      </c>
      <c r="AH716" s="15" t="n">
        <f aca="false">AA716*N(AE716)</f>
        <v>0</v>
      </c>
      <c r="AI716" s="15" t="n">
        <f aca="false">AA716*N(AF716)</f>
        <v>0</v>
      </c>
      <c r="AJ716" s="15" t="n">
        <f aca="false">AA716*N(R716)</f>
        <v>0</v>
      </c>
      <c r="AK716" s="15" t="n">
        <f aca="false">AB716*N(AD716)</f>
        <v>0</v>
      </c>
      <c r="AL716" s="15" t="n">
        <f aca="false">AB716*N(AE716)</f>
        <v>0</v>
      </c>
      <c r="AM716" s="15" t="n">
        <f aca="false">AB716*N(AF716)</f>
        <v>0</v>
      </c>
      <c r="AN716" s="15" t="n">
        <f aca="false">AB716*N(R716)</f>
        <v>0</v>
      </c>
      <c r="AO716" s="21" t="str">
        <f aca="false">IF(F716&lt;&gt;"Y","n/a",IF(AND(N716&lt;&gt;"",OR(Q716&lt;&gt;"",G716="Other / bench",G716="None"),U716&lt;&gt;""),"OK","Missing"))</f>
        <v>n/a</v>
      </c>
    </row>
    <row r="717" customFormat="false" ht="15" hidden="false" customHeight="false" outlineLevel="0" collapsed="false">
      <c r="A717" s="16"/>
      <c r="B717" s="16"/>
      <c r="C717" s="16"/>
      <c r="D717" s="16"/>
      <c r="E717" s="21" t="str">
        <f aca="false">IF(A717="","",A717&amp;"|"&amp;D717)</f>
        <v/>
      </c>
      <c r="F717" s="16"/>
      <c r="G717" s="16"/>
      <c r="H717" s="16"/>
      <c r="I717" s="16"/>
      <c r="J717" s="16"/>
      <c r="K717" s="14"/>
      <c r="L717" s="14"/>
      <c r="M717" s="14"/>
      <c r="N717" s="14"/>
      <c r="O717" s="14"/>
      <c r="P717" s="18" t="n">
        <f aca="false">IF(N717="",0,IF(OR(M717="",O717=""),N717,(M717+4*N717+O717)/6))</f>
        <v>0</v>
      </c>
      <c r="Q717" s="14"/>
      <c r="R717" s="14"/>
      <c r="S717" s="14"/>
      <c r="T717" s="14"/>
      <c r="U717" s="16"/>
      <c r="V717" s="13"/>
      <c r="W717" s="16"/>
      <c r="X717" s="16"/>
      <c r="Y717" s="16"/>
      <c r="Z717" s="16"/>
      <c r="AA717" s="22" t="n">
        <f aca="false">IF(F717&lt;&gt;"Y",0,((SUMIF(Products!$E$5:$E$300,A717,Products!$F$5:$F$300)+SUMIF(RM_Lots!$A$5:$A$400,A717,RM_Lots!$D$5:$D$400))+IF(W717="Y",SUMIF(Products!$E$5:$E$300,A717,Products!$G$5:$G$300),0))*(1+N(V717)))</f>
        <v>0</v>
      </c>
      <c r="AB717" s="22" t="n">
        <f aca="false">IF(F717&lt;&gt;"Y",0,((SUMIF(Products!$E$5:$E$300,A717,Products!$K$5:$K$300)+SUMIF(RM_Lots!$A$5:$A$400,A717,RM_Lots!$F$5:$F$400))+IF(W717="Y",SUMIF(Products!$E$5:$E$300,A717,Products!$L$5:$L$300),0))*(1+N(V717)))</f>
        <v>0</v>
      </c>
      <c r="AC717" s="17" t="n">
        <f aca="false">IF(J717="",1,MAX(1,COUNTIFS($J$5:$J$863,J717,$F$5:$F$863,"Y")))</f>
        <v>1</v>
      </c>
      <c r="AD717" s="18" t="n">
        <f aca="false">(MAX(1,N(I717))*(P717+N(S717))+MAX(1,N(I717))*N(K717)/(MAX(1,N(U717))*AC717))*Settings!$B$9</f>
        <v>0</v>
      </c>
      <c r="AE717" s="18" t="n">
        <f aca="false">(MAX(1,N(I717))*N(Q717)+MAX(1,N(I717))*N(L717)/(MAX(1,N(U717))*AC717))*Settings!$B$8</f>
        <v>0</v>
      </c>
      <c r="AF717" s="18" t="n">
        <f aca="false">MAX(1,N(I717))*N(T717)</f>
        <v>0</v>
      </c>
      <c r="AG717" s="15" t="n">
        <f aca="false">AA717*N(AD717)</f>
        <v>0</v>
      </c>
      <c r="AH717" s="15" t="n">
        <f aca="false">AA717*N(AE717)</f>
        <v>0</v>
      </c>
      <c r="AI717" s="15" t="n">
        <f aca="false">AA717*N(AF717)</f>
        <v>0</v>
      </c>
      <c r="AJ717" s="15" t="n">
        <f aca="false">AA717*N(R717)</f>
        <v>0</v>
      </c>
      <c r="AK717" s="15" t="n">
        <f aca="false">AB717*N(AD717)</f>
        <v>0</v>
      </c>
      <c r="AL717" s="15" t="n">
        <f aca="false">AB717*N(AE717)</f>
        <v>0</v>
      </c>
      <c r="AM717" s="15" t="n">
        <f aca="false">AB717*N(AF717)</f>
        <v>0</v>
      </c>
      <c r="AN717" s="15" t="n">
        <f aca="false">AB717*N(R717)</f>
        <v>0</v>
      </c>
      <c r="AO717" s="21" t="str">
        <f aca="false">IF(F717&lt;&gt;"Y","n/a",IF(AND(N717&lt;&gt;"",OR(Q717&lt;&gt;"",G717="Other / bench",G717="None"),U717&lt;&gt;""),"OK","Missing"))</f>
        <v>n/a</v>
      </c>
    </row>
    <row r="718" customFormat="false" ht="15" hidden="false" customHeight="false" outlineLevel="0" collapsed="false">
      <c r="A718" s="16"/>
      <c r="B718" s="16"/>
      <c r="C718" s="16"/>
      <c r="D718" s="16"/>
      <c r="E718" s="21" t="str">
        <f aca="false">IF(A718="","",A718&amp;"|"&amp;D718)</f>
        <v/>
      </c>
      <c r="F718" s="16"/>
      <c r="G718" s="16"/>
      <c r="H718" s="16"/>
      <c r="I718" s="16"/>
      <c r="J718" s="16"/>
      <c r="K718" s="14"/>
      <c r="L718" s="14"/>
      <c r="M718" s="14"/>
      <c r="N718" s="14"/>
      <c r="O718" s="14"/>
      <c r="P718" s="18" t="n">
        <f aca="false">IF(N718="",0,IF(OR(M718="",O718=""),N718,(M718+4*N718+O718)/6))</f>
        <v>0</v>
      </c>
      <c r="Q718" s="14"/>
      <c r="R718" s="14"/>
      <c r="S718" s="14"/>
      <c r="T718" s="14"/>
      <c r="U718" s="16"/>
      <c r="V718" s="13"/>
      <c r="W718" s="16"/>
      <c r="X718" s="16"/>
      <c r="Y718" s="16"/>
      <c r="Z718" s="16"/>
      <c r="AA718" s="22" t="n">
        <f aca="false">IF(F718&lt;&gt;"Y",0,((SUMIF(Products!$E$5:$E$300,A718,Products!$F$5:$F$300)+SUMIF(RM_Lots!$A$5:$A$400,A718,RM_Lots!$D$5:$D$400))+IF(W718="Y",SUMIF(Products!$E$5:$E$300,A718,Products!$G$5:$G$300),0))*(1+N(V718)))</f>
        <v>0</v>
      </c>
      <c r="AB718" s="22" t="n">
        <f aca="false">IF(F718&lt;&gt;"Y",0,((SUMIF(Products!$E$5:$E$300,A718,Products!$K$5:$K$300)+SUMIF(RM_Lots!$A$5:$A$400,A718,RM_Lots!$F$5:$F$400))+IF(W718="Y",SUMIF(Products!$E$5:$E$300,A718,Products!$L$5:$L$300),0))*(1+N(V718)))</f>
        <v>0</v>
      </c>
      <c r="AC718" s="17" t="n">
        <f aca="false">IF(J718="",1,MAX(1,COUNTIFS($J$5:$J$863,J718,$F$5:$F$863,"Y")))</f>
        <v>1</v>
      </c>
      <c r="AD718" s="18" t="n">
        <f aca="false">(MAX(1,N(I718))*(P718+N(S718))+MAX(1,N(I718))*N(K718)/(MAX(1,N(U718))*AC718))*Settings!$B$9</f>
        <v>0</v>
      </c>
      <c r="AE718" s="18" t="n">
        <f aca="false">(MAX(1,N(I718))*N(Q718)+MAX(1,N(I718))*N(L718)/(MAX(1,N(U718))*AC718))*Settings!$B$8</f>
        <v>0</v>
      </c>
      <c r="AF718" s="18" t="n">
        <f aca="false">MAX(1,N(I718))*N(T718)</f>
        <v>0</v>
      </c>
      <c r="AG718" s="15" t="n">
        <f aca="false">AA718*N(AD718)</f>
        <v>0</v>
      </c>
      <c r="AH718" s="15" t="n">
        <f aca="false">AA718*N(AE718)</f>
        <v>0</v>
      </c>
      <c r="AI718" s="15" t="n">
        <f aca="false">AA718*N(AF718)</f>
        <v>0</v>
      </c>
      <c r="AJ718" s="15" t="n">
        <f aca="false">AA718*N(R718)</f>
        <v>0</v>
      </c>
      <c r="AK718" s="15" t="n">
        <f aca="false">AB718*N(AD718)</f>
        <v>0</v>
      </c>
      <c r="AL718" s="15" t="n">
        <f aca="false">AB718*N(AE718)</f>
        <v>0</v>
      </c>
      <c r="AM718" s="15" t="n">
        <f aca="false">AB718*N(AF718)</f>
        <v>0</v>
      </c>
      <c r="AN718" s="15" t="n">
        <f aca="false">AB718*N(R718)</f>
        <v>0</v>
      </c>
      <c r="AO718" s="21" t="str">
        <f aca="false">IF(F718&lt;&gt;"Y","n/a",IF(AND(N718&lt;&gt;"",OR(Q718&lt;&gt;"",G718="Other / bench",G718="None"),U718&lt;&gt;""),"OK","Missing"))</f>
        <v>n/a</v>
      </c>
    </row>
    <row r="719" customFormat="false" ht="15" hidden="false" customHeight="false" outlineLevel="0" collapsed="false">
      <c r="A719" s="16"/>
      <c r="B719" s="16"/>
      <c r="C719" s="16"/>
      <c r="D719" s="16"/>
      <c r="E719" s="21" t="str">
        <f aca="false">IF(A719="","",A719&amp;"|"&amp;D719)</f>
        <v/>
      </c>
      <c r="F719" s="16"/>
      <c r="G719" s="16"/>
      <c r="H719" s="16"/>
      <c r="I719" s="16"/>
      <c r="J719" s="16"/>
      <c r="K719" s="14"/>
      <c r="L719" s="14"/>
      <c r="M719" s="14"/>
      <c r="N719" s="14"/>
      <c r="O719" s="14"/>
      <c r="P719" s="18" t="n">
        <f aca="false">IF(N719="",0,IF(OR(M719="",O719=""),N719,(M719+4*N719+O719)/6))</f>
        <v>0</v>
      </c>
      <c r="Q719" s="14"/>
      <c r="R719" s="14"/>
      <c r="S719" s="14"/>
      <c r="T719" s="14"/>
      <c r="U719" s="16"/>
      <c r="V719" s="13"/>
      <c r="W719" s="16"/>
      <c r="X719" s="16"/>
      <c r="Y719" s="16"/>
      <c r="Z719" s="16"/>
      <c r="AA719" s="22" t="n">
        <f aca="false">IF(F719&lt;&gt;"Y",0,((SUMIF(Products!$E$5:$E$300,A719,Products!$F$5:$F$300)+SUMIF(RM_Lots!$A$5:$A$400,A719,RM_Lots!$D$5:$D$400))+IF(W719="Y",SUMIF(Products!$E$5:$E$300,A719,Products!$G$5:$G$300),0))*(1+N(V719)))</f>
        <v>0</v>
      </c>
      <c r="AB719" s="22" t="n">
        <f aca="false">IF(F719&lt;&gt;"Y",0,((SUMIF(Products!$E$5:$E$300,A719,Products!$K$5:$K$300)+SUMIF(RM_Lots!$A$5:$A$400,A719,RM_Lots!$F$5:$F$400))+IF(W719="Y",SUMIF(Products!$E$5:$E$300,A719,Products!$L$5:$L$300),0))*(1+N(V719)))</f>
        <v>0</v>
      </c>
      <c r="AC719" s="17" t="n">
        <f aca="false">IF(J719="",1,MAX(1,COUNTIFS($J$5:$J$863,J719,$F$5:$F$863,"Y")))</f>
        <v>1</v>
      </c>
      <c r="AD719" s="18" t="n">
        <f aca="false">(MAX(1,N(I719))*(P719+N(S719))+MAX(1,N(I719))*N(K719)/(MAX(1,N(U719))*AC719))*Settings!$B$9</f>
        <v>0</v>
      </c>
      <c r="AE719" s="18" t="n">
        <f aca="false">(MAX(1,N(I719))*N(Q719)+MAX(1,N(I719))*N(L719)/(MAX(1,N(U719))*AC719))*Settings!$B$8</f>
        <v>0</v>
      </c>
      <c r="AF719" s="18" t="n">
        <f aca="false">MAX(1,N(I719))*N(T719)</f>
        <v>0</v>
      </c>
      <c r="AG719" s="15" t="n">
        <f aca="false">AA719*N(AD719)</f>
        <v>0</v>
      </c>
      <c r="AH719" s="15" t="n">
        <f aca="false">AA719*N(AE719)</f>
        <v>0</v>
      </c>
      <c r="AI719" s="15" t="n">
        <f aca="false">AA719*N(AF719)</f>
        <v>0</v>
      </c>
      <c r="AJ719" s="15" t="n">
        <f aca="false">AA719*N(R719)</f>
        <v>0</v>
      </c>
      <c r="AK719" s="15" t="n">
        <f aca="false">AB719*N(AD719)</f>
        <v>0</v>
      </c>
      <c r="AL719" s="15" t="n">
        <f aca="false">AB719*N(AE719)</f>
        <v>0</v>
      </c>
      <c r="AM719" s="15" t="n">
        <f aca="false">AB719*N(AF719)</f>
        <v>0</v>
      </c>
      <c r="AN719" s="15" t="n">
        <f aca="false">AB719*N(R719)</f>
        <v>0</v>
      </c>
      <c r="AO719" s="21" t="str">
        <f aca="false">IF(F719&lt;&gt;"Y","n/a",IF(AND(N719&lt;&gt;"",OR(Q719&lt;&gt;"",G719="Other / bench",G719="None"),U719&lt;&gt;""),"OK","Missing"))</f>
        <v>n/a</v>
      </c>
    </row>
    <row r="720" customFormat="false" ht="15" hidden="false" customHeight="false" outlineLevel="0" collapsed="false">
      <c r="A720" s="16"/>
      <c r="B720" s="16"/>
      <c r="C720" s="16"/>
      <c r="D720" s="16"/>
      <c r="E720" s="21" t="str">
        <f aca="false">IF(A720="","",A720&amp;"|"&amp;D720)</f>
        <v/>
      </c>
      <c r="F720" s="16"/>
      <c r="G720" s="16"/>
      <c r="H720" s="16"/>
      <c r="I720" s="16"/>
      <c r="J720" s="16"/>
      <c r="K720" s="14"/>
      <c r="L720" s="14"/>
      <c r="M720" s="14"/>
      <c r="N720" s="14"/>
      <c r="O720" s="14"/>
      <c r="P720" s="18" t="n">
        <f aca="false">IF(N720="",0,IF(OR(M720="",O720=""),N720,(M720+4*N720+O720)/6))</f>
        <v>0</v>
      </c>
      <c r="Q720" s="14"/>
      <c r="R720" s="14"/>
      <c r="S720" s="14"/>
      <c r="T720" s="14"/>
      <c r="U720" s="16"/>
      <c r="V720" s="13"/>
      <c r="W720" s="16"/>
      <c r="X720" s="16"/>
      <c r="Y720" s="16"/>
      <c r="Z720" s="16"/>
      <c r="AA720" s="22" t="n">
        <f aca="false">IF(F720&lt;&gt;"Y",0,((SUMIF(Products!$E$5:$E$300,A720,Products!$F$5:$F$300)+SUMIF(RM_Lots!$A$5:$A$400,A720,RM_Lots!$D$5:$D$400))+IF(W720="Y",SUMIF(Products!$E$5:$E$300,A720,Products!$G$5:$G$300),0))*(1+N(V720)))</f>
        <v>0</v>
      </c>
      <c r="AB720" s="22" t="n">
        <f aca="false">IF(F720&lt;&gt;"Y",0,((SUMIF(Products!$E$5:$E$300,A720,Products!$K$5:$K$300)+SUMIF(RM_Lots!$A$5:$A$400,A720,RM_Lots!$F$5:$F$400))+IF(W720="Y",SUMIF(Products!$E$5:$E$300,A720,Products!$L$5:$L$300),0))*(1+N(V720)))</f>
        <v>0</v>
      </c>
      <c r="AC720" s="17" t="n">
        <f aca="false">IF(J720="",1,MAX(1,COUNTIFS($J$5:$J$863,J720,$F$5:$F$863,"Y")))</f>
        <v>1</v>
      </c>
      <c r="AD720" s="18" t="n">
        <f aca="false">(MAX(1,N(I720))*(P720+N(S720))+MAX(1,N(I720))*N(K720)/(MAX(1,N(U720))*AC720))*Settings!$B$9</f>
        <v>0</v>
      </c>
      <c r="AE720" s="18" t="n">
        <f aca="false">(MAX(1,N(I720))*N(Q720)+MAX(1,N(I720))*N(L720)/(MAX(1,N(U720))*AC720))*Settings!$B$8</f>
        <v>0</v>
      </c>
      <c r="AF720" s="18" t="n">
        <f aca="false">MAX(1,N(I720))*N(T720)</f>
        <v>0</v>
      </c>
      <c r="AG720" s="15" t="n">
        <f aca="false">AA720*N(AD720)</f>
        <v>0</v>
      </c>
      <c r="AH720" s="15" t="n">
        <f aca="false">AA720*N(AE720)</f>
        <v>0</v>
      </c>
      <c r="AI720" s="15" t="n">
        <f aca="false">AA720*N(AF720)</f>
        <v>0</v>
      </c>
      <c r="AJ720" s="15" t="n">
        <f aca="false">AA720*N(R720)</f>
        <v>0</v>
      </c>
      <c r="AK720" s="15" t="n">
        <f aca="false">AB720*N(AD720)</f>
        <v>0</v>
      </c>
      <c r="AL720" s="15" t="n">
        <f aca="false">AB720*N(AE720)</f>
        <v>0</v>
      </c>
      <c r="AM720" s="15" t="n">
        <f aca="false">AB720*N(AF720)</f>
        <v>0</v>
      </c>
      <c r="AN720" s="15" t="n">
        <f aca="false">AB720*N(R720)</f>
        <v>0</v>
      </c>
      <c r="AO720" s="21" t="str">
        <f aca="false">IF(F720&lt;&gt;"Y","n/a",IF(AND(N720&lt;&gt;"",OR(Q720&lt;&gt;"",G720="Other / bench",G720="None"),U720&lt;&gt;""),"OK","Missing"))</f>
        <v>n/a</v>
      </c>
    </row>
    <row r="721" customFormat="false" ht="15" hidden="false" customHeight="false" outlineLevel="0" collapsed="false">
      <c r="A721" s="16"/>
      <c r="B721" s="16"/>
      <c r="C721" s="16"/>
      <c r="D721" s="16"/>
      <c r="E721" s="21" t="str">
        <f aca="false">IF(A721="","",A721&amp;"|"&amp;D721)</f>
        <v/>
      </c>
      <c r="F721" s="16"/>
      <c r="G721" s="16"/>
      <c r="H721" s="16"/>
      <c r="I721" s="16"/>
      <c r="J721" s="16"/>
      <c r="K721" s="14"/>
      <c r="L721" s="14"/>
      <c r="M721" s="14"/>
      <c r="N721" s="14"/>
      <c r="O721" s="14"/>
      <c r="P721" s="18" t="n">
        <f aca="false">IF(N721="",0,IF(OR(M721="",O721=""),N721,(M721+4*N721+O721)/6))</f>
        <v>0</v>
      </c>
      <c r="Q721" s="14"/>
      <c r="R721" s="14"/>
      <c r="S721" s="14"/>
      <c r="T721" s="14"/>
      <c r="U721" s="16"/>
      <c r="V721" s="13"/>
      <c r="W721" s="16"/>
      <c r="X721" s="16"/>
      <c r="Y721" s="16"/>
      <c r="Z721" s="16"/>
      <c r="AA721" s="22" t="n">
        <f aca="false">IF(F721&lt;&gt;"Y",0,((SUMIF(Products!$E$5:$E$300,A721,Products!$F$5:$F$300)+SUMIF(RM_Lots!$A$5:$A$400,A721,RM_Lots!$D$5:$D$400))+IF(W721="Y",SUMIF(Products!$E$5:$E$300,A721,Products!$G$5:$G$300),0))*(1+N(V721)))</f>
        <v>0</v>
      </c>
      <c r="AB721" s="22" t="n">
        <f aca="false">IF(F721&lt;&gt;"Y",0,((SUMIF(Products!$E$5:$E$300,A721,Products!$K$5:$K$300)+SUMIF(RM_Lots!$A$5:$A$400,A721,RM_Lots!$F$5:$F$400))+IF(W721="Y",SUMIF(Products!$E$5:$E$300,A721,Products!$L$5:$L$300),0))*(1+N(V721)))</f>
        <v>0</v>
      </c>
      <c r="AC721" s="17" t="n">
        <f aca="false">IF(J721="",1,MAX(1,COUNTIFS($J$5:$J$863,J721,$F$5:$F$863,"Y")))</f>
        <v>1</v>
      </c>
      <c r="AD721" s="18" t="n">
        <f aca="false">(MAX(1,N(I721))*(P721+N(S721))+MAX(1,N(I721))*N(K721)/(MAX(1,N(U721))*AC721))*Settings!$B$9</f>
        <v>0</v>
      </c>
      <c r="AE721" s="18" t="n">
        <f aca="false">(MAX(1,N(I721))*N(Q721)+MAX(1,N(I721))*N(L721)/(MAX(1,N(U721))*AC721))*Settings!$B$8</f>
        <v>0</v>
      </c>
      <c r="AF721" s="18" t="n">
        <f aca="false">MAX(1,N(I721))*N(T721)</f>
        <v>0</v>
      </c>
      <c r="AG721" s="15" t="n">
        <f aca="false">AA721*N(AD721)</f>
        <v>0</v>
      </c>
      <c r="AH721" s="15" t="n">
        <f aca="false">AA721*N(AE721)</f>
        <v>0</v>
      </c>
      <c r="AI721" s="15" t="n">
        <f aca="false">AA721*N(AF721)</f>
        <v>0</v>
      </c>
      <c r="AJ721" s="15" t="n">
        <f aca="false">AA721*N(R721)</f>
        <v>0</v>
      </c>
      <c r="AK721" s="15" t="n">
        <f aca="false">AB721*N(AD721)</f>
        <v>0</v>
      </c>
      <c r="AL721" s="15" t="n">
        <f aca="false">AB721*N(AE721)</f>
        <v>0</v>
      </c>
      <c r="AM721" s="15" t="n">
        <f aca="false">AB721*N(AF721)</f>
        <v>0</v>
      </c>
      <c r="AN721" s="15" t="n">
        <f aca="false">AB721*N(R721)</f>
        <v>0</v>
      </c>
      <c r="AO721" s="21" t="str">
        <f aca="false">IF(F721&lt;&gt;"Y","n/a",IF(AND(N721&lt;&gt;"",OR(Q721&lt;&gt;"",G721="Other / bench",G721="None"),U721&lt;&gt;""),"OK","Missing"))</f>
        <v>n/a</v>
      </c>
    </row>
    <row r="722" customFormat="false" ht="15" hidden="false" customHeight="false" outlineLevel="0" collapsed="false">
      <c r="A722" s="16"/>
      <c r="B722" s="16"/>
      <c r="C722" s="16"/>
      <c r="D722" s="16"/>
      <c r="E722" s="21" t="str">
        <f aca="false">IF(A722="","",A722&amp;"|"&amp;D722)</f>
        <v/>
      </c>
      <c r="F722" s="16"/>
      <c r="G722" s="16"/>
      <c r="H722" s="16"/>
      <c r="I722" s="16"/>
      <c r="J722" s="16"/>
      <c r="K722" s="14"/>
      <c r="L722" s="14"/>
      <c r="M722" s="14"/>
      <c r="N722" s="14"/>
      <c r="O722" s="14"/>
      <c r="P722" s="18" t="n">
        <f aca="false">IF(N722="",0,IF(OR(M722="",O722=""),N722,(M722+4*N722+O722)/6))</f>
        <v>0</v>
      </c>
      <c r="Q722" s="14"/>
      <c r="R722" s="14"/>
      <c r="S722" s="14"/>
      <c r="T722" s="14"/>
      <c r="U722" s="16"/>
      <c r="V722" s="13"/>
      <c r="W722" s="16"/>
      <c r="X722" s="16"/>
      <c r="Y722" s="16"/>
      <c r="Z722" s="16"/>
      <c r="AA722" s="22" t="n">
        <f aca="false">IF(F722&lt;&gt;"Y",0,((SUMIF(Products!$E$5:$E$300,A722,Products!$F$5:$F$300)+SUMIF(RM_Lots!$A$5:$A$400,A722,RM_Lots!$D$5:$D$400))+IF(W722="Y",SUMIF(Products!$E$5:$E$300,A722,Products!$G$5:$G$300),0))*(1+N(V722)))</f>
        <v>0</v>
      </c>
      <c r="AB722" s="22" t="n">
        <f aca="false">IF(F722&lt;&gt;"Y",0,((SUMIF(Products!$E$5:$E$300,A722,Products!$K$5:$K$300)+SUMIF(RM_Lots!$A$5:$A$400,A722,RM_Lots!$F$5:$F$400))+IF(W722="Y",SUMIF(Products!$E$5:$E$300,A722,Products!$L$5:$L$300),0))*(1+N(V722)))</f>
        <v>0</v>
      </c>
      <c r="AC722" s="17" t="n">
        <f aca="false">IF(J722="",1,MAX(1,COUNTIFS($J$5:$J$863,J722,$F$5:$F$863,"Y")))</f>
        <v>1</v>
      </c>
      <c r="AD722" s="18" t="n">
        <f aca="false">(MAX(1,N(I722))*(P722+N(S722))+MAX(1,N(I722))*N(K722)/(MAX(1,N(U722))*AC722))*Settings!$B$9</f>
        <v>0</v>
      </c>
      <c r="AE722" s="18" t="n">
        <f aca="false">(MAX(1,N(I722))*N(Q722)+MAX(1,N(I722))*N(L722)/(MAX(1,N(U722))*AC722))*Settings!$B$8</f>
        <v>0</v>
      </c>
      <c r="AF722" s="18" t="n">
        <f aca="false">MAX(1,N(I722))*N(T722)</f>
        <v>0</v>
      </c>
      <c r="AG722" s="15" t="n">
        <f aca="false">AA722*N(AD722)</f>
        <v>0</v>
      </c>
      <c r="AH722" s="15" t="n">
        <f aca="false">AA722*N(AE722)</f>
        <v>0</v>
      </c>
      <c r="AI722" s="15" t="n">
        <f aca="false">AA722*N(AF722)</f>
        <v>0</v>
      </c>
      <c r="AJ722" s="15" t="n">
        <f aca="false">AA722*N(R722)</f>
        <v>0</v>
      </c>
      <c r="AK722" s="15" t="n">
        <f aca="false">AB722*N(AD722)</f>
        <v>0</v>
      </c>
      <c r="AL722" s="15" t="n">
        <f aca="false">AB722*N(AE722)</f>
        <v>0</v>
      </c>
      <c r="AM722" s="15" t="n">
        <f aca="false">AB722*N(AF722)</f>
        <v>0</v>
      </c>
      <c r="AN722" s="15" t="n">
        <f aca="false">AB722*N(R722)</f>
        <v>0</v>
      </c>
      <c r="AO722" s="21" t="str">
        <f aca="false">IF(F722&lt;&gt;"Y","n/a",IF(AND(N722&lt;&gt;"",OR(Q722&lt;&gt;"",G722="Other / bench",G722="None"),U722&lt;&gt;""),"OK","Missing"))</f>
        <v>n/a</v>
      </c>
    </row>
    <row r="723" customFormat="false" ht="15" hidden="false" customHeight="false" outlineLevel="0" collapsed="false">
      <c r="A723" s="16"/>
      <c r="B723" s="16"/>
      <c r="C723" s="16"/>
      <c r="D723" s="16"/>
      <c r="E723" s="21" t="str">
        <f aca="false">IF(A723="","",A723&amp;"|"&amp;D723)</f>
        <v/>
      </c>
      <c r="F723" s="16"/>
      <c r="G723" s="16"/>
      <c r="H723" s="16"/>
      <c r="I723" s="16"/>
      <c r="J723" s="16"/>
      <c r="K723" s="14"/>
      <c r="L723" s="14"/>
      <c r="M723" s="14"/>
      <c r="N723" s="14"/>
      <c r="O723" s="14"/>
      <c r="P723" s="18" t="n">
        <f aca="false">IF(N723="",0,IF(OR(M723="",O723=""),N723,(M723+4*N723+O723)/6))</f>
        <v>0</v>
      </c>
      <c r="Q723" s="14"/>
      <c r="R723" s="14"/>
      <c r="S723" s="14"/>
      <c r="T723" s="14"/>
      <c r="U723" s="16"/>
      <c r="V723" s="13"/>
      <c r="W723" s="16"/>
      <c r="X723" s="16"/>
      <c r="Y723" s="16"/>
      <c r="Z723" s="16"/>
      <c r="AA723" s="22" t="n">
        <f aca="false">IF(F723&lt;&gt;"Y",0,((SUMIF(Products!$E$5:$E$300,A723,Products!$F$5:$F$300)+SUMIF(RM_Lots!$A$5:$A$400,A723,RM_Lots!$D$5:$D$400))+IF(W723="Y",SUMIF(Products!$E$5:$E$300,A723,Products!$G$5:$G$300),0))*(1+N(V723)))</f>
        <v>0</v>
      </c>
      <c r="AB723" s="22" t="n">
        <f aca="false">IF(F723&lt;&gt;"Y",0,((SUMIF(Products!$E$5:$E$300,A723,Products!$K$5:$K$300)+SUMIF(RM_Lots!$A$5:$A$400,A723,RM_Lots!$F$5:$F$400))+IF(W723="Y",SUMIF(Products!$E$5:$E$300,A723,Products!$L$5:$L$300),0))*(1+N(V723)))</f>
        <v>0</v>
      </c>
      <c r="AC723" s="17" t="n">
        <f aca="false">IF(J723="",1,MAX(1,COUNTIFS($J$5:$J$863,J723,$F$5:$F$863,"Y")))</f>
        <v>1</v>
      </c>
      <c r="AD723" s="18" t="n">
        <f aca="false">(MAX(1,N(I723))*(P723+N(S723))+MAX(1,N(I723))*N(K723)/(MAX(1,N(U723))*AC723))*Settings!$B$9</f>
        <v>0</v>
      </c>
      <c r="AE723" s="18" t="n">
        <f aca="false">(MAX(1,N(I723))*N(Q723)+MAX(1,N(I723))*N(L723)/(MAX(1,N(U723))*AC723))*Settings!$B$8</f>
        <v>0</v>
      </c>
      <c r="AF723" s="18" t="n">
        <f aca="false">MAX(1,N(I723))*N(T723)</f>
        <v>0</v>
      </c>
      <c r="AG723" s="15" t="n">
        <f aca="false">AA723*N(AD723)</f>
        <v>0</v>
      </c>
      <c r="AH723" s="15" t="n">
        <f aca="false">AA723*N(AE723)</f>
        <v>0</v>
      </c>
      <c r="AI723" s="15" t="n">
        <f aca="false">AA723*N(AF723)</f>
        <v>0</v>
      </c>
      <c r="AJ723" s="15" t="n">
        <f aca="false">AA723*N(R723)</f>
        <v>0</v>
      </c>
      <c r="AK723" s="15" t="n">
        <f aca="false">AB723*N(AD723)</f>
        <v>0</v>
      </c>
      <c r="AL723" s="15" t="n">
        <f aca="false">AB723*N(AE723)</f>
        <v>0</v>
      </c>
      <c r="AM723" s="15" t="n">
        <f aca="false">AB723*N(AF723)</f>
        <v>0</v>
      </c>
      <c r="AN723" s="15" t="n">
        <f aca="false">AB723*N(R723)</f>
        <v>0</v>
      </c>
      <c r="AO723" s="21" t="str">
        <f aca="false">IF(F723&lt;&gt;"Y","n/a",IF(AND(N723&lt;&gt;"",OR(Q723&lt;&gt;"",G723="Other / bench",G723="None"),U723&lt;&gt;""),"OK","Missing"))</f>
        <v>n/a</v>
      </c>
    </row>
    <row r="724" customFormat="false" ht="15" hidden="false" customHeight="false" outlineLevel="0" collapsed="false">
      <c r="A724" s="16"/>
      <c r="B724" s="16"/>
      <c r="C724" s="16"/>
      <c r="D724" s="16"/>
      <c r="E724" s="21" t="str">
        <f aca="false">IF(A724="","",A724&amp;"|"&amp;D724)</f>
        <v/>
      </c>
      <c r="F724" s="16"/>
      <c r="G724" s="16"/>
      <c r="H724" s="16"/>
      <c r="I724" s="16"/>
      <c r="J724" s="16"/>
      <c r="K724" s="14"/>
      <c r="L724" s="14"/>
      <c r="M724" s="14"/>
      <c r="N724" s="14"/>
      <c r="O724" s="14"/>
      <c r="P724" s="18" t="n">
        <f aca="false">IF(N724="",0,IF(OR(M724="",O724=""),N724,(M724+4*N724+O724)/6))</f>
        <v>0</v>
      </c>
      <c r="Q724" s="14"/>
      <c r="R724" s="14"/>
      <c r="S724" s="14"/>
      <c r="T724" s="14"/>
      <c r="U724" s="16"/>
      <c r="V724" s="13"/>
      <c r="W724" s="16"/>
      <c r="X724" s="16"/>
      <c r="Y724" s="16"/>
      <c r="Z724" s="16"/>
      <c r="AA724" s="22" t="n">
        <f aca="false">IF(F724&lt;&gt;"Y",0,((SUMIF(Products!$E$5:$E$300,A724,Products!$F$5:$F$300)+SUMIF(RM_Lots!$A$5:$A$400,A724,RM_Lots!$D$5:$D$400))+IF(W724="Y",SUMIF(Products!$E$5:$E$300,A724,Products!$G$5:$G$300),0))*(1+N(V724)))</f>
        <v>0</v>
      </c>
      <c r="AB724" s="22" t="n">
        <f aca="false">IF(F724&lt;&gt;"Y",0,((SUMIF(Products!$E$5:$E$300,A724,Products!$K$5:$K$300)+SUMIF(RM_Lots!$A$5:$A$400,A724,RM_Lots!$F$5:$F$400))+IF(W724="Y",SUMIF(Products!$E$5:$E$300,A724,Products!$L$5:$L$300),0))*(1+N(V724)))</f>
        <v>0</v>
      </c>
      <c r="AC724" s="17" t="n">
        <f aca="false">IF(J724="",1,MAX(1,COUNTIFS($J$5:$J$863,J724,$F$5:$F$863,"Y")))</f>
        <v>1</v>
      </c>
      <c r="AD724" s="18" t="n">
        <f aca="false">(MAX(1,N(I724))*(P724+N(S724))+MAX(1,N(I724))*N(K724)/(MAX(1,N(U724))*AC724))*Settings!$B$9</f>
        <v>0</v>
      </c>
      <c r="AE724" s="18" t="n">
        <f aca="false">(MAX(1,N(I724))*N(Q724)+MAX(1,N(I724))*N(L724)/(MAX(1,N(U724))*AC724))*Settings!$B$8</f>
        <v>0</v>
      </c>
      <c r="AF724" s="18" t="n">
        <f aca="false">MAX(1,N(I724))*N(T724)</f>
        <v>0</v>
      </c>
      <c r="AG724" s="15" t="n">
        <f aca="false">AA724*N(AD724)</f>
        <v>0</v>
      </c>
      <c r="AH724" s="15" t="n">
        <f aca="false">AA724*N(AE724)</f>
        <v>0</v>
      </c>
      <c r="AI724" s="15" t="n">
        <f aca="false">AA724*N(AF724)</f>
        <v>0</v>
      </c>
      <c r="AJ724" s="15" t="n">
        <f aca="false">AA724*N(R724)</f>
        <v>0</v>
      </c>
      <c r="AK724" s="15" t="n">
        <f aca="false">AB724*N(AD724)</f>
        <v>0</v>
      </c>
      <c r="AL724" s="15" t="n">
        <f aca="false">AB724*N(AE724)</f>
        <v>0</v>
      </c>
      <c r="AM724" s="15" t="n">
        <f aca="false">AB724*N(AF724)</f>
        <v>0</v>
      </c>
      <c r="AN724" s="15" t="n">
        <f aca="false">AB724*N(R724)</f>
        <v>0</v>
      </c>
      <c r="AO724" s="21" t="str">
        <f aca="false">IF(F724&lt;&gt;"Y","n/a",IF(AND(N724&lt;&gt;"",OR(Q724&lt;&gt;"",G724="Other / bench",G724="None"),U724&lt;&gt;""),"OK","Missing"))</f>
        <v>n/a</v>
      </c>
    </row>
    <row r="725" customFormat="false" ht="15" hidden="false" customHeight="false" outlineLevel="0" collapsed="false">
      <c r="A725" s="16"/>
      <c r="B725" s="16"/>
      <c r="C725" s="16"/>
      <c r="D725" s="16"/>
      <c r="E725" s="21" t="str">
        <f aca="false">IF(A725="","",A725&amp;"|"&amp;D725)</f>
        <v/>
      </c>
      <c r="F725" s="16"/>
      <c r="G725" s="16"/>
      <c r="H725" s="16"/>
      <c r="I725" s="16"/>
      <c r="J725" s="16"/>
      <c r="K725" s="14"/>
      <c r="L725" s="14"/>
      <c r="M725" s="14"/>
      <c r="N725" s="14"/>
      <c r="O725" s="14"/>
      <c r="P725" s="18" t="n">
        <f aca="false">IF(N725="",0,IF(OR(M725="",O725=""),N725,(M725+4*N725+O725)/6))</f>
        <v>0</v>
      </c>
      <c r="Q725" s="14"/>
      <c r="R725" s="14"/>
      <c r="S725" s="14"/>
      <c r="T725" s="14"/>
      <c r="U725" s="16"/>
      <c r="V725" s="13"/>
      <c r="W725" s="16"/>
      <c r="X725" s="16"/>
      <c r="Y725" s="16"/>
      <c r="Z725" s="16"/>
      <c r="AA725" s="22" t="n">
        <f aca="false">IF(F725&lt;&gt;"Y",0,((SUMIF(Products!$E$5:$E$300,A725,Products!$F$5:$F$300)+SUMIF(RM_Lots!$A$5:$A$400,A725,RM_Lots!$D$5:$D$400))+IF(W725="Y",SUMIF(Products!$E$5:$E$300,A725,Products!$G$5:$G$300),0))*(1+N(V725)))</f>
        <v>0</v>
      </c>
      <c r="AB725" s="22" t="n">
        <f aca="false">IF(F725&lt;&gt;"Y",0,((SUMIF(Products!$E$5:$E$300,A725,Products!$K$5:$K$300)+SUMIF(RM_Lots!$A$5:$A$400,A725,RM_Lots!$F$5:$F$400))+IF(W725="Y",SUMIF(Products!$E$5:$E$300,A725,Products!$L$5:$L$300),0))*(1+N(V725)))</f>
        <v>0</v>
      </c>
      <c r="AC725" s="17" t="n">
        <f aca="false">IF(J725="",1,MAX(1,COUNTIFS($J$5:$J$863,J725,$F$5:$F$863,"Y")))</f>
        <v>1</v>
      </c>
      <c r="AD725" s="18" t="n">
        <f aca="false">(MAX(1,N(I725))*(P725+N(S725))+MAX(1,N(I725))*N(K725)/(MAX(1,N(U725))*AC725))*Settings!$B$9</f>
        <v>0</v>
      </c>
      <c r="AE725" s="18" t="n">
        <f aca="false">(MAX(1,N(I725))*N(Q725)+MAX(1,N(I725))*N(L725)/(MAX(1,N(U725))*AC725))*Settings!$B$8</f>
        <v>0</v>
      </c>
      <c r="AF725" s="18" t="n">
        <f aca="false">MAX(1,N(I725))*N(T725)</f>
        <v>0</v>
      </c>
      <c r="AG725" s="15" t="n">
        <f aca="false">AA725*N(AD725)</f>
        <v>0</v>
      </c>
      <c r="AH725" s="15" t="n">
        <f aca="false">AA725*N(AE725)</f>
        <v>0</v>
      </c>
      <c r="AI725" s="15" t="n">
        <f aca="false">AA725*N(AF725)</f>
        <v>0</v>
      </c>
      <c r="AJ725" s="15" t="n">
        <f aca="false">AA725*N(R725)</f>
        <v>0</v>
      </c>
      <c r="AK725" s="15" t="n">
        <f aca="false">AB725*N(AD725)</f>
        <v>0</v>
      </c>
      <c r="AL725" s="15" t="n">
        <f aca="false">AB725*N(AE725)</f>
        <v>0</v>
      </c>
      <c r="AM725" s="15" t="n">
        <f aca="false">AB725*N(AF725)</f>
        <v>0</v>
      </c>
      <c r="AN725" s="15" t="n">
        <f aca="false">AB725*N(R725)</f>
        <v>0</v>
      </c>
      <c r="AO725" s="21" t="str">
        <f aca="false">IF(F725&lt;&gt;"Y","n/a",IF(AND(N725&lt;&gt;"",OR(Q725&lt;&gt;"",G725="Other / bench",G725="None"),U725&lt;&gt;""),"OK","Missing"))</f>
        <v>n/a</v>
      </c>
    </row>
    <row r="726" customFormat="false" ht="15" hidden="false" customHeight="false" outlineLevel="0" collapsed="false">
      <c r="A726" s="16"/>
      <c r="B726" s="16"/>
      <c r="C726" s="16"/>
      <c r="D726" s="16"/>
      <c r="E726" s="21" t="str">
        <f aca="false">IF(A726="","",A726&amp;"|"&amp;D726)</f>
        <v/>
      </c>
      <c r="F726" s="16"/>
      <c r="G726" s="16"/>
      <c r="H726" s="16"/>
      <c r="I726" s="16"/>
      <c r="J726" s="16"/>
      <c r="K726" s="14"/>
      <c r="L726" s="14"/>
      <c r="M726" s="14"/>
      <c r="N726" s="14"/>
      <c r="O726" s="14"/>
      <c r="P726" s="18" t="n">
        <f aca="false">IF(N726="",0,IF(OR(M726="",O726=""),N726,(M726+4*N726+O726)/6))</f>
        <v>0</v>
      </c>
      <c r="Q726" s="14"/>
      <c r="R726" s="14"/>
      <c r="S726" s="14"/>
      <c r="T726" s="14"/>
      <c r="U726" s="16"/>
      <c r="V726" s="13"/>
      <c r="W726" s="16"/>
      <c r="X726" s="16"/>
      <c r="Y726" s="16"/>
      <c r="Z726" s="16"/>
      <c r="AA726" s="22" t="n">
        <f aca="false">IF(F726&lt;&gt;"Y",0,((SUMIF(Products!$E$5:$E$300,A726,Products!$F$5:$F$300)+SUMIF(RM_Lots!$A$5:$A$400,A726,RM_Lots!$D$5:$D$400))+IF(W726="Y",SUMIF(Products!$E$5:$E$300,A726,Products!$G$5:$G$300),0))*(1+N(V726)))</f>
        <v>0</v>
      </c>
      <c r="AB726" s="22" t="n">
        <f aca="false">IF(F726&lt;&gt;"Y",0,((SUMIF(Products!$E$5:$E$300,A726,Products!$K$5:$K$300)+SUMIF(RM_Lots!$A$5:$A$400,A726,RM_Lots!$F$5:$F$400))+IF(W726="Y",SUMIF(Products!$E$5:$E$300,A726,Products!$L$5:$L$300),0))*(1+N(V726)))</f>
        <v>0</v>
      </c>
      <c r="AC726" s="17" t="n">
        <f aca="false">IF(J726="",1,MAX(1,COUNTIFS($J$5:$J$863,J726,$F$5:$F$863,"Y")))</f>
        <v>1</v>
      </c>
      <c r="AD726" s="18" t="n">
        <f aca="false">(MAX(1,N(I726))*(P726+N(S726))+MAX(1,N(I726))*N(K726)/(MAX(1,N(U726))*AC726))*Settings!$B$9</f>
        <v>0</v>
      </c>
      <c r="AE726" s="18" t="n">
        <f aca="false">(MAX(1,N(I726))*N(Q726)+MAX(1,N(I726))*N(L726)/(MAX(1,N(U726))*AC726))*Settings!$B$8</f>
        <v>0</v>
      </c>
      <c r="AF726" s="18" t="n">
        <f aca="false">MAX(1,N(I726))*N(T726)</f>
        <v>0</v>
      </c>
      <c r="AG726" s="15" t="n">
        <f aca="false">AA726*N(AD726)</f>
        <v>0</v>
      </c>
      <c r="AH726" s="15" t="n">
        <f aca="false">AA726*N(AE726)</f>
        <v>0</v>
      </c>
      <c r="AI726" s="15" t="n">
        <f aca="false">AA726*N(AF726)</f>
        <v>0</v>
      </c>
      <c r="AJ726" s="15" t="n">
        <f aca="false">AA726*N(R726)</f>
        <v>0</v>
      </c>
      <c r="AK726" s="15" t="n">
        <f aca="false">AB726*N(AD726)</f>
        <v>0</v>
      </c>
      <c r="AL726" s="15" t="n">
        <f aca="false">AB726*N(AE726)</f>
        <v>0</v>
      </c>
      <c r="AM726" s="15" t="n">
        <f aca="false">AB726*N(AF726)</f>
        <v>0</v>
      </c>
      <c r="AN726" s="15" t="n">
        <f aca="false">AB726*N(R726)</f>
        <v>0</v>
      </c>
      <c r="AO726" s="21" t="str">
        <f aca="false">IF(F726&lt;&gt;"Y","n/a",IF(AND(N726&lt;&gt;"",OR(Q726&lt;&gt;"",G726="Other / bench",G726="None"),U726&lt;&gt;""),"OK","Missing"))</f>
        <v>n/a</v>
      </c>
    </row>
    <row r="727" customFormat="false" ht="15" hidden="false" customHeight="false" outlineLevel="0" collapsed="false">
      <c r="A727" s="16"/>
      <c r="B727" s="16"/>
      <c r="C727" s="16"/>
      <c r="D727" s="16"/>
      <c r="E727" s="21" t="str">
        <f aca="false">IF(A727="","",A727&amp;"|"&amp;D727)</f>
        <v/>
      </c>
      <c r="F727" s="16"/>
      <c r="G727" s="16"/>
      <c r="H727" s="16"/>
      <c r="I727" s="16"/>
      <c r="J727" s="16"/>
      <c r="K727" s="14"/>
      <c r="L727" s="14"/>
      <c r="M727" s="14"/>
      <c r="N727" s="14"/>
      <c r="O727" s="14"/>
      <c r="P727" s="18" t="n">
        <f aca="false">IF(N727="",0,IF(OR(M727="",O727=""),N727,(M727+4*N727+O727)/6))</f>
        <v>0</v>
      </c>
      <c r="Q727" s="14"/>
      <c r="R727" s="14"/>
      <c r="S727" s="14"/>
      <c r="T727" s="14"/>
      <c r="U727" s="16"/>
      <c r="V727" s="13"/>
      <c r="W727" s="16"/>
      <c r="X727" s="16"/>
      <c r="Y727" s="16"/>
      <c r="Z727" s="16"/>
      <c r="AA727" s="22" t="n">
        <f aca="false">IF(F727&lt;&gt;"Y",0,((SUMIF(Products!$E$5:$E$300,A727,Products!$F$5:$F$300)+SUMIF(RM_Lots!$A$5:$A$400,A727,RM_Lots!$D$5:$D$400))+IF(W727="Y",SUMIF(Products!$E$5:$E$300,A727,Products!$G$5:$G$300),0))*(1+N(V727)))</f>
        <v>0</v>
      </c>
      <c r="AB727" s="22" t="n">
        <f aca="false">IF(F727&lt;&gt;"Y",0,((SUMIF(Products!$E$5:$E$300,A727,Products!$K$5:$K$300)+SUMIF(RM_Lots!$A$5:$A$400,A727,RM_Lots!$F$5:$F$400))+IF(W727="Y",SUMIF(Products!$E$5:$E$300,A727,Products!$L$5:$L$300),0))*(1+N(V727)))</f>
        <v>0</v>
      </c>
      <c r="AC727" s="17" t="n">
        <f aca="false">IF(J727="",1,MAX(1,COUNTIFS($J$5:$J$863,J727,$F$5:$F$863,"Y")))</f>
        <v>1</v>
      </c>
      <c r="AD727" s="18" t="n">
        <f aca="false">(MAX(1,N(I727))*(P727+N(S727))+MAX(1,N(I727))*N(K727)/(MAX(1,N(U727))*AC727))*Settings!$B$9</f>
        <v>0</v>
      </c>
      <c r="AE727" s="18" t="n">
        <f aca="false">(MAX(1,N(I727))*N(Q727)+MAX(1,N(I727))*N(L727)/(MAX(1,N(U727))*AC727))*Settings!$B$8</f>
        <v>0</v>
      </c>
      <c r="AF727" s="18" t="n">
        <f aca="false">MAX(1,N(I727))*N(T727)</f>
        <v>0</v>
      </c>
      <c r="AG727" s="15" t="n">
        <f aca="false">AA727*N(AD727)</f>
        <v>0</v>
      </c>
      <c r="AH727" s="15" t="n">
        <f aca="false">AA727*N(AE727)</f>
        <v>0</v>
      </c>
      <c r="AI727" s="15" t="n">
        <f aca="false">AA727*N(AF727)</f>
        <v>0</v>
      </c>
      <c r="AJ727" s="15" t="n">
        <f aca="false">AA727*N(R727)</f>
        <v>0</v>
      </c>
      <c r="AK727" s="15" t="n">
        <f aca="false">AB727*N(AD727)</f>
        <v>0</v>
      </c>
      <c r="AL727" s="15" t="n">
        <f aca="false">AB727*N(AE727)</f>
        <v>0</v>
      </c>
      <c r="AM727" s="15" t="n">
        <f aca="false">AB727*N(AF727)</f>
        <v>0</v>
      </c>
      <c r="AN727" s="15" t="n">
        <f aca="false">AB727*N(R727)</f>
        <v>0</v>
      </c>
      <c r="AO727" s="21" t="str">
        <f aca="false">IF(F727&lt;&gt;"Y","n/a",IF(AND(N727&lt;&gt;"",OR(Q727&lt;&gt;"",G727="Other / bench",G727="None"),U727&lt;&gt;""),"OK","Missing"))</f>
        <v>n/a</v>
      </c>
    </row>
    <row r="728" customFormat="false" ht="15" hidden="false" customHeight="false" outlineLevel="0" collapsed="false">
      <c r="A728" s="16"/>
      <c r="B728" s="16"/>
      <c r="C728" s="16"/>
      <c r="D728" s="16"/>
      <c r="E728" s="21" t="str">
        <f aca="false">IF(A728="","",A728&amp;"|"&amp;D728)</f>
        <v/>
      </c>
      <c r="F728" s="16"/>
      <c r="G728" s="16"/>
      <c r="H728" s="16"/>
      <c r="I728" s="16"/>
      <c r="J728" s="16"/>
      <c r="K728" s="14"/>
      <c r="L728" s="14"/>
      <c r="M728" s="14"/>
      <c r="N728" s="14"/>
      <c r="O728" s="14"/>
      <c r="P728" s="18" t="n">
        <f aca="false">IF(N728="",0,IF(OR(M728="",O728=""),N728,(M728+4*N728+O728)/6))</f>
        <v>0</v>
      </c>
      <c r="Q728" s="14"/>
      <c r="R728" s="14"/>
      <c r="S728" s="14"/>
      <c r="T728" s="14"/>
      <c r="U728" s="16"/>
      <c r="V728" s="13"/>
      <c r="W728" s="16"/>
      <c r="X728" s="16"/>
      <c r="Y728" s="16"/>
      <c r="Z728" s="16"/>
      <c r="AA728" s="22" t="n">
        <f aca="false">IF(F728&lt;&gt;"Y",0,((SUMIF(Products!$E$5:$E$300,A728,Products!$F$5:$F$300)+SUMIF(RM_Lots!$A$5:$A$400,A728,RM_Lots!$D$5:$D$400))+IF(W728="Y",SUMIF(Products!$E$5:$E$300,A728,Products!$G$5:$G$300),0))*(1+N(V728)))</f>
        <v>0</v>
      </c>
      <c r="AB728" s="22" t="n">
        <f aca="false">IF(F728&lt;&gt;"Y",0,((SUMIF(Products!$E$5:$E$300,A728,Products!$K$5:$K$300)+SUMIF(RM_Lots!$A$5:$A$400,A728,RM_Lots!$F$5:$F$400))+IF(W728="Y",SUMIF(Products!$E$5:$E$300,A728,Products!$L$5:$L$300),0))*(1+N(V728)))</f>
        <v>0</v>
      </c>
      <c r="AC728" s="17" t="n">
        <f aca="false">IF(J728="",1,MAX(1,COUNTIFS($J$5:$J$863,J728,$F$5:$F$863,"Y")))</f>
        <v>1</v>
      </c>
      <c r="AD728" s="18" t="n">
        <f aca="false">(MAX(1,N(I728))*(P728+N(S728))+MAX(1,N(I728))*N(K728)/(MAX(1,N(U728))*AC728))*Settings!$B$9</f>
        <v>0</v>
      </c>
      <c r="AE728" s="18" t="n">
        <f aca="false">(MAX(1,N(I728))*N(Q728)+MAX(1,N(I728))*N(L728)/(MAX(1,N(U728))*AC728))*Settings!$B$8</f>
        <v>0</v>
      </c>
      <c r="AF728" s="18" t="n">
        <f aca="false">MAX(1,N(I728))*N(T728)</f>
        <v>0</v>
      </c>
      <c r="AG728" s="15" t="n">
        <f aca="false">AA728*N(AD728)</f>
        <v>0</v>
      </c>
      <c r="AH728" s="15" t="n">
        <f aca="false">AA728*N(AE728)</f>
        <v>0</v>
      </c>
      <c r="AI728" s="15" t="n">
        <f aca="false">AA728*N(AF728)</f>
        <v>0</v>
      </c>
      <c r="AJ728" s="15" t="n">
        <f aca="false">AA728*N(R728)</f>
        <v>0</v>
      </c>
      <c r="AK728" s="15" t="n">
        <f aca="false">AB728*N(AD728)</f>
        <v>0</v>
      </c>
      <c r="AL728" s="15" t="n">
        <f aca="false">AB728*N(AE728)</f>
        <v>0</v>
      </c>
      <c r="AM728" s="15" t="n">
        <f aca="false">AB728*N(AF728)</f>
        <v>0</v>
      </c>
      <c r="AN728" s="15" t="n">
        <f aca="false">AB728*N(R728)</f>
        <v>0</v>
      </c>
      <c r="AO728" s="21" t="str">
        <f aca="false">IF(F728&lt;&gt;"Y","n/a",IF(AND(N728&lt;&gt;"",OR(Q728&lt;&gt;"",G728="Other / bench",G728="None"),U728&lt;&gt;""),"OK","Missing"))</f>
        <v>n/a</v>
      </c>
    </row>
    <row r="729" customFormat="false" ht="15" hidden="false" customHeight="false" outlineLevel="0" collapsed="false">
      <c r="A729" s="16"/>
      <c r="B729" s="16"/>
      <c r="C729" s="16"/>
      <c r="D729" s="16"/>
      <c r="E729" s="21" t="str">
        <f aca="false">IF(A729="","",A729&amp;"|"&amp;D729)</f>
        <v/>
      </c>
      <c r="F729" s="16"/>
      <c r="G729" s="16"/>
      <c r="H729" s="16"/>
      <c r="I729" s="16"/>
      <c r="J729" s="16"/>
      <c r="K729" s="14"/>
      <c r="L729" s="14"/>
      <c r="M729" s="14"/>
      <c r="N729" s="14"/>
      <c r="O729" s="14"/>
      <c r="P729" s="18" t="n">
        <f aca="false">IF(N729="",0,IF(OR(M729="",O729=""),N729,(M729+4*N729+O729)/6))</f>
        <v>0</v>
      </c>
      <c r="Q729" s="14"/>
      <c r="R729" s="14"/>
      <c r="S729" s="14"/>
      <c r="T729" s="14"/>
      <c r="U729" s="16"/>
      <c r="V729" s="13"/>
      <c r="W729" s="16"/>
      <c r="X729" s="16"/>
      <c r="Y729" s="16"/>
      <c r="Z729" s="16"/>
      <c r="AA729" s="22" t="n">
        <f aca="false">IF(F729&lt;&gt;"Y",0,((SUMIF(Products!$E$5:$E$300,A729,Products!$F$5:$F$300)+SUMIF(RM_Lots!$A$5:$A$400,A729,RM_Lots!$D$5:$D$400))+IF(W729="Y",SUMIF(Products!$E$5:$E$300,A729,Products!$G$5:$G$300),0))*(1+N(V729)))</f>
        <v>0</v>
      </c>
      <c r="AB729" s="22" t="n">
        <f aca="false">IF(F729&lt;&gt;"Y",0,((SUMIF(Products!$E$5:$E$300,A729,Products!$K$5:$K$300)+SUMIF(RM_Lots!$A$5:$A$400,A729,RM_Lots!$F$5:$F$400))+IF(W729="Y",SUMIF(Products!$E$5:$E$300,A729,Products!$L$5:$L$300),0))*(1+N(V729)))</f>
        <v>0</v>
      </c>
      <c r="AC729" s="17" t="n">
        <f aca="false">IF(J729="",1,MAX(1,COUNTIFS($J$5:$J$863,J729,$F$5:$F$863,"Y")))</f>
        <v>1</v>
      </c>
      <c r="AD729" s="18" t="n">
        <f aca="false">(MAX(1,N(I729))*(P729+N(S729))+MAX(1,N(I729))*N(K729)/(MAX(1,N(U729))*AC729))*Settings!$B$9</f>
        <v>0</v>
      </c>
      <c r="AE729" s="18" t="n">
        <f aca="false">(MAX(1,N(I729))*N(Q729)+MAX(1,N(I729))*N(L729)/(MAX(1,N(U729))*AC729))*Settings!$B$8</f>
        <v>0</v>
      </c>
      <c r="AF729" s="18" t="n">
        <f aca="false">MAX(1,N(I729))*N(T729)</f>
        <v>0</v>
      </c>
      <c r="AG729" s="15" t="n">
        <f aca="false">AA729*N(AD729)</f>
        <v>0</v>
      </c>
      <c r="AH729" s="15" t="n">
        <f aca="false">AA729*N(AE729)</f>
        <v>0</v>
      </c>
      <c r="AI729" s="15" t="n">
        <f aca="false">AA729*N(AF729)</f>
        <v>0</v>
      </c>
      <c r="AJ729" s="15" t="n">
        <f aca="false">AA729*N(R729)</f>
        <v>0</v>
      </c>
      <c r="AK729" s="15" t="n">
        <f aca="false">AB729*N(AD729)</f>
        <v>0</v>
      </c>
      <c r="AL729" s="15" t="n">
        <f aca="false">AB729*N(AE729)</f>
        <v>0</v>
      </c>
      <c r="AM729" s="15" t="n">
        <f aca="false">AB729*N(AF729)</f>
        <v>0</v>
      </c>
      <c r="AN729" s="15" t="n">
        <f aca="false">AB729*N(R729)</f>
        <v>0</v>
      </c>
      <c r="AO729" s="21" t="str">
        <f aca="false">IF(F729&lt;&gt;"Y","n/a",IF(AND(N729&lt;&gt;"",OR(Q729&lt;&gt;"",G729="Other / bench",G729="None"),U729&lt;&gt;""),"OK","Missing"))</f>
        <v>n/a</v>
      </c>
    </row>
    <row r="730" customFormat="false" ht="15" hidden="false" customHeight="false" outlineLevel="0" collapsed="false">
      <c r="A730" s="16"/>
      <c r="B730" s="16"/>
      <c r="C730" s="16"/>
      <c r="D730" s="16"/>
      <c r="E730" s="21" t="str">
        <f aca="false">IF(A730="","",A730&amp;"|"&amp;D730)</f>
        <v/>
      </c>
      <c r="F730" s="16"/>
      <c r="G730" s="16"/>
      <c r="H730" s="16"/>
      <c r="I730" s="16"/>
      <c r="J730" s="16"/>
      <c r="K730" s="14"/>
      <c r="L730" s="14"/>
      <c r="M730" s="14"/>
      <c r="N730" s="14"/>
      <c r="O730" s="14"/>
      <c r="P730" s="18" t="n">
        <f aca="false">IF(N730="",0,IF(OR(M730="",O730=""),N730,(M730+4*N730+O730)/6))</f>
        <v>0</v>
      </c>
      <c r="Q730" s="14"/>
      <c r="R730" s="14"/>
      <c r="S730" s="14"/>
      <c r="T730" s="14"/>
      <c r="U730" s="16"/>
      <c r="V730" s="13"/>
      <c r="W730" s="16"/>
      <c r="X730" s="16"/>
      <c r="Y730" s="16"/>
      <c r="Z730" s="16"/>
      <c r="AA730" s="22" t="n">
        <f aca="false">IF(F730&lt;&gt;"Y",0,((SUMIF(Products!$E$5:$E$300,A730,Products!$F$5:$F$300)+SUMIF(RM_Lots!$A$5:$A$400,A730,RM_Lots!$D$5:$D$400))+IF(W730="Y",SUMIF(Products!$E$5:$E$300,A730,Products!$G$5:$G$300),0))*(1+N(V730)))</f>
        <v>0</v>
      </c>
      <c r="AB730" s="22" t="n">
        <f aca="false">IF(F730&lt;&gt;"Y",0,((SUMIF(Products!$E$5:$E$300,A730,Products!$K$5:$K$300)+SUMIF(RM_Lots!$A$5:$A$400,A730,RM_Lots!$F$5:$F$400))+IF(W730="Y",SUMIF(Products!$E$5:$E$300,A730,Products!$L$5:$L$300),0))*(1+N(V730)))</f>
        <v>0</v>
      </c>
      <c r="AC730" s="17" t="n">
        <f aca="false">IF(J730="",1,MAX(1,COUNTIFS($J$5:$J$863,J730,$F$5:$F$863,"Y")))</f>
        <v>1</v>
      </c>
      <c r="AD730" s="18" t="n">
        <f aca="false">(MAX(1,N(I730))*(P730+N(S730))+MAX(1,N(I730))*N(K730)/(MAX(1,N(U730))*AC730))*Settings!$B$9</f>
        <v>0</v>
      </c>
      <c r="AE730" s="18" t="n">
        <f aca="false">(MAX(1,N(I730))*N(Q730)+MAX(1,N(I730))*N(L730)/(MAX(1,N(U730))*AC730))*Settings!$B$8</f>
        <v>0</v>
      </c>
      <c r="AF730" s="18" t="n">
        <f aca="false">MAX(1,N(I730))*N(T730)</f>
        <v>0</v>
      </c>
      <c r="AG730" s="15" t="n">
        <f aca="false">AA730*N(AD730)</f>
        <v>0</v>
      </c>
      <c r="AH730" s="15" t="n">
        <f aca="false">AA730*N(AE730)</f>
        <v>0</v>
      </c>
      <c r="AI730" s="15" t="n">
        <f aca="false">AA730*N(AF730)</f>
        <v>0</v>
      </c>
      <c r="AJ730" s="15" t="n">
        <f aca="false">AA730*N(R730)</f>
        <v>0</v>
      </c>
      <c r="AK730" s="15" t="n">
        <f aca="false">AB730*N(AD730)</f>
        <v>0</v>
      </c>
      <c r="AL730" s="15" t="n">
        <f aca="false">AB730*N(AE730)</f>
        <v>0</v>
      </c>
      <c r="AM730" s="15" t="n">
        <f aca="false">AB730*N(AF730)</f>
        <v>0</v>
      </c>
      <c r="AN730" s="15" t="n">
        <f aca="false">AB730*N(R730)</f>
        <v>0</v>
      </c>
      <c r="AO730" s="21" t="str">
        <f aca="false">IF(F730&lt;&gt;"Y","n/a",IF(AND(N730&lt;&gt;"",OR(Q730&lt;&gt;"",G730="Other / bench",G730="None"),U730&lt;&gt;""),"OK","Missing"))</f>
        <v>n/a</v>
      </c>
    </row>
    <row r="731" customFormat="false" ht="15" hidden="false" customHeight="false" outlineLevel="0" collapsed="false">
      <c r="A731" s="16"/>
      <c r="B731" s="16"/>
      <c r="C731" s="16"/>
      <c r="D731" s="16"/>
      <c r="E731" s="21" t="str">
        <f aca="false">IF(A731="","",A731&amp;"|"&amp;D731)</f>
        <v/>
      </c>
      <c r="F731" s="16"/>
      <c r="G731" s="16"/>
      <c r="H731" s="16"/>
      <c r="I731" s="16"/>
      <c r="J731" s="16"/>
      <c r="K731" s="14"/>
      <c r="L731" s="14"/>
      <c r="M731" s="14"/>
      <c r="N731" s="14"/>
      <c r="O731" s="14"/>
      <c r="P731" s="18" t="n">
        <f aca="false">IF(N731="",0,IF(OR(M731="",O731=""),N731,(M731+4*N731+O731)/6))</f>
        <v>0</v>
      </c>
      <c r="Q731" s="14"/>
      <c r="R731" s="14"/>
      <c r="S731" s="14"/>
      <c r="T731" s="14"/>
      <c r="U731" s="16"/>
      <c r="V731" s="13"/>
      <c r="W731" s="16"/>
      <c r="X731" s="16"/>
      <c r="Y731" s="16"/>
      <c r="Z731" s="16"/>
      <c r="AA731" s="22" t="n">
        <f aca="false">IF(F731&lt;&gt;"Y",0,((SUMIF(Products!$E$5:$E$300,A731,Products!$F$5:$F$300)+SUMIF(RM_Lots!$A$5:$A$400,A731,RM_Lots!$D$5:$D$400))+IF(W731="Y",SUMIF(Products!$E$5:$E$300,A731,Products!$G$5:$G$300),0))*(1+N(V731)))</f>
        <v>0</v>
      </c>
      <c r="AB731" s="22" t="n">
        <f aca="false">IF(F731&lt;&gt;"Y",0,((SUMIF(Products!$E$5:$E$300,A731,Products!$K$5:$K$300)+SUMIF(RM_Lots!$A$5:$A$400,A731,RM_Lots!$F$5:$F$400))+IF(W731="Y",SUMIF(Products!$E$5:$E$300,A731,Products!$L$5:$L$300),0))*(1+N(V731)))</f>
        <v>0</v>
      </c>
      <c r="AC731" s="17" t="n">
        <f aca="false">IF(J731="",1,MAX(1,COUNTIFS($J$5:$J$863,J731,$F$5:$F$863,"Y")))</f>
        <v>1</v>
      </c>
      <c r="AD731" s="18" t="n">
        <f aca="false">(MAX(1,N(I731))*(P731+N(S731))+MAX(1,N(I731))*N(K731)/(MAX(1,N(U731))*AC731))*Settings!$B$9</f>
        <v>0</v>
      </c>
      <c r="AE731" s="18" t="n">
        <f aca="false">(MAX(1,N(I731))*N(Q731)+MAX(1,N(I731))*N(L731)/(MAX(1,N(U731))*AC731))*Settings!$B$8</f>
        <v>0</v>
      </c>
      <c r="AF731" s="18" t="n">
        <f aca="false">MAX(1,N(I731))*N(T731)</f>
        <v>0</v>
      </c>
      <c r="AG731" s="15" t="n">
        <f aca="false">AA731*N(AD731)</f>
        <v>0</v>
      </c>
      <c r="AH731" s="15" t="n">
        <f aca="false">AA731*N(AE731)</f>
        <v>0</v>
      </c>
      <c r="AI731" s="15" t="n">
        <f aca="false">AA731*N(AF731)</f>
        <v>0</v>
      </c>
      <c r="AJ731" s="15" t="n">
        <f aca="false">AA731*N(R731)</f>
        <v>0</v>
      </c>
      <c r="AK731" s="15" t="n">
        <f aca="false">AB731*N(AD731)</f>
        <v>0</v>
      </c>
      <c r="AL731" s="15" t="n">
        <f aca="false">AB731*N(AE731)</f>
        <v>0</v>
      </c>
      <c r="AM731" s="15" t="n">
        <f aca="false">AB731*N(AF731)</f>
        <v>0</v>
      </c>
      <c r="AN731" s="15" t="n">
        <f aca="false">AB731*N(R731)</f>
        <v>0</v>
      </c>
      <c r="AO731" s="21" t="str">
        <f aca="false">IF(F731&lt;&gt;"Y","n/a",IF(AND(N731&lt;&gt;"",OR(Q731&lt;&gt;"",G731="Other / bench",G731="None"),U731&lt;&gt;""),"OK","Missing"))</f>
        <v>n/a</v>
      </c>
    </row>
    <row r="732" customFormat="false" ht="15" hidden="false" customHeight="false" outlineLevel="0" collapsed="false">
      <c r="A732" s="16"/>
      <c r="B732" s="16"/>
      <c r="C732" s="16"/>
      <c r="D732" s="16"/>
      <c r="E732" s="21" t="str">
        <f aca="false">IF(A732="","",A732&amp;"|"&amp;D732)</f>
        <v/>
      </c>
      <c r="F732" s="16"/>
      <c r="G732" s="16"/>
      <c r="H732" s="16"/>
      <c r="I732" s="16"/>
      <c r="J732" s="16"/>
      <c r="K732" s="14"/>
      <c r="L732" s="14"/>
      <c r="M732" s="14"/>
      <c r="N732" s="14"/>
      <c r="O732" s="14"/>
      <c r="P732" s="18" t="n">
        <f aca="false">IF(N732="",0,IF(OR(M732="",O732=""),N732,(M732+4*N732+O732)/6))</f>
        <v>0</v>
      </c>
      <c r="Q732" s="14"/>
      <c r="R732" s="14"/>
      <c r="S732" s="14"/>
      <c r="T732" s="14"/>
      <c r="U732" s="16"/>
      <c r="V732" s="13"/>
      <c r="W732" s="16"/>
      <c r="X732" s="16"/>
      <c r="Y732" s="16"/>
      <c r="Z732" s="16"/>
      <c r="AA732" s="22" t="n">
        <f aca="false">IF(F732&lt;&gt;"Y",0,((SUMIF(Products!$E$5:$E$300,A732,Products!$F$5:$F$300)+SUMIF(RM_Lots!$A$5:$A$400,A732,RM_Lots!$D$5:$D$400))+IF(W732="Y",SUMIF(Products!$E$5:$E$300,A732,Products!$G$5:$G$300),0))*(1+N(V732)))</f>
        <v>0</v>
      </c>
      <c r="AB732" s="22" t="n">
        <f aca="false">IF(F732&lt;&gt;"Y",0,((SUMIF(Products!$E$5:$E$300,A732,Products!$K$5:$K$300)+SUMIF(RM_Lots!$A$5:$A$400,A732,RM_Lots!$F$5:$F$400))+IF(W732="Y",SUMIF(Products!$E$5:$E$300,A732,Products!$L$5:$L$300),0))*(1+N(V732)))</f>
        <v>0</v>
      </c>
      <c r="AC732" s="17" t="n">
        <f aca="false">IF(J732="",1,MAX(1,COUNTIFS($J$5:$J$863,J732,$F$5:$F$863,"Y")))</f>
        <v>1</v>
      </c>
      <c r="AD732" s="18" t="n">
        <f aca="false">(MAX(1,N(I732))*(P732+N(S732))+MAX(1,N(I732))*N(K732)/(MAX(1,N(U732))*AC732))*Settings!$B$9</f>
        <v>0</v>
      </c>
      <c r="AE732" s="18" t="n">
        <f aca="false">(MAX(1,N(I732))*N(Q732)+MAX(1,N(I732))*N(L732)/(MAX(1,N(U732))*AC732))*Settings!$B$8</f>
        <v>0</v>
      </c>
      <c r="AF732" s="18" t="n">
        <f aca="false">MAX(1,N(I732))*N(T732)</f>
        <v>0</v>
      </c>
      <c r="AG732" s="15" t="n">
        <f aca="false">AA732*N(AD732)</f>
        <v>0</v>
      </c>
      <c r="AH732" s="15" t="n">
        <f aca="false">AA732*N(AE732)</f>
        <v>0</v>
      </c>
      <c r="AI732" s="15" t="n">
        <f aca="false">AA732*N(AF732)</f>
        <v>0</v>
      </c>
      <c r="AJ732" s="15" t="n">
        <f aca="false">AA732*N(R732)</f>
        <v>0</v>
      </c>
      <c r="AK732" s="15" t="n">
        <f aca="false">AB732*N(AD732)</f>
        <v>0</v>
      </c>
      <c r="AL732" s="15" t="n">
        <f aca="false">AB732*N(AE732)</f>
        <v>0</v>
      </c>
      <c r="AM732" s="15" t="n">
        <f aca="false">AB732*N(AF732)</f>
        <v>0</v>
      </c>
      <c r="AN732" s="15" t="n">
        <f aca="false">AB732*N(R732)</f>
        <v>0</v>
      </c>
      <c r="AO732" s="21" t="str">
        <f aca="false">IF(F732&lt;&gt;"Y","n/a",IF(AND(N732&lt;&gt;"",OR(Q732&lt;&gt;"",G732="Other / bench",G732="None"),U732&lt;&gt;""),"OK","Missing"))</f>
        <v>n/a</v>
      </c>
    </row>
    <row r="733" customFormat="false" ht="15" hidden="false" customHeight="false" outlineLevel="0" collapsed="false">
      <c r="A733" s="16"/>
      <c r="B733" s="16"/>
      <c r="C733" s="16"/>
      <c r="D733" s="16"/>
      <c r="E733" s="21" t="str">
        <f aca="false">IF(A733="","",A733&amp;"|"&amp;D733)</f>
        <v/>
      </c>
      <c r="F733" s="16"/>
      <c r="G733" s="16"/>
      <c r="H733" s="16"/>
      <c r="I733" s="16"/>
      <c r="J733" s="16"/>
      <c r="K733" s="14"/>
      <c r="L733" s="14"/>
      <c r="M733" s="14"/>
      <c r="N733" s="14"/>
      <c r="O733" s="14"/>
      <c r="P733" s="18" t="n">
        <f aca="false">IF(N733="",0,IF(OR(M733="",O733=""),N733,(M733+4*N733+O733)/6))</f>
        <v>0</v>
      </c>
      <c r="Q733" s="14"/>
      <c r="R733" s="14"/>
      <c r="S733" s="14"/>
      <c r="T733" s="14"/>
      <c r="U733" s="16"/>
      <c r="V733" s="13"/>
      <c r="W733" s="16"/>
      <c r="X733" s="16"/>
      <c r="Y733" s="16"/>
      <c r="Z733" s="16"/>
      <c r="AA733" s="22" t="n">
        <f aca="false">IF(F733&lt;&gt;"Y",0,((SUMIF(Products!$E$5:$E$300,A733,Products!$F$5:$F$300)+SUMIF(RM_Lots!$A$5:$A$400,A733,RM_Lots!$D$5:$D$400))+IF(W733="Y",SUMIF(Products!$E$5:$E$300,A733,Products!$G$5:$G$300),0))*(1+N(V733)))</f>
        <v>0</v>
      </c>
      <c r="AB733" s="22" t="n">
        <f aca="false">IF(F733&lt;&gt;"Y",0,((SUMIF(Products!$E$5:$E$300,A733,Products!$K$5:$K$300)+SUMIF(RM_Lots!$A$5:$A$400,A733,RM_Lots!$F$5:$F$400))+IF(W733="Y",SUMIF(Products!$E$5:$E$300,A733,Products!$L$5:$L$300),0))*(1+N(V733)))</f>
        <v>0</v>
      </c>
      <c r="AC733" s="17" t="n">
        <f aca="false">IF(J733="",1,MAX(1,COUNTIFS($J$5:$J$863,J733,$F$5:$F$863,"Y")))</f>
        <v>1</v>
      </c>
      <c r="AD733" s="18" t="n">
        <f aca="false">(MAX(1,N(I733))*(P733+N(S733))+MAX(1,N(I733))*N(K733)/(MAX(1,N(U733))*AC733))*Settings!$B$9</f>
        <v>0</v>
      </c>
      <c r="AE733" s="18" t="n">
        <f aca="false">(MAX(1,N(I733))*N(Q733)+MAX(1,N(I733))*N(L733)/(MAX(1,N(U733))*AC733))*Settings!$B$8</f>
        <v>0</v>
      </c>
      <c r="AF733" s="18" t="n">
        <f aca="false">MAX(1,N(I733))*N(T733)</f>
        <v>0</v>
      </c>
      <c r="AG733" s="15" t="n">
        <f aca="false">AA733*N(AD733)</f>
        <v>0</v>
      </c>
      <c r="AH733" s="15" t="n">
        <f aca="false">AA733*N(AE733)</f>
        <v>0</v>
      </c>
      <c r="AI733" s="15" t="n">
        <f aca="false">AA733*N(AF733)</f>
        <v>0</v>
      </c>
      <c r="AJ733" s="15" t="n">
        <f aca="false">AA733*N(R733)</f>
        <v>0</v>
      </c>
      <c r="AK733" s="15" t="n">
        <f aca="false">AB733*N(AD733)</f>
        <v>0</v>
      </c>
      <c r="AL733" s="15" t="n">
        <f aca="false">AB733*N(AE733)</f>
        <v>0</v>
      </c>
      <c r="AM733" s="15" t="n">
        <f aca="false">AB733*N(AF733)</f>
        <v>0</v>
      </c>
      <c r="AN733" s="15" t="n">
        <f aca="false">AB733*N(R733)</f>
        <v>0</v>
      </c>
      <c r="AO733" s="21" t="str">
        <f aca="false">IF(F733&lt;&gt;"Y","n/a",IF(AND(N733&lt;&gt;"",OR(Q733&lt;&gt;"",G733="Other / bench",G733="None"),U733&lt;&gt;""),"OK","Missing"))</f>
        <v>n/a</v>
      </c>
    </row>
    <row r="734" customFormat="false" ht="15" hidden="false" customHeight="false" outlineLevel="0" collapsed="false">
      <c r="A734" s="16"/>
      <c r="B734" s="16"/>
      <c r="C734" s="16"/>
      <c r="D734" s="16"/>
      <c r="E734" s="21" t="str">
        <f aca="false">IF(A734="","",A734&amp;"|"&amp;D734)</f>
        <v/>
      </c>
      <c r="F734" s="16"/>
      <c r="G734" s="16"/>
      <c r="H734" s="16"/>
      <c r="I734" s="16"/>
      <c r="J734" s="16"/>
      <c r="K734" s="14"/>
      <c r="L734" s="14"/>
      <c r="M734" s="14"/>
      <c r="N734" s="14"/>
      <c r="O734" s="14"/>
      <c r="P734" s="18" t="n">
        <f aca="false">IF(N734="",0,IF(OR(M734="",O734=""),N734,(M734+4*N734+O734)/6))</f>
        <v>0</v>
      </c>
      <c r="Q734" s="14"/>
      <c r="R734" s="14"/>
      <c r="S734" s="14"/>
      <c r="T734" s="14"/>
      <c r="U734" s="16"/>
      <c r="V734" s="13"/>
      <c r="W734" s="16"/>
      <c r="X734" s="16"/>
      <c r="Y734" s="16"/>
      <c r="Z734" s="16"/>
      <c r="AA734" s="22" t="n">
        <f aca="false">IF(F734&lt;&gt;"Y",0,((SUMIF(Products!$E$5:$E$300,A734,Products!$F$5:$F$300)+SUMIF(RM_Lots!$A$5:$A$400,A734,RM_Lots!$D$5:$D$400))+IF(W734="Y",SUMIF(Products!$E$5:$E$300,A734,Products!$G$5:$G$300),0))*(1+N(V734)))</f>
        <v>0</v>
      </c>
      <c r="AB734" s="22" t="n">
        <f aca="false">IF(F734&lt;&gt;"Y",0,((SUMIF(Products!$E$5:$E$300,A734,Products!$K$5:$K$300)+SUMIF(RM_Lots!$A$5:$A$400,A734,RM_Lots!$F$5:$F$400))+IF(W734="Y",SUMIF(Products!$E$5:$E$300,A734,Products!$L$5:$L$300),0))*(1+N(V734)))</f>
        <v>0</v>
      </c>
      <c r="AC734" s="17" t="n">
        <f aca="false">IF(J734="",1,MAX(1,COUNTIFS($J$5:$J$863,J734,$F$5:$F$863,"Y")))</f>
        <v>1</v>
      </c>
      <c r="AD734" s="18" t="n">
        <f aca="false">(MAX(1,N(I734))*(P734+N(S734))+MAX(1,N(I734))*N(K734)/(MAX(1,N(U734))*AC734))*Settings!$B$9</f>
        <v>0</v>
      </c>
      <c r="AE734" s="18" t="n">
        <f aca="false">(MAX(1,N(I734))*N(Q734)+MAX(1,N(I734))*N(L734)/(MAX(1,N(U734))*AC734))*Settings!$B$8</f>
        <v>0</v>
      </c>
      <c r="AF734" s="18" t="n">
        <f aca="false">MAX(1,N(I734))*N(T734)</f>
        <v>0</v>
      </c>
      <c r="AG734" s="15" t="n">
        <f aca="false">AA734*N(AD734)</f>
        <v>0</v>
      </c>
      <c r="AH734" s="15" t="n">
        <f aca="false">AA734*N(AE734)</f>
        <v>0</v>
      </c>
      <c r="AI734" s="15" t="n">
        <f aca="false">AA734*N(AF734)</f>
        <v>0</v>
      </c>
      <c r="AJ734" s="15" t="n">
        <f aca="false">AA734*N(R734)</f>
        <v>0</v>
      </c>
      <c r="AK734" s="15" t="n">
        <f aca="false">AB734*N(AD734)</f>
        <v>0</v>
      </c>
      <c r="AL734" s="15" t="n">
        <f aca="false">AB734*N(AE734)</f>
        <v>0</v>
      </c>
      <c r="AM734" s="15" t="n">
        <f aca="false">AB734*N(AF734)</f>
        <v>0</v>
      </c>
      <c r="AN734" s="15" t="n">
        <f aca="false">AB734*N(R734)</f>
        <v>0</v>
      </c>
      <c r="AO734" s="21" t="str">
        <f aca="false">IF(F734&lt;&gt;"Y","n/a",IF(AND(N734&lt;&gt;"",OR(Q734&lt;&gt;"",G734="Other / bench",G734="None"),U734&lt;&gt;""),"OK","Missing"))</f>
        <v>n/a</v>
      </c>
    </row>
    <row r="735" customFormat="false" ht="15" hidden="false" customHeight="false" outlineLevel="0" collapsed="false">
      <c r="A735" s="16"/>
      <c r="B735" s="16"/>
      <c r="C735" s="16"/>
      <c r="D735" s="16"/>
      <c r="E735" s="21" t="str">
        <f aca="false">IF(A735="","",A735&amp;"|"&amp;D735)</f>
        <v/>
      </c>
      <c r="F735" s="16"/>
      <c r="G735" s="16"/>
      <c r="H735" s="16"/>
      <c r="I735" s="16"/>
      <c r="J735" s="16"/>
      <c r="K735" s="14"/>
      <c r="L735" s="14"/>
      <c r="M735" s="14"/>
      <c r="N735" s="14"/>
      <c r="O735" s="14"/>
      <c r="P735" s="18" t="n">
        <f aca="false">IF(N735="",0,IF(OR(M735="",O735=""),N735,(M735+4*N735+O735)/6))</f>
        <v>0</v>
      </c>
      <c r="Q735" s="14"/>
      <c r="R735" s="14"/>
      <c r="S735" s="14"/>
      <c r="T735" s="14"/>
      <c r="U735" s="16"/>
      <c r="V735" s="13"/>
      <c r="W735" s="16"/>
      <c r="X735" s="16"/>
      <c r="Y735" s="16"/>
      <c r="Z735" s="16"/>
      <c r="AA735" s="22" t="n">
        <f aca="false">IF(F735&lt;&gt;"Y",0,((SUMIF(Products!$E$5:$E$300,A735,Products!$F$5:$F$300)+SUMIF(RM_Lots!$A$5:$A$400,A735,RM_Lots!$D$5:$D$400))+IF(W735="Y",SUMIF(Products!$E$5:$E$300,A735,Products!$G$5:$G$300),0))*(1+N(V735)))</f>
        <v>0</v>
      </c>
      <c r="AB735" s="22" t="n">
        <f aca="false">IF(F735&lt;&gt;"Y",0,((SUMIF(Products!$E$5:$E$300,A735,Products!$K$5:$K$300)+SUMIF(RM_Lots!$A$5:$A$400,A735,RM_Lots!$F$5:$F$400))+IF(W735="Y",SUMIF(Products!$E$5:$E$300,A735,Products!$L$5:$L$300),0))*(1+N(V735)))</f>
        <v>0</v>
      </c>
      <c r="AC735" s="17" t="n">
        <f aca="false">IF(J735="",1,MAX(1,COUNTIFS($J$5:$J$863,J735,$F$5:$F$863,"Y")))</f>
        <v>1</v>
      </c>
      <c r="AD735" s="18" t="n">
        <f aca="false">(MAX(1,N(I735))*(P735+N(S735))+MAX(1,N(I735))*N(K735)/(MAX(1,N(U735))*AC735))*Settings!$B$9</f>
        <v>0</v>
      </c>
      <c r="AE735" s="18" t="n">
        <f aca="false">(MAX(1,N(I735))*N(Q735)+MAX(1,N(I735))*N(L735)/(MAX(1,N(U735))*AC735))*Settings!$B$8</f>
        <v>0</v>
      </c>
      <c r="AF735" s="18" t="n">
        <f aca="false">MAX(1,N(I735))*N(T735)</f>
        <v>0</v>
      </c>
      <c r="AG735" s="15" t="n">
        <f aca="false">AA735*N(AD735)</f>
        <v>0</v>
      </c>
      <c r="AH735" s="15" t="n">
        <f aca="false">AA735*N(AE735)</f>
        <v>0</v>
      </c>
      <c r="AI735" s="15" t="n">
        <f aca="false">AA735*N(AF735)</f>
        <v>0</v>
      </c>
      <c r="AJ735" s="15" t="n">
        <f aca="false">AA735*N(R735)</f>
        <v>0</v>
      </c>
      <c r="AK735" s="15" t="n">
        <f aca="false">AB735*N(AD735)</f>
        <v>0</v>
      </c>
      <c r="AL735" s="15" t="n">
        <f aca="false">AB735*N(AE735)</f>
        <v>0</v>
      </c>
      <c r="AM735" s="15" t="n">
        <f aca="false">AB735*N(AF735)</f>
        <v>0</v>
      </c>
      <c r="AN735" s="15" t="n">
        <f aca="false">AB735*N(R735)</f>
        <v>0</v>
      </c>
      <c r="AO735" s="21" t="str">
        <f aca="false">IF(F735&lt;&gt;"Y","n/a",IF(AND(N735&lt;&gt;"",OR(Q735&lt;&gt;"",G735="Other / bench",G735="None"),U735&lt;&gt;""),"OK","Missing"))</f>
        <v>n/a</v>
      </c>
    </row>
    <row r="736" customFormat="false" ht="15" hidden="false" customHeight="false" outlineLevel="0" collapsed="false">
      <c r="A736" s="16"/>
      <c r="B736" s="16"/>
      <c r="C736" s="16"/>
      <c r="D736" s="16"/>
      <c r="E736" s="21" t="str">
        <f aca="false">IF(A736="","",A736&amp;"|"&amp;D736)</f>
        <v/>
      </c>
      <c r="F736" s="16"/>
      <c r="G736" s="16"/>
      <c r="H736" s="16"/>
      <c r="I736" s="16"/>
      <c r="J736" s="16"/>
      <c r="K736" s="14"/>
      <c r="L736" s="14"/>
      <c r="M736" s="14"/>
      <c r="N736" s="14"/>
      <c r="O736" s="14"/>
      <c r="P736" s="18" t="n">
        <f aca="false">IF(N736="",0,IF(OR(M736="",O736=""),N736,(M736+4*N736+O736)/6))</f>
        <v>0</v>
      </c>
      <c r="Q736" s="14"/>
      <c r="R736" s="14"/>
      <c r="S736" s="14"/>
      <c r="T736" s="14"/>
      <c r="U736" s="16"/>
      <c r="V736" s="13"/>
      <c r="W736" s="16"/>
      <c r="X736" s="16"/>
      <c r="Y736" s="16"/>
      <c r="Z736" s="16"/>
      <c r="AA736" s="22" t="n">
        <f aca="false">IF(F736&lt;&gt;"Y",0,((SUMIF(Products!$E$5:$E$300,A736,Products!$F$5:$F$300)+SUMIF(RM_Lots!$A$5:$A$400,A736,RM_Lots!$D$5:$D$400))+IF(W736="Y",SUMIF(Products!$E$5:$E$300,A736,Products!$G$5:$G$300),0))*(1+N(V736)))</f>
        <v>0</v>
      </c>
      <c r="AB736" s="22" t="n">
        <f aca="false">IF(F736&lt;&gt;"Y",0,((SUMIF(Products!$E$5:$E$300,A736,Products!$K$5:$K$300)+SUMIF(RM_Lots!$A$5:$A$400,A736,RM_Lots!$F$5:$F$400))+IF(W736="Y",SUMIF(Products!$E$5:$E$300,A736,Products!$L$5:$L$300),0))*(1+N(V736)))</f>
        <v>0</v>
      </c>
      <c r="AC736" s="17" t="n">
        <f aca="false">IF(J736="",1,MAX(1,COUNTIFS($J$5:$J$863,J736,$F$5:$F$863,"Y")))</f>
        <v>1</v>
      </c>
      <c r="AD736" s="18" t="n">
        <f aca="false">(MAX(1,N(I736))*(P736+N(S736))+MAX(1,N(I736))*N(K736)/(MAX(1,N(U736))*AC736))*Settings!$B$9</f>
        <v>0</v>
      </c>
      <c r="AE736" s="18" t="n">
        <f aca="false">(MAX(1,N(I736))*N(Q736)+MAX(1,N(I736))*N(L736)/(MAX(1,N(U736))*AC736))*Settings!$B$8</f>
        <v>0</v>
      </c>
      <c r="AF736" s="18" t="n">
        <f aca="false">MAX(1,N(I736))*N(T736)</f>
        <v>0</v>
      </c>
      <c r="AG736" s="15" t="n">
        <f aca="false">AA736*N(AD736)</f>
        <v>0</v>
      </c>
      <c r="AH736" s="15" t="n">
        <f aca="false">AA736*N(AE736)</f>
        <v>0</v>
      </c>
      <c r="AI736" s="15" t="n">
        <f aca="false">AA736*N(AF736)</f>
        <v>0</v>
      </c>
      <c r="AJ736" s="15" t="n">
        <f aca="false">AA736*N(R736)</f>
        <v>0</v>
      </c>
      <c r="AK736" s="15" t="n">
        <f aca="false">AB736*N(AD736)</f>
        <v>0</v>
      </c>
      <c r="AL736" s="15" t="n">
        <f aca="false">AB736*N(AE736)</f>
        <v>0</v>
      </c>
      <c r="AM736" s="15" t="n">
        <f aca="false">AB736*N(AF736)</f>
        <v>0</v>
      </c>
      <c r="AN736" s="15" t="n">
        <f aca="false">AB736*N(R736)</f>
        <v>0</v>
      </c>
      <c r="AO736" s="21" t="str">
        <f aca="false">IF(F736&lt;&gt;"Y","n/a",IF(AND(N736&lt;&gt;"",OR(Q736&lt;&gt;"",G736="Other / bench",G736="None"),U736&lt;&gt;""),"OK","Missing"))</f>
        <v>n/a</v>
      </c>
    </row>
    <row r="737" customFormat="false" ht="15" hidden="false" customHeight="false" outlineLevel="0" collapsed="false">
      <c r="A737" s="16"/>
      <c r="B737" s="16"/>
      <c r="C737" s="16"/>
      <c r="D737" s="16"/>
      <c r="E737" s="21" t="str">
        <f aca="false">IF(A737="","",A737&amp;"|"&amp;D737)</f>
        <v/>
      </c>
      <c r="F737" s="16"/>
      <c r="G737" s="16"/>
      <c r="H737" s="16"/>
      <c r="I737" s="16"/>
      <c r="J737" s="16"/>
      <c r="K737" s="14"/>
      <c r="L737" s="14"/>
      <c r="M737" s="14"/>
      <c r="N737" s="14"/>
      <c r="O737" s="14"/>
      <c r="P737" s="18" t="n">
        <f aca="false">IF(N737="",0,IF(OR(M737="",O737=""),N737,(M737+4*N737+O737)/6))</f>
        <v>0</v>
      </c>
      <c r="Q737" s="14"/>
      <c r="R737" s="14"/>
      <c r="S737" s="14"/>
      <c r="T737" s="14"/>
      <c r="U737" s="16"/>
      <c r="V737" s="13"/>
      <c r="W737" s="16"/>
      <c r="X737" s="16"/>
      <c r="Y737" s="16"/>
      <c r="Z737" s="16"/>
      <c r="AA737" s="22" t="n">
        <f aca="false">IF(F737&lt;&gt;"Y",0,((SUMIF(Products!$E$5:$E$300,A737,Products!$F$5:$F$300)+SUMIF(RM_Lots!$A$5:$A$400,A737,RM_Lots!$D$5:$D$400))+IF(W737="Y",SUMIF(Products!$E$5:$E$300,A737,Products!$G$5:$G$300),0))*(1+N(V737)))</f>
        <v>0</v>
      </c>
      <c r="AB737" s="22" t="n">
        <f aca="false">IF(F737&lt;&gt;"Y",0,((SUMIF(Products!$E$5:$E$300,A737,Products!$K$5:$K$300)+SUMIF(RM_Lots!$A$5:$A$400,A737,RM_Lots!$F$5:$F$400))+IF(W737="Y",SUMIF(Products!$E$5:$E$300,A737,Products!$L$5:$L$300),0))*(1+N(V737)))</f>
        <v>0</v>
      </c>
      <c r="AC737" s="17" t="n">
        <f aca="false">IF(J737="",1,MAX(1,COUNTIFS($J$5:$J$863,J737,$F$5:$F$863,"Y")))</f>
        <v>1</v>
      </c>
      <c r="AD737" s="18" t="n">
        <f aca="false">(MAX(1,N(I737))*(P737+N(S737))+MAX(1,N(I737))*N(K737)/(MAX(1,N(U737))*AC737))*Settings!$B$9</f>
        <v>0</v>
      </c>
      <c r="AE737" s="18" t="n">
        <f aca="false">(MAX(1,N(I737))*N(Q737)+MAX(1,N(I737))*N(L737)/(MAX(1,N(U737))*AC737))*Settings!$B$8</f>
        <v>0</v>
      </c>
      <c r="AF737" s="18" t="n">
        <f aca="false">MAX(1,N(I737))*N(T737)</f>
        <v>0</v>
      </c>
      <c r="AG737" s="15" t="n">
        <f aca="false">AA737*N(AD737)</f>
        <v>0</v>
      </c>
      <c r="AH737" s="15" t="n">
        <f aca="false">AA737*N(AE737)</f>
        <v>0</v>
      </c>
      <c r="AI737" s="15" t="n">
        <f aca="false">AA737*N(AF737)</f>
        <v>0</v>
      </c>
      <c r="AJ737" s="15" t="n">
        <f aca="false">AA737*N(R737)</f>
        <v>0</v>
      </c>
      <c r="AK737" s="15" t="n">
        <f aca="false">AB737*N(AD737)</f>
        <v>0</v>
      </c>
      <c r="AL737" s="15" t="n">
        <f aca="false">AB737*N(AE737)</f>
        <v>0</v>
      </c>
      <c r="AM737" s="15" t="n">
        <f aca="false">AB737*N(AF737)</f>
        <v>0</v>
      </c>
      <c r="AN737" s="15" t="n">
        <f aca="false">AB737*N(R737)</f>
        <v>0</v>
      </c>
      <c r="AO737" s="21" t="str">
        <f aca="false">IF(F737&lt;&gt;"Y","n/a",IF(AND(N737&lt;&gt;"",OR(Q737&lt;&gt;"",G737="Other / bench",G737="None"),U737&lt;&gt;""),"OK","Missing"))</f>
        <v>n/a</v>
      </c>
    </row>
    <row r="738" customFormat="false" ht="15" hidden="false" customHeight="false" outlineLevel="0" collapsed="false">
      <c r="A738" s="16"/>
      <c r="B738" s="16"/>
      <c r="C738" s="16"/>
      <c r="D738" s="16"/>
      <c r="E738" s="21" t="str">
        <f aca="false">IF(A738="","",A738&amp;"|"&amp;D738)</f>
        <v/>
      </c>
      <c r="F738" s="16"/>
      <c r="G738" s="16"/>
      <c r="H738" s="16"/>
      <c r="I738" s="16"/>
      <c r="J738" s="16"/>
      <c r="K738" s="14"/>
      <c r="L738" s="14"/>
      <c r="M738" s="14"/>
      <c r="N738" s="14"/>
      <c r="O738" s="14"/>
      <c r="P738" s="18" t="n">
        <f aca="false">IF(N738="",0,IF(OR(M738="",O738=""),N738,(M738+4*N738+O738)/6))</f>
        <v>0</v>
      </c>
      <c r="Q738" s="14"/>
      <c r="R738" s="14"/>
      <c r="S738" s="14"/>
      <c r="T738" s="14"/>
      <c r="U738" s="16"/>
      <c r="V738" s="13"/>
      <c r="W738" s="16"/>
      <c r="X738" s="16"/>
      <c r="Y738" s="16"/>
      <c r="Z738" s="16"/>
      <c r="AA738" s="22" t="n">
        <f aca="false">IF(F738&lt;&gt;"Y",0,((SUMIF(Products!$E$5:$E$300,A738,Products!$F$5:$F$300)+SUMIF(RM_Lots!$A$5:$A$400,A738,RM_Lots!$D$5:$D$400))+IF(W738="Y",SUMIF(Products!$E$5:$E$300,A738,Products!$G$5:$G$300),0))*(1+N(V738)))</f>
        <v>0</v>
      </c>
      <c r="AB738" s="22" t="n">
        <f aca="false">IF(F738&lt;&gt;"Y",0,((SUMIF(Products!$E$5:$E$300,A738,Products!$K$5:$K$300)+SUMIF(RM_Lots!$A$5:$A$400,A738,RM_Lots!$F$5:$F$400))+IF(W738="Y",SUMIF(Products!$E$5:$E$300,A738,Products!$L$5:$L$300),0))*(1+N(V738)))</f>
        <v>0</v>
      </c>
      <c r="AC738" s="17" t="n">
        <f aca="false">IF(J738="",1,MAX(1,COUNTIFS($J$5:$J$863,J738,$F$5:$F$863,"Y")))</f>
        <v>1</v>
      </c>
      <c r="AD738" s="18" t="n">
        <f aca="false">(MAX(1,N(I738))*(P738+N(S738))+MAX(1,N(I738))*N(K738)/(MAX(1,N(U738))*AC738))*Settings!$B$9</f>
        <v>0</v>
      </c>
      <c r="AE738" s="18" t="n">
        <f aca="false">(MAX(1,N(I738))*N(Q738)+MAX(1,N(I738))*N(L738)/(MAX(1,N(U738))*AC738))*Settings!$B$8</f>
        <v>0</v>
      </c>
      <c r="AF738" s="18" t="n">
        <f aca="false">MAX(1,N(I738))*N(T738)</f>
        <v>0</v>
      </c>
      <c r="AG738" s="15" t="n">
        <f aca="false">AA738*N(AD738)</f>
        <v>0</v>
      </c>
      <c r="AH738" s="15" t="n">
        <f aca="false">AA738*N(AE738)</f>
        <v>0</v>
      </c>
      <c r="AI738" s="15" t="n">
        <f aca="false">AA738*N(AF738)</f>
        <v>0</v>
      </c>
      <c r="AJ738" s="15" t="n">
        <f aca="false">AA738*N(R738)</f>
        <v>0</v>
      </c>
      <c r="AK738" s="15" t="n">
        <f aca="false">AB738*N(AD738)</f>
        <v>0</v>
      </c>
      <c r="AL738" s="15" t="n">
        <f aca="false">AB738*N(AE738)</f>
        <v>0</v>
      </c>
      <c r="AM738" s="15" t="n">
        <f aca="false">AB738*N(AF738)</f>
        <v>0</v>
      </c>
      <c r="AN738" s="15" t="n">
        <f aca="false">AB738*N(R738)</f>
        <v>0</v>
      </c>
      <c r="AO738" s="21" t="str">
        <f aca="false">IF(F738&lt;&gt;"Y","n/a",IF(AND(N738&lt;&gt;"",OR(Q738&lt;&gt;"",G738="Other / bench",G738="None"),U738&lt;&gt;""),"OK","Missing"))</f>
        <v>n/a</v>
      </c>
    </row>
    <row r="739" customFormat="false" ht="15" hidden="false" customHeight="false" outlineLevel="0" collapsed="false">
      <c r="A739" s="16"/>
      <c r="B739" s="16"/>
      <c r="C739" s="16"/>
      <c r="D739" s="16"/>
      <c r="E739" s="21" t="str">
        <f aca="false">IF(A739="","",A739&amp;"|"&amp;D739)</f>
        <v/>
      </c>
      <c r="F739" s="16"/>
      <c r="G739" s="16"/>
      <c r="H739" s="16"/>
      <c r="I739" s="16"/>
      <c r="J739" s="16"/>
      <c r="K739" s="14"/>
      <c r="L739" s="14"/>
      <c r="M739" s="14"/>
      <c r="N739" s="14"/>
      <c r="O739" s="14"/>
      <c r="P739" s="18" t="n">
        <f aca="false">IF(N739="",0,IF(OR(M739="",O739=""),N739,(M739+4*N739+O739)/6))</f>
        <v>0</v>
      </c>
      <c r="Q739" s="14"/>
      <c r="R739" s="14"/>
      <c r="S739" s="14"/>
      <c r="T739" s="14"/>
      <c r="U739" s="16"/>
      <c r="V739" s="13"/>
      <c r="W739" s="16"/>
      <c r="X739" s="16"/>
      <c r="Y739" s="16"/>
      <c r="Z739" s="16"/>
      <c r="AA739" s="22" t="n">
        <f aca="false">IF(F739&lt;&gt;"Y",0,((SUMIF(Products!$E$5:$E$300,A739,Products!$F$5:$F$300)+SUMIF(RM_Lots!$A$5:$A$400,A739,RM_Lots!$D$5:$D$400))+IF(W739="Y",SUMIF(Products!$E$5:$E$300,A739,Products!$G$5:$G$300),0))*(1+N(V739)))</f>
        <v>0</v>
      </c>
      <c r="AB739" s="22" t="n">
        <f aca="false">IF(F739&lt;&gt;"Y",0,((SUMIF(Products!$E$5:$E$300,A739,Products!$K$5:$K$300)+SUMIF(RM_Lots!$A$5:$A$400,A739,RM_Lots!$F$5:$F$400))+IF(W739="Y",SUMIF(Products!$E$5:$E$300,A739,Products!$L$5:$L$300),0))*(1+N(V739)))</f>
        <v>0</v>
      </c>
      <c r="AC739" s="17" t="n">
        <f aca="false">IF(J739="",1,MAX(1,COUNTIFS($J$5:$J$863,J739,$F$5:$F$863,"Y")))</f>
        <v>1</v>
      </c>
      <c r="AD739" s="18" t="n">
        <f aca="false">(MAX(1,N(I739))*(P739+N(S739))+MAX(1,N(I739))*N(K739)/(MAX(1,N(U739))*AC739))*Settings!$B$9</f>
        <v>0</v>
      </c>
      <c r="AE739" s="18" t="n">
        <f aca="false">(MAX(1,N(I739))*N(Q739)+MAX(1,N(I739))*N(L739)/(MAX(1,N(U739))*AC739))*Settings!$B$8</f>
        <v>0</v>
      </c>
      <c r="AF739" s="18" t="n">
        <f aca="false">MAX(1,N(I739))*N(T739)</f>
        <v>0</v>
      </c>
      <c r="AG739" s="15" t="n">
        <f aca="false">AA739*N(AD739)</f>
        <v>0</v>
      </c>
      <c r="AH739" s="15" t="n">
        <f aca="false">AA739*N(AE739)</f>
        <v>0</v>
      </c>
      <c r="AI739" s="15" t="n">
        <f aca="false">AA739*N(AF739)</f>
        <v>0</v>
      </c>
      <c r="AJ739" s="15" t="n">
        <f aca="false">AA739*N(R739)</f>
        <v>0</v>
      </c>
      <c r="AK739" s="15" t="n">
        <f aca="false">AB739*N(AD739)</f>
        <v>0</v>
      </c>
      <c r="AL739" s="15" t="n">
        <f aca="false">AB739*N(AE739)</f>
        <v>0</v>
      </c>
      <c r="AM739" s="15" t="n">
        <f aca="false">AB739*N(AF739)</f>
        <v>0</v>
      </c>
      <c r="AN739" s="15" t="n">
        <f aca="false">AB739*N(R739)</f>
        <v>0</v>
      </c>
      <c r="AO739" s="21" t="str">
        <f aca="false">IF(F739&lt;&gt;"Y","n/a",IF(AND(N739&lt;&gt;"",OR(Q739&lt;&gt;"",G739="Other / bench",G739="None"),U739&lt;&gt;""),"OK","Missing"))</f>
        <v>n/a</v>
      </c>
    </row>
    <row r="740" customFormat="false" ht="15" hidden="false" customHeight="false" outlineLevel="0" collapsed="false">
      <c r="A740" s="16"/>
      <c r="B740" s="16"/>
      <c r="C740" s="16"/>
      <c r="D740" s="16"/>
      <c r="E740" s="21" t="str">
        <f aca="false">IF(A740="","",A740&amp;"|"&amp;D740)</f>
        <v/>
      </c>
      <c r="F740" s="16"/>
      <c r="G740" s="16"/>
      <c r="H740" s="16"/>
      <c r="I740" s="16"/>
      <c r="J740" s="16"/>
      <c r="K740" s="14"/>
      <c r="L740" s="14"/>
      <c r="M740" s="14"/>
      <c r="N740" s="14"/>
      <c r="O740" s="14"/>
      <c r="P740" s="18" t="n">
        <f aca="false">IF(N740="",0,IF(OR(M740="",O740=""),N740,(M740+4*N740+O740)/6))</f>
        <v>0</v>
      </c>
      <c r="Q740" s="14"/>
      <c r="R740" s="14"/>
      <c r="S740" s="14"/>
      <c r="T740" s="14"/>
      <c r="U740" s="16"/>
      <c r="V740" s="13"/>
      <c r="W740" s="16"/>
      <c r="X740" s="16"/>
      <c r="Y740" s="16"/>
      <c r="Z740" s="16"/>
      <c r="AA740" s="22" t="n">
        <f aca="false">IF(F740&lt;&gt;"Y",0,((SUMIF(Products!$E$5:$E$300,A740,Products!$F$5:$F$300)+SUMIF(RM_Lots!$A$5:$A$400,A740,RM_Lots!$D$5:$D$400))+IF(W740="Y",SUMIF(Products!$E$5:$E$300,A740,Products!$G$5:$G$300),0))*(1+N(V740)))</f>
        <v>0</v>
      </c>
      <c r="AB740" s="22" t="n">
        <f aca="false">IF(F740&lt;&gt;"Y",0,((SUMIF(Products!$E$5:$E$300,A740,Products!$K$5:$K$300)+SUMIF(RM_Lots!$A$5:$A$400,A740,RM_Lots!$F$5:$F$400))+IF(W740="Y",SUMIF(Products!$E$5:$E$300,A740,Products!$L$5:$L$300),0))*(1+N(V740)))</f>
        <v>0</v>
      </c>
      <c r="AC740" s="17" t="n">
        <f aca="false">IF(J740="",1,MAX(1,COUNTIFS($J$5:$J$863,J740,$F$5:$F$863,"Y")))</f>
        <v>1</v>
      </c>
      <c r="AD740" s="18" t="n">
        <f aca="false">(MAX(1,N(I740))*(P740+N(S740))+MAX(1,N(I740))*N(K740)/(MAX(1,N(U740))*AC740))*Settings!$B$9</f>
        <v>0</v>
      </c>
      <c r="AE740" s="18" t="n">
        <f aca="false">(MAX(1,N(I740))*N(Q740)+MAX(1,N(I740))*N(L740)/(MAX(1,N(U740))*AC740))*Settings!$B$8</f>
        <v>0</v>
      </c>
      <c r="AF740" s="18" t="n">
        <f aca="false">MAX(1,N(I740))*N(T740)</f>
        <v>0</v>
      </c>
      <c r="AG740" s="15" t="n">
        <f aca="false">AA740*N(AD740)</f>
        <v>0</v>
      </c>
      <c r="AH740" s="15" t="n">
        <f aca="false">AA740*N(AE740)</f>
        <v>0</v>
      </c>
      <c r="AI740" s="15" t="n">
        <f aca="false">AA740*N(AF740)</f>
        <v>0</v>
      </c>
      <c r="AJ740" s="15" t="n">
        <f aca="false">AA740*N(R740)</f>
        <v>0</v>
      </c>
      <c r="AK740" s="15" t="n">
        <f aca="false">AB740*N(AD740)</f>
        <v>0</v>
      </c>
      <c r="AL740" s="15" t="n">
        <f aca="false">AB740*N(AE740)</f>
        <v>0</v>
      </c>
      <c r="AM740" s="15" t="n">
        <f aca="false">AB740*N(AF740)</f>
        <v>0</v>
      </c>
      <c r="AN740" s="15" t="n">
        <f aca="false">AB740*N(R740)</f>
        <v>0</v>
      </c>
      <c r="AO740" s="21" t="str">
        <f aca="false">IF(F740&lt;&gt;"Y","n/a",IF(AND(N740&lt;&gt;"",OR(Q740&lt;&gt;"",G740="Other / bench",G740="None"),U740&lt;&gt;""),"OK","Missing"))</f>
        <v>n/a</v>
      </c>
    </row>
    <row r="741" customFormat="false" ht="15" hidden="false" customHeight="false" outlineLevel="0" collapsed="false">
      <c r="A741" s="16"/>
      <c r="B741" s="16"/>
      <c r="C741" s="16"/>
      <c r="D741" s="16"/>
      <c r="E741" s="21" t="str">
        <f aca="false">IF(A741="","",A741&amp;"|"&amp;D741)</f>
        <v/>
      </c>
      <c r="F741" s="16"/>
      <c r="G741" s="16"/>
      <c r="H741" s="16"/>
      <c r="I741" s="16"/>
      <c r="J741" s="16"/>
      <c r="K741" s="14"/>
      <c r="L741" s="14"/>
      <c r="M741" s="14"/>
      <c r="N741" s="14"/>
      <c r="O741" s="14"/>
      <c r="P741" s="18" t="n">
        <f aca="false">IF(N741="",0,IF(OR(M741="",O741=""),N741,(M741+4*N741+O741)/6))</f>
        <v>0</v>
      </c>
      <c r="Q741" s="14"/>
      <c r="R741" s="14"/>
      <c r="S741" s="14"/>
      <c r="T741" s="14"/>
      <c r="U741" s="16"/>
      <c r="V741" s="13"/>
      <c r="W741" s="16"/>
      <c r="X741" s="16"/>
      <c r="Y741" s="16"/>
      <c r="Z741" s="16"/>
      <c r="AA741" s="22" t="n">
        <f aca="false">IF(F741&lt;&gt;"Y",0,((SUMIF(Products!$E$5:$E$300,A741,Products!$F$5:$F$300)+SUMIF(RM_Lots!$A$5:$A$400,A741,RM_Lots!$D$5:$D$400))+IF(W741="Y",SUMIF(Products!$E$5:$E$300,A741,Products!$G$5:$G$300),0))*(1+N(V741)))</f>
        <v>0</v>
      </c>
      <c r="AB741" s="22" t="n">
        <f aca="false">IF(F741&lt;&gt;"Y",0,((SUMIF(Products!$E$5:$E$300,A741,Products!$K$5:$K$300)+SUMIF(RM_Lots!$A$5:$A$400,A741,RM_Lots!$F$5:$F$400))+IF(W741="Y",SUMIF(Products!$E$5:$E$300,A741,Products!$L$5:$L$300),0))*(1+N(V741)))</f>
        <v>0</v>
      </c>
      <c r="AC741" s="17" t="n">
        <f aca="false">IF(J741="",1,MAX(1,COUNTIFS($J$5:$J$863,J741,$F$5:$F$863,"Y")))</f>
        <v>1</v>
      </c>
      <c r="AD741" s="18" t="n">
        <f aca="false">(MAX(1,N(I741))*(P741+N(S741))+MAX(1,N(I741))*N(K741)/(MAX(1,N(U741))*AC741))*Settings!$B$9</f>
        <v>0</v>
      </c>
      <c r="AE741" s="18" t="n">
        <f aca="false">(MAX(1,N(I741))*N(Q741)+MAX(1,N(I741))*N(L741)/(MAX(1,N(U741))*AC741))*Settings!$B$8</f>
        <v>0</v>
      </c>
      <c r="AF741" s="18" t="n">
        <f aca="false">MAX(1,N(I741))*N(T741)</f>
        <v>0</v>
      </c>
      <c r="AG741" s="15" t="n">
        <f aca="false">AA741*N(AD741)</f>
        <v>0</v>
      </c>
      <c r="AH741" s="15" t="n">
        <f aca="false">AA741*N(AE741)</f>
        <v>0</v>
      </c>
      <c r="AI741" s="15" t="n">
        <f aca="false">AA741*N(AF741)</f>
        <v>0</v>
      </c>
      <c r="AJ741" s="15" t="n">
        <f aca="false">AA741*N(R741)</f>
        <v>0</v>
      </c>
      <c r="AK741" s="15" t="n">
        <f aca="false">AB741*N(AD741)</f>
        <v>0</v>
      </c>
      <c r="AL741" s="15" t="n">
        <f aca="false">AB741*N(AE741)</f>
        <v>0</v>
      </c>
      <c r="AM741" s="15" t="n">
        <f aca="false">AB741*N(AF741)</f>
        <v>0</v>
      </c>
      <c r="AN741" s="15" t="n">
        <f aca="false">AB741*N(R741)</f>
        <v>0</v>
      </c>
      <c r="AO741" s="21" t="str">
        <f aca="false">IF(F741&lt;&gt;"Y","n/a",IF(AND(N741&lt;&gt;"",OR(Q741&lt;&gt;"",G741="Other / bench",G741="None"),U741&lt;&gt;""),"OK","Missing"))</f>
        <v>n/a</v>
      </c>
    </row>
    <row r="742" customFormat="false" ht="15" hidden="false" customHeight="false" outlineLevel="0" collapsed="false">
      <c r="A742" s="16"/>
      <c r="B742" s="16"/>
      <c r="C742" s="16"/>
      <c r="D742" s="16"/>
      <c r="E742" s="21" t="str">
        <f aca="false">IF(A742="","",A742&amp;"|"&amp;D742)</f>
        <v/>
      </c>
      <c r="F742" s="16"/>
      <c r="G742" s="16"/>
      <c r="H742" s="16"/>
      <c r="I742" s="16"/>
      <c r="J742" s="16"/>
      <c r="K742" s="14"/>
      <c r="L742" s="14"/>
      <c r="M742" s="14"/>
      <c r="N742" s="14"/>
      <c r="O742" s="14"/>
      <c r="P742" s="18" t="n">
        <f aca="false">IF(N742="",0,IF(OR(M742="",O742=""),N742,(M742+4*N742+O742)/6))</f>
        <v>0</v>
      </c>
      <c r="Q742" s="14"/>
      <c r="R742" s="14"/>
      <c r="S742" s="14"/>
      <c r="T742" s="14"/>
      <c r="U742" s="16"/>
      <c r="V742" s="13"/>
      <c r="W742" s="16"/>
      <c r="X742" s="16"/>
      <c r="Y742" s="16"/>
      <c r="Z742" s="16"/>
      <c r="AA742" s="22" t="n">
        <f aca="false">IF(F742&lt;&gt;"Y",0,((SUMIF(Products!$E$5:$E$300,A742,Products!$F$5:$F$300)+SUMIF(RM_Lots!$A$5:$A$400,A742,RM_Lots!$D$5:$D$400))+IF(W742="Y",SUMIF(Products!$E$5:$E$300,A742,Products!$G$5:$G$300),0))*(1+N(V742)))</f>
        <v>0</v>
      </c>
      <c r="AB742" s="22" t="n">
        <f aca="false">IF(F742&lt;&gt;"Y",0,((SUMIF(Products!$E$5:$E$300,A742,Products!$K$5:$K$300)+SUMIF(RM_Lots!$A$5:$A$400,A742,RM_Lots!$F$5:$F$400))+IF(W742="Y",SUMIF(Products!$E$5:$E$300,A742,Products!$L$5:$L$300),0))*(1+N(V742)))</f>
        <v>0</v>
      </c>
      <c r="AC742" s="17" t="n">
        <f aca="false">IF(J742="",1,MAX(1,COUNTIFS($J$5:$J$863,J742,$F$5:$F$863,"Y")))</f>
        <v>1</v>
      </c>
      <c r="AD742" s="18" t="n">
        <f aca="false">(MAX(1,N(I742))*(P742+N(S742))+MAX(1,N(I742))*N(K742)/(MAX(1,N(U742))*AC742))*Settings!$B$9</f>
        <v>0</v>
      </c>
      <c r="AE742" s="18" t="n">
        <f aca="false">(MAX(1,N(I742))*N(Q742)+MAX(1,N(I742))*N(L742)/(MAX(1,N(U742))*AC742))*Settings!$B$8</f>
        <v>0</v>
      </c>
      <c r="AF742" s="18" t="n">
        <f aca="false">MAX(1,N(I742))*N(T742)</f>
        <v>0</v>
      </c>
      <c r="AG742" s="15" t="n">
        <f aca="false">AA742*N(AD742)</f>
        <v>0</v>
      </c>
      <c r="AH742" s="15" t="n">
        <f aca="false">AA742*N(AE742)</f>
        <v>0</v>
      </c>
      <c r="AI742" s="15" t="n">
        <f aca="false">AA742*N(AF742)</f>
        <v>0</v>
      </c>
      <c r="AJ742" s="15" t="n">
        <f aca="false">AA742*N(R742)</f>
        <v>0</v>
      </c>
      <c r="AK742" s="15" t="n">
        <f aca="false">AB742*N(AD742)</f>
        <v>0</v>
      </c>
      <c r="AL742" s="15" t="n">
        <f aca="false">AB742*N(AE742)</f>
        <v>0</v>
      </c>
      <c r="AM742" s="15" t="n">
        <f aca="false">AB742*N(AF742)</f>
        <v>0</v>
      </c>
      <c r="AN742" s="15" t="n">
        <f aca="false">AB742*N(R742)</f>
        <v>0</v>
      </c>
      <c r="AO742" s="21" t="str">
        <f aca="false">IF(F742&lt;&gt;"Y","n/a",IF(AND(N742&lt;&gt;"",OR(Q742&lt;&gt;"",G742="Other / bench",G742="None"),U742&lt;&gt;""),"OK","Missing"))</f>
        <v>n/a</v>
      </c>
    </row>
    <row r="743" customFormat="false" ht="15" hidden="false" customHeight="false" outlineLevel="0" collapsed="false">
      <c r="A743" s="16"/>
      <c r="B743" s="16"/>
      <c r="C743" s="16"/>
      <c r="D743" s="16"/>
      <c r="E743" s="21" t="str">
        <f aca="false">IF(A743="","",A743&amp;"|"&amp;D743)</f>
        <v/>
      </c>
      <c r="F743" s="16"/>
      <c r="G743" s="16"/>
      <c r="H743" s="16"/>
      <c r="I743" s="16"/>
      <c r="J743" s="16"/>
      <c r="K743" s="14"/>
      <c r="L743" s="14"/>
      <c r="M743" s="14"/>
      <c r="N743" s="14"/>
      <c r="O743" s="14"/>
      <c r="P743" s="18" t="n">
        <f aca="false">IF(N743="",0,IF(OR(M743="",O743=""),N743,(M743+4*N743+O743)/6))</f>
        <v>0</v>
      </c>
      <c r="Q743" s="14"/>
      <c r="R743" s="14"/>
      <c r="S743" s="14"/>
      <c r="T743" s="14"/>
      <c r="U743" s="16"/>
      <c r="V743" s="13"/>
      <c r="W743" s="16"/>
      <c r="X743" s="16"/>
      <c r="Y743" s="16"/>
      <c r="Z743" s="16"/>
      <c r="AA743" s="22" t="n">
        <f aca="false">IF(F743&lt;&gt;"Y",0,((SUMIF(Products!$E$5:$E$300,A743,Products!$F$5:$F$300)+SUMIF(RM_Lots!$A$5:$A$400,A743,RM_Lots!$D$5:$D$400))+IF(W743="Y",SUMIF(Products!$E$5:$E$300,A743,Products!$G$5:$G$300),0))*(1+N(V743)))</f>
        <v>0</v>
      </c>
      <c r="AB743" s="22" t="n">
        <f aca="false">IF(F743&lt;&gt;"Y",0,((SUMIF(Products!$E$5:$E$300,A743,Products!$K$5:$K$300)+SUMIF(RM_Lots!$A$5:$A$400,A743,RM_Lots!$F$5:$F$400))+IF(W743="Y",SUMIF(Products!$E$5:$E$300,A743,Products!$L$5:$L$300),0))*(1+N(V743)))</f>
        <v>0</v>
      </c>
      <c r="AC743" s="17" t="n">
        <f aca="false">IF(J743="",1,MAX(1,COUNTIFS($J$5:$J$863,J743,$F$5:$F$863,"Y")))</f>
        <v>1</v>
      </c>
      <c r="AD743" s="18" t="n">
        <f aca="false">(MAX(1,N(I743))*(P743+N(S743))+MAX(1,N(I743))*N(K743)/(MAX(1,N(U743))*AC743))*Settings!$B$9</f>
        <v>0</v>
      </c>
      <c r="AE743" s="18" t="n">
        <f aca="false">(MAX(1,N(I743))*N(Q743)+MAX(1,N(I743))*N(L743)/(MAX(1,N(U743))*AC743))*Settings!$B$8</f>
        <v>0</v>
      </c>
      <c r="AF743" s="18" t="n">
        <f aca="false">MAX(1,N(I743))*N(T743)</f>
        <v>0</v>
      </c>
      <c r="AG743" s="15" t="n">
        <f aca="false">AA743*N(AD743)</f>
        <v>0</v>
      </c>
      <c r="AH743" s="15" t="n">
        <f aca="false">AA743*N(AE743)</f>
        <v>0</v>
      </c>
      <c r="AI743" s="15" t="n">
        <f aca="false">AA743*N(AF743)</f>
        <v>0</v>
      </c>
      <c r="AJ743" s="15" t="n">
        <f aca="false">AA743*N(R743)</f>
        <v>0</v>
      </c>
      <c r="AK743" s="15" t="n">
        <f aca="false">AB743*N(AD743)</f>
        <v>0</v>
      </c>
      <c r="AL743" s="15" t="n">
        <f aca="false">AB743*N(AE743)</f>
        <v>0</v>
      </c>
      <c r="AM743" s="15" t="n">
        <f aca="false">AB743*N(AF743)</f>
        <v>0</v>
      </c>
      <c r="AN743" s="15" t="n">
        <f aca="false">AB743*N(R743)</f>
        <v>0</v>
      </c>
      <c r="AO743" s="21" t="str">
        <f aca="false">IF(F743&lt;&gt;"Y","n/a",IF(AND(N743&lt;&gt;"",OR(Q743&lt;&gt;"",G743="Other / bench",G743="None"),U743&lt;&gt;""),"OK","Missing"))</f>
        <v>n/a</v>
      </c>
    </row>
    <row r="744" customFormat="false" ht="15" hidden="false" customHeight="false" outlineLevel="0" collapsed="false">
      <c r="A744" s="16"/>
      <c r="B744" s="16"/>
      <c r="C744" s="16"/>
      <c r="D744" s="16"/>
      <c r="E744" s="21" t="str">
        <f aca="false">IF(A744="","",A744&amp;"|"&amp;D744)</f>
        <v/>
      </c>
      <c r="F744" s="16"/>
      <c r="G744" s="16"/>
      <c r="H744" s="16"/>
      <c r="I744" s="16"/>
      <c r="J744" s="16"/>
      <c r="K744" s="14"/>
      <c r="L744" s="14"/>
      <c r="M744" s="14"/>
      <c r="N744" s="14"/>
      <c r="O744" s="14"/>
      <c r="P744" s="18" t="n">
        <f aca="false">IF(N744="",0,IF(OR(M744="",O744=""),N744,(M744+4*N744+O744)/6))</f>
        <v>0</v>
      </c>
      <c r="Q744" s="14"/>
      <c r="R744" s="14"/>
      <c r="S744" s="14"/>
      <c r="T744" s="14"/>
      <c r="U744" s="16"/>
      <c r="V744" s="13"/>
      <c r="W744" s="16"/>
      <c r="X744" s="16"/>
      <c r="Y744" s="16"/>
      <c r="Z744" s="16"/>
      <c r="AA744" s="22" t="n">
        <f aca="false">IF(F744&lt;&gt;"Y",0,((SUMIF(Products!$E$5:$E$300,A744,Products!$F$5:$F$300)+SUMIF(RM_Lots!$A$5:$A$400,A744,RM_Lots!$D$5:$D$400))+IF(W744="Y",SUMIF(Products!$E$5:$E$300,A744,Products!$G$5:$G$300),0))*(1+N(V744)))</f>
        <v>0</v>
      </c>
      <c r="AB744" s="22" t="n">
        <f aca="false">IF(F744&lt;&gt;"Y",0,((SUMIF(Products!$E$5:$E$300,A744,Products!$K$5:$K$300)+SUMIF(RM_Lots!$A$5:$A$400,A744,RM_Lots!$F$5:$F$400))+IF(W744="Y",SUMIF(Products!$E$5:$E$300,A744,Products!$L$5:$L$300),0))*(1+N(V744)))</f>
        <v>0</v>
      </c>
      <c r="AC744" s="17" t="n">
        <f aca="false">IF(J744="",1,MAX(1,COUNTIFS($J$5:$J$863,J744,$F$5:$F$863,"Y")))</f>
        <v>1</v>
      </c>
      <c r="AD744" s="18" t="n">
        <f aca="false">(MAX(1,N(I744))*(P744+N(S744))+MAX(1,N(I744))*N(K744)/(MAX(1,N(U744))*AC744))*Settings!$B$9</f>
        <v>0</v>
      </c>
      <c r="AE744" s="18" t="n">
        <f aca="false">(MAX(1,N(I744))*N(Q744)+MAX(1,N(I744))*N(L744)/(MAX(1,N(U744))*AC744))*Settings!$B$8</f>
        <v>0</v>
      </c>
      <c r="AF744" s="18" t="n">
        <f aca="false">MAX(1,N(I744))*N(T744)</f>
        <v>0</v>
      </c>
      <c r="AG744" s="15" t="n">
        <f aca="false">AA744*N(AD744)</f>
        <v>0</v>
      </c>
      <c r="AH744" s="15" t="n">
        <f aca="false">AA744*N(AE744)</f>
        <v>0</v>
      </c>
      <c r="AI744" s="15" t="n">
        <f aca="false">AA744*N(AF744)</f>
        <v>0</v>
      </c>
      <c r="AJ744" s="15" t="n">
        <f aca="false">AA744*N(R744)</f>
        <v>0</v>
      </c>
      <c r="AK744" s="15" t="n">
        <f aca="false">AB744*N(AD744)</f>
        <v>0</v>
      </c>
      <c r="AL744" s="15" t="n">
        <f aca="false">AB744*N(AE744)</f>
        <v>0</v>
      </c>
      <c r="AM744" s="15" t="n">
        <f aca="false">AB744*N(AF744)</f>
        <v>0</v>
      </c>
      <c r="AN744" s="15" t="n">
        <f aca="false">AB744*N(R744)</f>
        <v>0</v>
      </c>
      <c r="AO744" s="21" t="str">
        <f aca="false">IF(F744&lt;&gt;"Y","n/a",IF(AND(N744&lt;&gt;"",OR(Q744&lt;&gt;"",G744="Other / bench",G744="None"),U744&lt;&gt;""),"OK","Missing"))</f>
        <v>n/a</v>
      </c>
    </row>
    <row r="745" customFormat="false" ht="15" hidden="false" customHeight="false" outlineLevel="0" collapsed="false">
      <c r="A745" s="16"/>
      <c r="B745" s="16"/>
      <c r="C745" s="16"/>
      <c r="D745" s="16"/>
      <c r="E745" s="21" t="str">
        <f aca="false">IF(A745="","",A745&amp;"|"&amp;D745)</f>
        <v/>
      </c>
      <c r="F745" s="16"/>
      <c r="G745" s="16"/>
      <c r="H745" s="16"/>
      <c r="I745" s="16"/>
      <c r="J745" s="16"/>
      <c r="K745" s="14"/>
      <c r="L745" s="14"/>
      <c r="M745" s="14"/>
      <c r="N745" s="14"/>
      <c r="O745" s="14"/>
      <c r="P745" s="18" t="n">
        <f aca="false">IF(N745="",0,IF(OR(M745="",O745=""),N745,(M745+4*N745+O745)/6))</f>
        <v>0</v>
      </c>
      <c r="Q745" s="14"/>
      <c r="R745" s="14"/>
      <c r="S745" s="14"/>
      <c r="T745" s="14"/>
      <c r="U745" s="16"/>
      <c r="V745" s="13"/>
      <c r="W745" s="16"/>
      <c r="X745" s="16"/>
      <c r="Y745" s="16"/>
      <c r="Z745" s="16"/>
      <c r="AA745" s="22" t="n">
        <f aca="false">IF(F745&lt;&gt;"Y",0,((SUMIF(Products!$E$5:$E$300,A745,Products!$F$5:$F$300)+SUMIF(RM_Lots!$A$5:$A$400,A745,RM_Lots!$D$5:$D$400))+IF(W745="Y",SUMIF(Products!$E$5:$E$300,A745,Products!$G$5:$G$300),0))*(1+N(V745)))</f>
        <v>0</v>
      </c>
      <c r="AB745" s="22" t="n">
        <f aca="false">IF(F745&lt;&gt;"Y",0,((SUMIF(Products!$E$5:$E$300,A745,Products!$K$5:$K$300)+SUMIF(RM_Lots!$A$5:$A$400,A745,RM_Lots!$F$5:$F$400))+IF(W745="Y",SUMIF(Products!$E$5:$E$300,A745,Products!$L$5:$L$300),0))*(1+N(V745)))</f>
        <v>0</v>
      </c>
      <c r="AC745" s="17" t="n">
        <f aca="false">IF(J745="",1,MAX(1,COUNTIFS($J$5:$J$863,J745,$F$5:$F$863,"Y")))</f>
        <v>1</v>
      </c>
      <c r="AD745" s="18" t="n">
        <f aca="false">(MAX(1,N(I745))*(P745+N(S745))+MAX(1,N(I745))*N(K745)/(MAX(1,N(U745))*AC745))*Settings!$B$9</f>
        <v>0</v>
      </c>
      <c r="AE745" s="18" t="n">
        <f aca="false">(MAX(1,N(I745))*N(Q745)+MAX(1,N(I745))*N(L745)/(MAX(1,N(U745))*AC745))*Settings!$B$8</f>
        <v>0</v>
      </c>
      <c r="AF745" s="18" t="n">
        <f aca="false">MAX(1,N(I745))*N(T745)</f>
        <v>0</v>
      </c>
      <c r="AG745" s="15" t="n">
        <f aca="false">AA745*N(AD745)</f>
        <v>0</v>
      </c>
      <c r="AH745" s="15" t="n">
        <f aca="false">AA745*N(AE745)</f>
        <v>0</v>
      </c>
      <c r="AI745" s="15" t="n">
        <f aca="false">AA745*N(AF745)</f>
        <v>0</v>
      </c>
      <c r="AJ745" s="15" t="n">
        <f aca="false">AA745*N(R745)</f>
        <v>0</v>
      </c>
      <c r="AK745" s="15" t="n">
        <f aca="false">AB745*N(AD745)</f>
        <v>0</v>
      </c>
      <c r="AL745" s="15" t="n">
        <f aca="false">AB745*N(AE745)</f>
        <v>0</v>
      </c>
      <c r="AM745" s="15" t="n">
        <f aca="false">AB745*N(AF745)</f>
        <v>0</v>
      </c>
      <c r="AN745" s="15" t="n">
        <f aca="false">AB745*N(R745)</f>
        <v>0</v>
      </c>
      <c r="AO745" s="21" t="str">
        <f aca="false">IF(F745&lt;&gt;"Y","n/a",IF(AND(N745&lt;&gt;"",OR(Q745&lt;&gt;"",G745="Other / bench",G745="None"),U745&lt;&gt;""),"OK","Missing"))</f>
        <v>n/a</v>
      </c>
    </row>
    <row r="746" customFormat="false" ht="15" hidden="false" customHeight="false" outlineLevel="0" collapsed="false">
      <c r="A746" s="16"/>
      <c r="B746" s="16"/>
      <c r="C746" s="16"/>
      <c r="D746" s="16"/>
      <c r="E746" s="21" t="str">
        <f aca="false">IF(A746="","",A746&amp;"|"&amp;D746)</f>
        <v/>
      </c>
      <c r="F746" s="16"/>
      <c r="G746" s="16"/>
      <c r="H746" s="16"/>
      <c r="I746" s="16"/>
      <c r="J746" s="16"/>
      <c r="K746" s="14"/>
      <c r="L746" s="14"/>
      <c r="M746" s="14"/>
      <c r="N746" s="14"/>
      <c r="O746" s="14"/>
      <c r="P746" s="18" t="n">
        <f aca="false">IF(N746="",0,IF(OR(M746="",O746=""),N746,(M746+4*N746+O746)/6))</f>
        <v>0</v>
      </c>
      <c r="Q746" s="14"/>
      <c r="R746" s="14"/>
      <c r="S746" s="14"/>
      <c r="T746" s="14"/>
      <c r="U746" s="16"/>
      <c r="V746" s="13"/>
      <c r="W746" s="16"/>
      <c r="X746" s="16"/>
      <c r="Y746" s="16"/>
      <c r="Z746" s="16"/>
      <c r="AA746" s="22" t="n">
        <f aca="false">IF(F746&lt;&gt;"Y",0,((SUMIF(Products!$E$5:$E$300,A746,Products!$F$5:$F$300)+SUMIF(RM_Lots!$A$5:$A$400,A746,RM_Lots!$D$5:$D$400))+IF(W746="Y",SUMIF(Products!$E$5:$E$300,A746,Products!$G$5:$G$300),0))*(1+N(V746)))</f>
        <v>0</v>
      </c>
      <c r="AB746" s="22" t="n">
        <f aca="false">IF(F746&lt;&gt;"Y",0,((SUMIF(Products!$E$5:$E$300,A746,Products!$K$5:$K$300)+SUMIF(RM_Lots!$A$5:$A$400,A746,RM_Lots!$F$5:$F$400))+IF(W746="Y",SUMIF(Products!$E$5:$E$300,A746,Products!$L$5:$L$300),0))*(1+N(V746)))</f>
        <v>0</v>
      </c>
      <c r="AC746" s="17" t="n">
        <f aca="false">IF(J746="",1,MAX(1,COUNTIFS($J$5:$J$863,J746,$F$5:$F$863,"Y")))</f>
        <v>1</v>
      </c>
      <c r="AD746" s="18" t="n">
        <f aca="false">(MAX(1,N(I746))*(P746+N(S746))+MAX(1,N(I746))*N(K746)/(MAX(1,N(U746))*AC746))*Settings!$B$9</f>
        <v>0</v>
      </c>
      <c r="AE746" s="18" t="n">
        <f aca="false">(MAX(1,N(I746))*N(Q746)+MAX(1,N(I746))*N(L746)/(MAX(1,N(U746))*AC746))*Settings!$B$8</f>
        <v>0</v>
      </c>
      <c r="AF746" s="18" t="n">
        <f aca="false">MAX(1,N(I746))*N(T746)</f>
        <v>0</v>
      </c>
      <c r="AG746" s="15" t="n">
        <f aca="false">AA746*N(AD746)</f>
        <v>0</v>
      </c>
      <c r="AH746" s="15" t="n">
        <f aca="false">AA746*N(AE746)</f>
        <v>0</v>
      </c>
      <c r="AI746" s="15" t="n">
        <f aca="false">AA746*N(AF746)</f>
        <v>0</v>
      </c>
      <c r="AJ746" s="15" t="n">
        <f aca="false">AA746*N(R746)</f>
        <v>0</v>
      </c>
      <c r="AK746" s="15" t="n">
        <f aca="false">AB746*N(AD746)</f>
        <v>0</v>
      </c>
      <c r="AL746" s="15" t="n">
        <f aca="false">AB746*N(AE746)</f>
        <v>0</v>
      </c>
      <c r="AM746" s="15" t="n">
        <f aca="false">AB746*N(AF746)</f>
        <v>0</v>
      </c>
      <c r="AN746" s="15" t="n">
        <f aca="false">AB746*N(R746)</f>
        <v>0</v>
      </c>
      <c r="AO746" s="21" t="str">
        <f aca="false">IF(F746&lt;&gt;"Y","n/a",IF(AND(N746&lt;&gt;"",OR(Q746&lt;&gt;"",G746="Other / bench",G746="None"),U746&lt;&gt;""),"OK","Missing"))</f>
        <v>n/a</v>
      </c>
    </row>
    <row r="747" customFormat="false" ht="15" hidden="false" customHeight="false" outlineLevel="0" collapsed="false">
      <c r="A747" s="16"/>
      <c r="B747" s="16"/>
      <c r="C747" s="16"/>
      <c r="D747" s="16"/>
      <c r="E747" s="21" t="str">
        <f aca="false">IF(A747="","",A747&amp;"|"&amp;D747)</f>
        <v/>
      </c>
      <c r="F747" s="16"/>
      <c r="G747" s="16"/>
      <c r="H747" s="16"/>
      <c r="I747" s="16"/>
      <c r="J747" s="16"/>
      <c r="K747" s="14"/>
      <c r="L747" s="14"/>
      <c r="M747" s="14"/>
      <c r="N747" s="14"/>
      <c r="O747" s="14"/>
      <c r="P747" s="18" t="n">
        <f aca="false">IF(N747="",0,IF(OR(M747="",O747=""),N747,(M747+4*N747+O747)/6))</f>
        <v>0</v>
      </c>
      <c r="Q747" s="14"/>
      <c r="R747" s="14"/>
      <c r="S747" s="14"/>
      <c r="T747" s="14"/>
      <c r="U747" s="16"/>
      <c r="V747" s="13"/>
      <c r="W747" s="16"/>
      <c r="X747" s="16"/>
      <c r="Y747" s="16"/>
      <c r="Z747" s="16"/>
      <c r="AA747" s="22" t="n">
        <f aca="false">IF(F747&lt;&gt;"Y",0,((SUMIF(Products!$E$5:$E$300,A747,Products!$F$5:$F$300)+SUMIF(RM_Lots!$A$5:$A$400,A747,RM_Lots!$D$5:$D$400))+IF(W747="Y",SUMIF(Products!$E$5:$E$300,A747,Products!$G$5:$G$300),0))*(1+N(V747)))</f>
        <v>0</v>
      </c>
      <c r="AB747" s="22" t="n">
        <f aca="false">IF(F747&lt;&gt;"Y",0,((SUMIF(Products!$E$5:$E$300,A747,Products!$K$5:$K$300)+SUMIF(RM_Lots!$A$5:$A$400,A747,RM_Lots!$F$5:$F$400))+IF(W747="Y",SUMIF(Products!$E$5:$E$300,A747,Products!$L$5:$L$300),0))*(1+N(V747)))</f>
        <v>0</v>
      </c>
      <c r="AC747" s="17" t="n">
        <f aca="false">IF(J747="",1,MAX(1,COUNTIFS($J$5:$J$863,J747,$F$5:$F$863,"Y")))</f>
        <v>1</v>
      </c>
      <c r="AD747" s="18" t="n">
        <f aca="false">(MAX(1,N(I747))*(P747+N(S747))+MAX(1,N(I747))*N(K747)/(MAX(1,N(U747))*AC747))*Settings!$B$9</f>
        <v>0</v>
      </c>
      <c r="AE747" s="18" t="n">
        <f aca="false">(MAX(1,N(I747))*N(Q747)+MAX(1,N(I747))*N(L747)/(MAX(1,N(U747))*AC747))*Settings!$B$8</f>
        <v>0</v>
      </c>
      <c r="AF747" s="18" t="n">
        <f aca="false">MAX(1,N(I747))*N(T747)</f>
        <v>0</v>
      </c>
      <c r="AG747" s="15" t="n">
        <f aca="false">AA747*N(AD747)</f>
        <v>0</v>
      </c>
      <c r="AH747" s="15" t="n">
        <f aca="false">AA747*N(AE747)</f>
        <v>0</v>
      </c>
      <c r="AI747" s="15" t="n">
        <f aca="false">AA747*N(AF747)</f>
        <v>0</v>
      </c>
      <c r="AJ747" s="15" t="n">
        <f aca="false">AA747*N(R747)</f>
        <v>0</v>
      </c>
      <c r="AK747" s="15" t="n">
        <f aca="false">AB747*N(AD747)</f>
        <v>0</v>
      </c>
      <c r="AL747" s="15" t="n">
        <f aca="false">AB747*N(AE747)</f>
        <v>0</v>
      </c>
      <c r="AM747" s="15" t="n">
        <f aca="false">AB747*N(AF747)</f>
        <v>0</v>
      </c>
      <c r="AN747" s="15" t="n">
        <f aca="false">AB747*N(R747)</f>
        <v>0</v>
      </c>
      <c r="AO747" s="21" t="str">
        <f aca="false">IF(F747&lt;&gt;"Y","n/a",IF(AND(N747&lt;&gt;"",OR(Q747&lt;&gt;"",G747="Other / bench",G747="None"),U747&lt;&gt;""),"OK","Missing"))</f>
        <v>n/a</v>
      </c>
    </row>
    <row r="748" customFormat="false" ht="15" hidden="false" customHeight="false" outlineLevel="0" collapsed="false">
      <c r="A748" s="16"/>
      <c r="B748" s="16"/>
      <c r="C748" s="16"/>
      <c r="D748" s="16"/>
      <c r="E748" s="21" t="str">
        <f aca="false">IF(A748="","",A748&amp;"|"&amp;D748)</f>
        <v/>
      </c>
      <c r="F748" s="16"/>
      <c r="G748" s="16"/>
      <c r="H748" s="16"/>
      <c r="I748" s="16"/>
      <c r="J748" s="16"/>
      <c r="K748" s="14"/>
      <c r="L748" s="14"/>
      <c r="M748" s="14"/>
      <c r="N748" s="14"/>
      <c r="O748" s="14"/>
      <c r="P748" s="18" t="n">
        <f aca="false">IF(N748="",0,IF(OR(M748="",O748=""),N748,(M748+4*N748+O748)/6))</f>
        <v>0</v>
      </c>
      <c r="Q748" s="14"/>
      <c r="R748" s="14"/>
      <c r="S748" s="14"/>
      <c r="T748" s="14"/>
      <c r="U748" s="16"/>
      <c r="V748" s="13"/>
      <c r="W748" s="16"/>
      <c r="X748" s="16"/>
      <c r="Y748" s="16"/>
      <c r="Z748" s="16"/>
      <c r="AA748" s="22" t="n">
        <f aca="false">IF(F748&lt;&gt;"Y",0,((SUMIF(Products!$E$5:$E$300,A748,Products!$F$5:$F$300)+SUMIF(RM_Lots!$A$5:$A$400,A748,RM_Lots!$D$5:$D$400))+IF(W748="Y",SUMIF(Products!$E$5:$E$300,A748,Products!$G$5:$G$300),0))*(1+N(V748)))</f>
        <v>0</v>
      </c>
      <c r="AB748" s="22" t="n">
        <f aca="false">IF(F748&lt;&gt;"Y",0,((SUMIF(Products!$E$5:$E$300,A748,Products!$K$5:$K$300)+SUMIF(RM_Lots!$A$5:$A$400,A748,RM_Lots!$F$5:$F$400))+IF(W748="Y",SUMIF(Products!$E$5:$E$300,A748,Products!$L$5:$L$300),0))*(1+N(V748)))</f>
        <v>0</v>
      </c>
      <c r="AC748" s="17" t="n">
        <f aca="false">IF(J748="",1,MAX(1,COUNTIFS($J$5:$J$863,J748,$F$5:$F$863,"Y")))</f>
        <v>1</v>
      </c>
      <c r="AD748" s="18" t="n">
        <f aca="false">(MAX(1,N(I748))*(P748+N(S748))+MAX(1,N(I748))*N(K748)/(MAX(1,N(U748))*AC748))*Settings!$B$9</f>
        <v>0</v>
      </c>
      <c r="AE748" s="18" t="n">
        <f aca="false">(MAX(1,N(I748))*N(Q748)+MAX(1,N(I748))*N(L748)/(MAX(1,N(U748))*AC748))*Settings!$B$8</f>
        <v>0</v>
      </c>
      <c r="AF748" s="18" t="n">
        <f aca="false">MAX(1,N(I748))*N(T748)</f>
        <v>0</v>
      </c>
      <c r="AG748" s="15" t="n">
        <f aca="false">AA748*N(AD748)</f>
        <v>0</v>
      </c>
      <c r="AH748" s="15" t="n">
        <f aca="false">AA748*N(AE748)</f>
        <v>0</v>
      </c>
      <c r="AI748" s="15" t="n">
        <f aca="false">AA748*N(AF748)</f>
        <v>0</v>
      </c>
      <c r="AJ748" s="15" t="n">
        <f aca="false">AA748*N(R748)</f>
        <v>0</v>
      </c>
      <c r="AK748" s="15" t="n">
        <f aca="false">AB748*N(AD748)</f>
        <v>0</v>
      </c>
      <c r="AL748" s="15" t="n">
        <f aca="false">AB748*N(AE748)</f>
        <v>0</v>
      </c>
      <c r="AM748" s="15" t="n">
        <f aca="false">AB748*N(AF748)</f>
        <v>0</v>
      </c>
      <c r="AN748" s="15" t="n">
        <f aca="false">AB748*N(R748)</f>
        <v>0</v>
      </c>
      <c r="AO748" s="21" t="str">
        <f aca="false">IF(F748&lt;&gt;"Y","n/a",IF(AND(N748&lt;&gt;"",OR(Q748&lt;&gt;"",G748="Other / bench",G748="None"),U748&lt;&gt;""),"OK","Missing"))</f>
        <v>n/a</v>
      </c>
    </row>
    <row r="749" customFormat="false" ht="15" hidden="false" customHeight="false" outlineLevel="0" collapsed="false">
      <c r="A749" s="16"/>
      <c r="B749" s="16"/>
      <c r="C749" s="16"/>
      <c r="D749" s="16"/>
      <c r="E749" s="21" t="str">
        <f aca="false">IF(A749="","",A749&amp;"|"&amp;D749)</f>
        <v/>
      </c>
      <c r="F749" s="16"/>
      <c r="G749" s="16"/>
      <c r="H749" s="16"/>
      <c r="I749" s="16"/>
      <c r="J749" s="16"/>
      <c r="K749" s="14"/>
      <c r="L749" s="14"/>
      <c r="M749" s="14"/>
      <c r="N749" s="14"/>
      <c r="O749" s="14"/>
      <c r="P749" s="18" t="n">
        <f aca="false">IF(N749="",0,IF(OR(M749="",O749=""),N749,(M749+4*N749+O749)/6))</f>
        <v>0</v>
      </c>
      <c r="Q749" s="14"/>
      <c r="R749" s="14"/>
      <c r="S749" s="14"/>
      <c r="T749" s="14"/>
      <c r="U749" s="16"/>
      <c r="V749" s="13"/>
      <c r="W749" s="16"/>
      <c r="X749" s="16"/>
      <c r="Y749" s="16"/>
      <c r="Z749" s="16"/>
      <c r="AA749" s="22" t="n">
        <f aca="false">IF(F749&lt;&gt;"Y",0,((SUMIF(Products!$E$5:$E$300,A749,Products!$F$5:$F$300)+SUMIF(RM_Lots!$A$5:$A$400,A749,RM_Lots!$D$5:$D$400))+IF(W749="Y",SUMIF(Products!$E$5:$E$300,A749,Products!$G$5:$G$300),0))*(1+N(V749)))</f>
        <v>0</v>
      </c>
      <c r="AB749" s="22" t="n">
        <f aca="false">IF(F749&lt;&gt;"Y",0,((SUMIF(Products!$E$5:$E$300,A749,Products!$K$5:$K$300)+SUMIF(RM_Lots!$A$5:$A$400,A749,RM_Lots!$F$5:$F$400))+IF(W749="Y",SUMIF(Products!$E$5:$E$300,A749,Products!$L$5:$L$300),0))*(1+N(V749)))</f>
        <v>0</v>
      </c>
      <c r="AC749" s="17" t="n">
        <f aca="false">IF(J749="",1,MAX(1,COUNTIFS($J$5:$J$863,J749,$F$5:$F$863,"Y")))</f>
        <v>1</v>
      </c>
      <c r="AD749" s="18" t="n">
        <f aca="false">(MAX(1,N(I749))*(P749+N(S749))+MAX(1,N(I749))*N(K749)/(MAX(1,N(U749))*AC749))*Settings!$B$9</f>
        <v>0</v>
      </c>
      <c r="AE749" s="18" t="n">
        <f aca="false">(MAX(1,N(I749))*N(Q749)+MAX(1,N(I749))*N(L749)/(MAX(1,N(U749))*AC749))*Settings!$B$8</f>
        <v>0</v>
      </c>
      <c r="AF749" s="18" t="n">
        <f aca="false">MAX(1,N(I749))*N(T749)</f>
        <v>0</v>
      </c>
      <c r="AG749" s="15" t="n">
        <f aca="false">AA749*N(AD749)</f>
        <v>0</v>
      </c>
      <c r="AH749" s="15" t="n">
        <f aca="false">AA749*N(AE749)</f>
        <v>0</v>
      </c>
      <c r="AI749" s="15" t="n">
        <f aca="false">AA749*N(AF749)</f>
        <v>0</v>
      </c>
      <c r="AJ749" s="15" t="n">
        <f aca="false">AA749*N(R749)</f>
        <v>0</v>
      </c>
      <c r="AK749" s="15" t="n">
        <f aca="false">AB749*N(AD749)</f>
        <v>0</v>
      </c>
      <c r="AL749" s="15" t="n">
        <f aca="false">AB749*N(AE749)</f>
        <v>0</v>
      </c>
      <c r="AM749" s="15" t="n">
        <f aca="false">AB749*N(AF749)</f>
        <v>0</v>
      </c>
      <c r="AN749" s="15" t="n">
        <f aca="false">AB749*N(R749)</f>
        <v>0</v>
      </c>
      <c r="AO749" s="21" t="str">
        <f aca="false">IF(F749&lt;&gt;"Y","n/a",IF(AND(N749&lt;&gt;"",OR(Q749&lt;&gt;"",G749="Other / bench",G749="None"),U749&lt;&gt;""),"OK","Missing"))</f>
        <v>n/a</v>
      </c>
    </row>
    <row r="750" customFormat="false" ht="15" hidden="false" customHeight="false" outlineLevel="0" collapsed="false">
      <c r="A750" s="16"/>
      <c r="B750" s="16"/>
      <c r="C750" s="16"/>
      <c r="D750" s="16"/>
      <c r="E750" s="21" t="str">
        <f aca="false">IF(A750="","",A750&amp;"|"&amp;D750)</f>
        <v/>
      </c>
      <c r="F750" s="16"/>
      <c r="G750" s="16"/>
      <c r="H750" s="16"/>
      <c r="I750" s="16"/>
      <c r="J750" s="16"/>
      <c r="K750" s="14"/>
      <c r="L750" s="14"/>
      <c r="M750" s="14"/>
      <c r="N750" s="14"/>
      <c r="O750" s="14"/>
      <c r="P750" s="18" t="n">
        <f aca="false">IF(N750="",0,IF(OR(M750="",O750=""),N750,(M750+4*N750+O750)/6))</f>
        <v>0</v>
      </c>
      <c r="Q750" s="14"/>
      <c r="R750" s="14"/>
      <c r="S750" s="14"/>
      <c r="T750" s="14"/>
      <c r="U750" s="16"/>
      <c r="V750" s="13"/>
      <c r="W750" s="16"/>
      <c r="X750" s="16"/>
      <c r="Y750" s="16"/>
      <c r="Z750" s="16"/>
      <c r="AA750" s="22" t="n">
        <f aca="false">IF(F750&lt;&gt;"Y",0,((SUMIF(Products!$E$5:$E$300,A750,Products!$F$5:$F$300)+SUMIF(RM_Lots!$A$5:$A$400,A750,RM_Lots!$D$5:$D$400))+IF(W750="Y",SUMIF(Products!$E$5:$E$300,A750,Products!$G$5:$G$300),0))*(1+N(V750)))</f>
        <v>0</v>
      </c>
      <c r="AB750" s="22" t="n">
        <f aca="false">IF(F750&lt;&gt;"Y",0,((SUMIF(Products!$E$5:$E$300,A750,Products!$K$5:$K$300)+SUMIF(RM_Lots!$A$5:$A$400,A750,RM_Lots!$F$5:$F$400))+IF(W750="Y",SUMIF(Products!$E$5:$E$300,A750,Products!$L$5:$L$300),0))*(1+N(V750)))</f>
        <v>0</v>
      </c>
      <c r="AC750" s="17" t="n">
        <f aca="false">IF(J750="",1,MAX(1,COUNTIFS($J$5:$J$863,J750,$F$5:$F$863,"Y")))</f>
        <v>1</v>
      </c>
      <c r="AD750" s="18" t="n">
        <f aca="false">(MAX(1,N(I750))*(P750+N(S750))+MAX(1,N(I750))*N(K750)/(MAX(1,N(U750))*AC750))*Settings!$B$9</f>
        <v>0</v>
      </c>
      <c r="AE750" s="18" t="n">
        <f aca="false">(MAX(1,N(I750))*N(Q750)+MAX(1,N(I750))*N(L750)/(MAX(1,N(U750))*AC750))*Settings!$B$8</f>
        <v>0</v>
      </c>
      <c r="AF750" s="18" t="n">
        <f aca="false">MAX(1,N(I750))*N(T750)</f>
        <v>0</v>
      </c>
      <c r="AG750" s="15" t="n">
        <f aca="false">AA750*N(AD750)</f>
        <v>0</v>
      </c>
      <c r="AH750" s="15" t="n">
        <f aca="false">AA750*N(AE750)</f>
        <v>0</v>
      </c>
      <c r="AI750" s="15" t="n">
        <f aca="false">AA750*N(AF750)</f>
        <v>0</v>
      </c>
      <c r="AJ750" s="15" t="n">
        <f aca="false">AA750*N(R750)</f>
        <v>0</v>
      </c>
      <c r="AK750" s="15" t="n">
        <f aca="false">AB750*N(AD750)</f>
        <v>0</v>
      </c>
      <c r="AL750" s="15" t="n">
        <f aca="false">AB750*N(AE750)</f>
        <v>0</v>
      </c>
      <c r="AM750" s="15" t="n">
        <f aca="false">AB750*N(AF750)</f>
        <v>0</v>
      </c>
      <c r="AN750" s="15" t="n">
        <f aca="false">AB750*N(R750)</f>
        <v>0</v>
      </c>
      <c r="AO750" s="21" t="str">
        <f aca="false">IF(F750&lt;&gt;"Y","n/a",IF(AND(N750&lt;&gt;"",OR(Q750&lt;&gt;"",G750="Other / bench",G750="None"),U750&lt;&gt;""),"OK","Missing"))</f>
        <v>n/a</v>
      </c>
    </row>
    <row r="751" customFormat="false" ht="15" hidden="false" customHeight="false" outlineLevel="0" collapsed="false">
      <c r="A751" s="16"/>
      <c r="B751" s="16"/>
      <c r="C751" s="16"/>
      <c r="D751" s="16"/>
      <c r="E751" s="21" t="str">
        <f aca="false">IF(A751="","",A751&amp;"|"&amp;D751)</f>
        <v/>
      </c>
      <c r="F751" s="16"/>
      <c r="G751" s="16"/>
      <c r="H751" s="16"/>
      <c r="I751" s="16"/>
      <c r="J751" s="16"/>
      <c r="K751" s="14"/>
      <c r="L751" s="14"/>
      <c r="M751" s="14"/>
      <c r="N751" s="14"/>
      <c r="O751" s="14"/>
      <c r="P751" s="18" t="n">
        <f aca="false">IF(N751="",0,IF(OR(M751="",O751=""),N751,(M751+4*N751+O751)/6))</f>
        <v>0</v>
      </c>
      <c r="Q751" s="14"/>
      <c r="R751" s="14"/>
      <c r="S751" s="14"/>
      <c r="T751" s="14"/>
      <c r="U751" s="16"/>
      <c r="V751" s="13"/>
      <c r="W751" s="16"/>
      <c r="X751" s="16"/>
      <c r="Y751" s="16"/>
      <c r="Z751" s="16"/>
      <c r="AA751" s="22" t="n">
        <f aca="false">IF(F751&lt;&gt;"Y",0,((SUMIF(Products!$E$5:$E$300,A751,Products!$F$5:$F$300)+SUMIF(RM_Lots!$A$5:$A$400,A751,RM_Lots!$D$5:$D$400))+IF(W751="Y",SUMIF(Products!$E$5:$E$300,A751,Products!$G$5:$G$300),0))*(1+N(V751)))</f>
        <v>0</v>
      </c>
      <c r="AB751" s="22" t="n">
        <f aca="false">IF(F751&lt;&gt;"Y",0,((SUMIF(Products!$E$5:$E$300,A751,Products!$K$5:$K$300)+SUMIF(RM_Lots!$A$5:$A$400,A751,RM_Lots!$F$5:$F$400))+IF(W751="Y",SUMIF(Products!$E$5:$E$300,A751,Products!$L$5:$L$300),0))*(1+N(V751)))</f>
        <v>0</v>
      </c>
      <c r="AC751" s="17" t="n">
        <f aca="false">IF(J751="",1,MAX(1,COUNTIFS($J$5:$J$863,J751,$F$5:$F$863,"Y")))</f>
        <v>1</v>
      </c>
      <c r="AD751" s="18" t="n">
        <f aca="false">(MAX(1,N(I751))*(P751+N(S751))+MAX(1,N(I751))*N(K751)/(MAX(1,N(U751))*AC751))*Settings!$B$9</f>
        <v>0</v>
      </c>
      <c r="AE751" s="18" t="n">
        <f aca="false">(MAX(1,N(I751))*N(Q751)+MAX(1,N(I751))*N(L751)/(MAX(1,N(U751))*AC751))*Settings!$B$8</f>
        <v>0</v>
      </c>
      <c r="AF751" s="18" t="n">
        <f aca="false">MAX(1,N(I751))*N(T751)</f>
        <v>0</v>
      </c>
      <c r="AG751" s="15" t="n">
        <f aca="false">AA751*N(AD751)</f>
        <v>0</v>
      </c>
      <c r="AH751" s="15" t="n">
        <f aca="false">AA751*N(AE751)</f>
        <v>0</v>
      </c>
      <c r="AI751" s="15" t="n">
        <f aca="false">AA751*N(AF751)</f>
        <v>0</v>
      </c>
      <c r="AJ751" s="15" t="n">
        <f aca="false">AA751*N(R751)</f>
        <v>0</v>
      </c>
      <c r="AK751" s="15" t="n">
        <f aca="false">AB751*N(AD751)</f>
        <v>0</v>
      </c>
      <c r="AL751" s="15" t="n">
        <f aca="false">AB751*N(AE751)</f>
        <v>0</v>
      </c>
      <c r="AM751" s="15" t="n">
        <f aca="false">AB751*N(AF751)</f>
        <v>0</v>
      </c>
      <c r="AN751" s="15" t="n">
        <f aca="false">AB751*N(R751)</f>
        <v>0</v>
      </c>
      <c r="AO751" s="21" t="str">
        <f aca="false">IF(F751&lt;&gt;"Y","n/a",IF(AND(N751&lt;&gt;"",OR(Q751&lt;&gt;"",G751="Other / bench",G751="None"),U751&lt;&gt;""),"OK","Missing"))</f>
        <v>n/a</v>
      </c>
    </row>
    <row r="752" customFormat="false" ht="15" hidden="false" customHeight="false" outlineLevel="0" collapsed="false">
      <c r="A752" s="16"/>
      <c r="B752" s="16"/>
      <c r="C752" s="16"/>
      <c r="D752" s="16"/>
      <c r="E752" s="21" t="str">
        <f aca="false">IF(A752="","",A752&amp;"|"&amp;D752)</f>
        <v/>
      </c>
      <c r="F752" s="16"/>
      <c r="G752" s="16"/>
      <c r="H752" s="16"/>
      <c r="I752" s="16"/>
      <c r="J752" s="16"/>
      <c r="K752" s="14"/>
      <c r="L752" s="14"/>
      <c r="M752" s="14"/>
      <c r="N752" s="14"/>
      <c r="O752" s="14"/>
      <c r="P752" s="18" t="n">
        <f aca="false">IF(N752="",0,IF(OR(M752="",O752=""),N752,(M752+4*N752+O752)/6))</f>
        <v>0</v>
      </c>
      <c r="Q752" s="14"/>
      <c r="R752" s="14"/>
      <c r="S752" s="14"/>
      <c r="T752" s="14"/>
      <c r="U752" s="16"/>
      <c r="V752" s="13"/>
      <c r="W752" s="16"/>
      <c r="X752" s="16"/>
      <c r="Y752" s="16"/>
      <c r="Z752" s="16"/>
      <c r="AA752" s="22" t="n">
        <f aca="false">IF(F752&lt;&gt;"Y",0,((SUMIF(Products!$E$5:$E$300,A752,Products!$F$5:$F$300)+SUMIF(RM_Lots!$A$5:$A$400,A752,RM_Lots!$D$5:$D$400))+IF(W752="Y",SUMIF(Products!$E$5:$E$300,A752,Products!$G$5:$G$300),0))*(1+N(V752)))</f>
        <v>0</v>
      </c>
      <c r="AB752" s="22" t="n">
        <f aca="false">IF(F752&lt;&gt;"Y",0,((SUMIF(Products!$E$5:$E$300,A752,Products!$K$5:$K$300)+SUMIF(RM_Lots!$A$5:$A$400,A752,RM_Lots!$F$5:$F$400))+IF(W752="Y",SUMIF(Products!$E$5:$E$300,A752,Products!$L$5:$L$300),0))*(1+N(V752)))</f>
        <v>0</v>
      </c>
      <c r="AC752" s="17" t="n">
        <f aca="false">IF(J752="",1,MAX(1,COUNTIFS($J$5:$J$863,J752,$F$5:$F$863,"Y")))</f>
        <v>1</v>
      </c>
      <c r="AD752" s="18" t="n">
        <f aca="false">(MAX(1,N(I752))*(P752+N(S752))+MAX(1,N(I752))*N(K752)/(MAX(1,N(U752))*AC752))*Settings!$B$9</f>
        <v>0</v>
      </c>
      <c r="AE752" s="18" t="n">
        <f aca="false">(MAX(1,N(I752))*N(Q752)+MAX(1,N(I752))*N(L752)/(MAX(1,N(U752))*AC752))*Settings!$B$8</f>
        <v>0</v>
      </c>
      <c r="AF752" s="18" t="n">
        <f aca="false">MAX(1,N(I752))*N(T752)</f>
        <v>0</v>
      </c>
      <c r="AG752" s="15" t="n">
        <f aca="false">AA752*N(AD752)</f>
        <v>0</v>
      </c>
      <c r="AH752" s="15" t="n">
        <f aca="false">AA752*N(AE752)</f>
        <v>0</v>
      </c>
      <c r="AI752" s="15" t="n">
        <f aca="false">AA752*N(AF752)</f>
        <v>0</v>
      </c>
      <c r="AJ752" s="15" t="n">
        <f aca="false">AA752*N(R752)</f>
        <v>0</v>
      </c>
      <c r="AK752" s="15" t="n">
        <f aca="false">AB752*N(AD752)</f>
        <v>0</v>
      </c>
      <c r="AL752" s="15" t="n">
        <f aca="false">AB752*N(AE752)</f>
        <v>0</v>
      </c>
      <c r="AM752" s="15" t="n">
        <f aca="false">AB752*N(AF752)</f>
        <v>0</v>
      </c>
      <c r="AN752" s="15" t="n">
        <f aca="false">AB752*N(R752)</f>
        <v>0</v>
      </c>
      <c r="AO752" s="21" t="str">
        <f aca="false">IF(F752&lt;&gt;"Y","n/a",IF(AND(N752&lt;&gt;"",OR(Q752&lt;&gt;"",G752="Other / bench",G752="None"),U752&lt;&gt;""),"OK","Missing"))</f>
        <v>n/a</v>
      </c>
    </row>
    <row r="753" customFormat="false" ht="15" hidden="false" customHeight="false" outlineLevel="0" collapsed="false">
      <c r="A753" s="16"/>
      <c r="B753" s="16"/>
      <c r="C753" s="16"/>
      <c r="D753" s="16"/>
      <c r="E753" s="21" t="str">
        <f aca="false">IF(A753="","",A753&amp;"|"&amp;D753)</f>
        <v/>
      </c>
      <c r="F753" s="16"/>
      <c r="G753" s="16"/>
      <c r="H753" s="16"/>
      <c r="I753" s="16"/>
      <c r="J753" s="16"/>
      <c r="K753" s="14"/>
      <c r="L753" s="14"/>
      <c r="M753" s="14"/>
      <c r="N753" s="14"/>
      <c r="O753" s="14"/>
      <c r="P753" s="18" t="n">
        <f aca="false">IF(N753="",0,IF(OR(M753="",O753=""),N753,(M753+4*N753+O753)/6))</f>
        <v>0</v>
      </c>
      <c r="Q753" s="14"/>
      <c r="R753" s="14"/>
      <c r="S753" s="14"/>
      <c r="T753" s="14"/>
      <c r="U753" s="16"/>
      <c r="V753" s="13"/>
      <c r="W753" s="16"/>
      <c r="X753" s="16"/>
      <c r="Y753" s="16"/>
      <c r="Z753" s="16"/>
      <c r="AA753" s="22" t="n">
        <f aca="false">IF(F753&lt;&gt;"Y",0,((SUMIF(Products!$E$5:$E$300,A753,Products!$F$5:$F$300)+SUMIF(RM_Lots!$A$5:$A$400,A753,RM_Lots!$D$5:$D$400))+IF(W753="Y",SUMIF(Products!$E$5:$E$300,A753,Products!$G$5:$G$300),0))*(1+N(V753)))</f>
        <v>0</v>
      </c>
      <c r="AB753" s="22" t="n">
        <f aca="false">IF(F753&lt;&gt;"Y",0,((SUMIF(Products!$E$5:$E$300,A753,Products!$K$5:$K$300)+SUMIF(RM_Lots!$A$5:$A$400,A753,RM_Lots!$F$5:$F$400))+IF(W753="Y",SUMIF(Products!$E$5:$E$300,A753,Products!$L$5:$L$300),0))*(1+N(V753)))</f>
        <v>0</v>
      </c>
      <c r="AC753" s="17" t="n">
        <f aca="false">IF(J753="",1,MAX(1,COUNTIFS($J$5:$J$863,J753,$F$5:$F$863,"Y")))</f>
        <v>1</v>
      </c>
      <c r="AD753" s="18" t="n">
        <f aca="false">(MAX(1,N(I753))*(P753+N(S753))+MAX(1,N(I753))*N(K753)/(MAX(1,N(U753))*AC753))*Settings!$B$9</f>
        <v>0</v>
      </c>
      <c r="AE753" s="18" t="n">
        <f aca="false">(MAX(1,N(I753))*N(Q753)+MAX(1,N(I753))*N(L753)/(MAX(1,N(U753))*AC753))*Settings!$B$8</f>
        <v>0</v>
      </c>
      <c r="AF753" s="18" t="n">
        <f aca="false">MAX(1,N(I753))*N(T753)</f>
        <v>0</v>
      </c>
      <c r="AG753" s="15" t="n">
        <f aca="false">AA753*N(AD753)</f>
        <v>0</v>
      </c>
      <c r="AH753" s="15" t="n">
        <f aca="false">AA753*N(AE753)</f>
        <v>0</v>
      </c>
      <c r="AI753" s="15" t="n">
        <f aca="false">AA753*N(AF753)</f>
        <v>0</v>
      </c>
      <c r="AJ753" s="15" t="n">
        <f aca="false">AA753*N(R753)</f>
        <v>0</v>
      </c>
      <c r="AK753" s="15" t="n">
        <f aca="false">AB753*N(AD753)</f>
        <v>0</v>
      </c>
      <c r="AL753" s="15" t="n">
        <f aca="false">AB753*N(AE753)</f>
        <v>0</v>
      </c>
      <c r="AM753" s="15" t="n">
        <f aca="false">AB753*N(AF753)</f>
        <v>0</v>
      </c>
      <c r="AN753" s="15" t="n">
        <f aca="false">AB753*N(R753)</f>
        <v>0</v>
      </c>
      <c r="AO753" s="21" t="str">
        <f aca="false">IF(F753&lt;&gt;"Y","n/a",IF(AND(N753&lt;&gt;"",OR(Q753&lt;&gt;"",G753="Other / bench",G753="None"),U753&lt;&gt;""),"OK","Missing"))</f>
        <v>n/a</v>
      </c>
    </row>
    <row r="754" customFormat="false" ht="15" hidden="false" customHeight="false" outlineLevel="0" collapsed="false">
      <c r="A754" s="16"/>
      <c r="B754" s="16"/>
      <c r="C754" s="16"/>
      <c r="D754" s="16"/>
      <c r="E754" s="21" t="str">
        <f aca="false">IF(A754="","",A754&amp;"|"&amp;D754)</f>
        <v/>
      </c>
      <c r="F754" s="16"/>
      <c r="G754" s="16"/>
      <c r="H754" s="16"/>
      <c r="I754" s="16"/>
      <c r="J754" s="16"/>
      <c r="K754" s="14"/>
      <c r="L754" s="14"/>
      <c r="M754" s="14"/>
      <c r="N754" s="14"/>
      <c r="O754" s="14"/>
      <c r="P754" s="18" t="n">
        <f aca="false">IF(N754="",0,IF(OR(M754="",O754=""),N754,(M754+4*N754+O754)/6))</f>
        <v>0</v>
      </c>
      <c r="Q754" s="14"/>
      <c r="R754" s="14"/>
      <c r="S754" s="14"/>
      <c r="T754" s="14"/>
      <c r="U754" s="16"/>
      <c r="V754" s="13"/>
      <c r="W754" s="16"/>
      <c r="X754" s="16"/>
      <c r="Y754" s="16"/>
      <c r="Z754" s="16"/>
      <c r="AA754" s="22" t="n">
        <f aca="false">IF(F754&lt;&gt;"Y",0,((SUMIF(Products!$E$5:$E$300,A754,Products!$F$5:$F$300)+SUMIF(RM_Lots!$A$5:$A$400,A754,RM_Lots!$D$5:$D$400))+IF(W754="Y",SUMIF(Products!$E$5:$E$300,A754,Products!$G$5:$G$300),0))*(1+N(V754)))</f>
        <v>0</v>
      </c>
      <c r="AB754" s="22" t="n">
        <f aca="false">IF(F754&lt;&gt;"Y",0,((SUMIF(Products!$E$5:$E$300,A754,Products!$K$5:$K$300)+SUMIF(RM_Lots!$A$5:$A$400,A754,RM_Lots!$F$5:$F$400))+IF(W754="Y",SUMIF(Products!$E$5:$E$300,A754,Products!$L$5:$L$300),0))*(1+N(V754)))</f>
        <v>0</v>
      </c>
      <c r="AC754" s="17" t="n">
        <f aca="false">IF(J754="",1,MAX(1,COUNTIFS($J$5:$J$863,J754,$F$5:$F$863,"Y")))</f>
        <v>1</v>
      </c>
      <c r="AD754" s="18" t="n">
        <f aca="false">(MAX(1,N(I754))*(P754+N(S754))+MAX(1,N(I754))*N(K754)/(MAX(1,N(U754))*AC754))*Settings!$B$9</f>
        <v>0</v>
      </c>
      <c r="AE754" s="18" t="n">
        <f aca="false">(MAX(1,N(I754))*N(Q754)+MAX(1,N(I754))*N(L754)/(MAX(1,N(U754))*AC754))*Settings!$B$8</f>
        <v>0</v>
      </c>
      <c r="AF754" s="18" t="n">
        <f aca="false">MAX(1,N(I754))*N(T754)</f>
        <v>0</v>
      </c>
      <c r="AG754" s="15" t="n">
        <f aca="false">AA754*N(AD754)</f>
        <v>0</v>
      </c>
      <c r="AH754" s="15" t="n">
        <f aca="false">AA754*N(AE754)</f>
        <v>0</v>
      </c>
      <c r="AI754" s="15" t="n">
        <f aca="false">AA754*N(AF754)</f>
        <v>0</v>
      </c>
      <c r="AJ754" s="15" t="n">
        <f aca="false">AA754*N(R754)</f>
        <v>0</v>
      </c>
      <c r="AK754" s="15" t="n">
        <f aca="false">AB754*N(AD754)</f>
        <v>0</v>
      </c>
      <c r="AL754" s="15" t="n">
        <f aca="false">AB754*N(AE754)</f>
        <v>0</v>
      </c>
      <c r="AM754" s="15" t="n">
        <f aca="false">AB754*N(AF754)</f>
        <v>0</v>
      </c>
      <c r="AN754" s="15" t="n">
        <f aca="false">AB754*N(R754)</f>
        <v>0</v>
      </c>
      <c r="AO754" s="21" t="str">
        <f aca="false">IF(F754&lt;&gt;"Y","n/a",IF(AND(N754&lt;&gt;"",OR(Q754&lt;&gt;"",G754="Other / bench",G754="None"),U754&lt;&gt;""),"OK","Missing"))</f>
        <v>n/a</v>
      </c>
    </row>
    <row r="755" customFormat="false" ht="15" hidden="false" customHeight="false" outlineLevel="0" collapsed="false">
      <c r="A755" s="16"/>
      <c r="B755" s="16"/>
      <c r="C755" s="16"/>
      <c r="D755" s="16"/>
      <c r="E755" s="21" t="str">
        <f aca="false">IF(A755="","",A755&amp;"|"&amp;D755)</f>
        <v/>
      </c>
      <c r="F755" s="16"/>
      <c r="G755" s="16"/>
      <c r="H755" s="16"/>
      <c r="I755" s="16"/>
      <c r="J755" s="16"/>
      <c r="K755" s="14"/>
      <c r="L755" s="14"/>
      <c r="M755" s="14"/>
      <c r="N755" s="14"/>
      <c r="O755" s="14"/>
      <c r="P755" s="18" t="n">
        <f aca="false">IF(N755="",0,IF(OR(M755="",O755=""),N755,(M755+4*N755+O755)/6))</f>
        <v>0</v>
      </c>
      <c r="Q755" s="14"/>
      <c r="R755" s="14"/>
      <c r="S755" s="14"/>
      <c r="T755" s="14"/>
      <c r="U755" s="16"/>
      <c r="V755" s="13"/>
      <c r="W755" s="16"/>
      <c r="X755" s="16"/>
      <c r="Y755" s="16"/>
      <c r="Z755" s="16"/>
      <c r="AA755" s="22" t="n">
        <f aca="false">IF(F755&lt;&gt;"Y",0,((SUMIF(Products!$E$5:$E$300,A755,Products!$F$5:$F$300)+SUMIF(RM_Lots!$A$5:$A$400,A755,RM_Lots!$D$5:$D$400))+IF(W755="Y",SUMIF(Products!$E$5:$E$300,A755,Products!$G$5:$G$300),0))*(1+N(V755)))</f>
        <v>0</v>
      </c>
      <c r="AB755" s="22" t="n">
        <f aca="false">IF(F755&lt;&gt;"Y",0,((SUMIF(Products!$E$5:$E$300,A755,Products!$K$5:$K$300)+SUMIF(RM_Lots!$A$5:$A$400,A755,RM_Lots!$F$5:$F$400))+IF(W755="Y",SUMIF(Products!$E$5:$E$300,A755,Products!$L$5:$L$300),0))*(1+N(V755)))</f>
        <v>0</v>
      </c>
      <c r="AC755" s="17" t="n">
        <f aca="false">IF(J755="",1,MAX(1,COUNTIFS($J$5:$J$863,J755,$F$5:$F$863,"Y")))</f>
        <v>1</v>
      </c>
      <c r="AD755" s="18" t="n">
        <f aca="false">(MAX(1,N(I755))*(P755+N(S755))+MAX(1,N(I755))*N(K755)/(MAX(1,N(U755))*AC755))*Settings!$B$9</f>
        <v>0</v>
      </c>
      <c r="AE755" s="18" t="n">
        <f aca="false">(MAX(1,N(I755))*N(Q755)+MAX(1,N(I755))*N(L755)/(MAX(1,N(U755))*AC755))*Settings!$B$8</f>
        <v>0</v>
      </c>
      <c r="AF755" s="18" t="n">
        <f aca="false">MAX(1,N(I755))*N(T755)</f>
        <v>0</v>
      </c>
      <c r="AG755" s="15" t="n">
        <f aca="false">AA755*N(AD755)</f>
        <v>0</v>
      </c>
      <c r="AH755" s="15" t="n">
        <f aca="false">AA755*N(AE755)</f>
        <v>0</v>
      </c>
      <c r="AI755" s="15" t="n">
        <f aca="false">AA755*N(AF755)</f>
        <v>0</v>
      </c>
      <c r="AJ755" s="15" t="n">
        <f aca="false">AA755*N(R755)</f>
        <v>0</v>
      </c>
      <c r="AK755" s="15" t="n">
        <f aca="false">AB755*N(AD755)</f>
        <v>0</v>
      </c>
      <c r="AL755" s="15" t="n">
        <f aca="false">AB755*N(AE755)</f>
        <v>0</v>
      </c>
      <c r="AM755" s="15" t="n">
        <f aca="false">AB755*N(AF755)</f>
        <v>0</v>
      </c>
      <c r="AN755" s="15" t="n">
        <f aca="false">AB755*N(R755)</f>
        <v>0</v>
      </c>
      <c r="AO755" s="21" t="str">
        <f aca="false">IF(F755&lt;&gt;"Y","n/a",IF(AND(N755&lt;&gt;"",OR(Q755&lt;&gt;"",G755="Other / bench",G755="None"),U755&lt;&gt;""),"OK","Missing"))</f>
        <v>n/a</v>
      </c>
    </row>
    <row r="756" customFormat="false" ht="15" hidden="false" customHeight="false" outlineLevel="0" collapsed="false">
      <c r="A756" s="16"/>
      <c r="B756" s="16"/>
      <c r="C756" s="16"/>
      <c r="D756" s="16"/>
      <c r="E756" s="21" t="str">
        <f aca="false">IF(A756="","",A756&amp;"|"&amp;D756)</f>
        <v/>
      </c>
      <c r="F756" s="16"/>
      <c r="G756" s="16"/>
      <c r="H756" s="16"/>
      <c r="I756" s="16"/>
      <c r="J756" s="16"/>
      <c r="K756" s="14"/>
      <c r="L756" s="14"/>
      <c r="M756" s="14"/>
      <c r="N756" s="14"/>
      <c r="O756" s="14"/>
      <c r="P756" s="18" t="n">
        <f aca="false">IF(N756="",0,IF(OR(M756="",O756=""),N756,(M756+4*N756+O756)/6))</f>
        <v>0</v>
      </c>
      <c r="Q756" s="14"/>
      <c r="R756" s="14"/>
      <c r="S756" s="14"/>
      <c r="T756" s="14"/>
      <c r="U756" s="16"/>
      <c r="V756" s="13"/>
      <c r="W756" s="16"/>
      <c r="X756" s="16"/>
      <c r="Y756" s="16"/>
      <c r="Z756" s="16"/>
      <c r="AA756" s="22" t="n">
        <f aca="false">IF(F756&lt;&gt;"Y",0,((SUMIF(Products!$E$5:$E$300,A756,Products!$F$5:$F$300)+SUMIF(RM_Lots!$A$5:$A$400,A756,RM_Lots!$D$5:$D$400))+IF(W756="Y",SUMIF(Products!$E$5:$E$300,A756,Products!$G$5:$G$300),0))*(1+N(V756)))</f>
        <v>0</v>
      </c>
      <c r="AB756" s="22" t="n">
        <f aca="false">IF(F756&lt;&gt;"Y",0,((SUMIF(Products!$E$5:$E$300,A756,Products!$K$5:$K$300)+SUMIF(RM_Lots!$A$5:$A$400,A756,RM_Lots!$F$5:$F$400))+IF(W756="Y",SUMIF(Products!$E$5:$E$300,A756,Products!$L$5:$L$300),0))*(1+N(V756)))</f>
        <v>0</v>
      </c>
      <c r="AC756" s="17" t="n">
        <f aca="false">IF(J756="",1,MAX(1,COUNTIFS($J$5:$J$863,J756,$F$5:$F$863,"Y")))</f>
        <v>1</v>
      </c>
      <c r="AD756" s="18" t="n">
        <f aca="false">(MAX(1,N(I756))*(P756+N(S756))+MAX(1,N(I756))*N(K756)/(MAX(1,N(U756))*AC756))*Settings!$B$9</f>
        <v>0</v>
      </c>
      <c r="AE756" s="18" t="n">
        <f aca="false">(MAX(1,N(I756))*N(Q756)+MAX(1,N(I756))*N(L756)/(MAX(1,N(U756))*AC756))*Settings!$B$8</f>
        <v>0</v>
      </c>
      <c r="AF756" s="18" t="n">
        <f aca="false">MAX(1,N(I756))*N(T756)</f>
        <v>0</v>
      </c>
      <c r="AG756" s="15" t="n">
        <f aca="false">AA756*N(AD756)</f>
        <v>0</v>
      </c>
      <c r="AH756" s="15" t="n">
        <f aca="false">AA756*N(AE756)</f>
        <v>0</v>
      </c>
      <c r="AI756" s="15" t="n">
        <f aca="false">AA756*N(AF756)</f>
        <v>0</v>
      </c>
      <c r="AJ756" s="15" t="n">
        <f aca="false">AA756*N(R756)</f>
        <v>0</v>
      </c>
      <c r="AK756" s="15" t="n">
        <f aca="false">AB756*N(AD756)</f>
        <v>0</v>
      </c>
      <c r="AL756" s="15" t="n">
        <f aca="false">AB756*N(AE756)</f>
        <v>0</v>
      </c>
      <c r="AM756" s="15" t="n">
        <f aca="false">AB756*N(AF756)</f>
        <v>0</v>
      </c>
      <c r="AN756" s="15" t="n">
        <f aca="false">AB756*N(R756)</f>
        <v>0</v>
      </c>
      <c r="AO756" s="21" t="str">
        <f aca="false">IF(F756&lt;&gt;"Y","n/a",IF(AND(N756&lt;&gt;"",OR(Q756&lt;&gt;"",G756="Other / bench",G756="None"),U756&lt;&gt;""),"OK","Missing"))</f>
        <v>n/a</v>
      </c>
    </row>
    <row r="757" customFormat="false" ht="15" hidden="false" customHeight="false" outlineLevel="0" collapsed="false">
      <c r="A757" s="16"/>
      <c r="B757" s="16"/>
      <c r="C757" s="16"/>
      <c r="D757" s="16"/>
      <c r="E757" s="21" t="str">
        <f aca="false">IF(A757="","",A757&amp;"|"&amp;D757)</f>
        <v/>
      </c>
      <c r="F757" s="16"/>
      <c r="G757" s="16"/>
      <c r="H757" s="16"/>
      <c r="I757" s="16"/>
      <c r="J757" s="16"/>
      <c r="K757" s="14"/>
      <c r="L757" s="14"/>
      <c r="M757" s="14"/>
      <c r="N757" s="14"/>
      <c r="O757" s="14"/>
      <c r="P757" s="18" t="n">
        <f aca="false">IF(N757="",0,IF(OR(M757="",O757=""),N757,(M757+4*N757+O757)/6))</f>
        <v>0</v>
      </c>
      <c r="Q757" s="14"/>
      <c r="R757" s="14"/>
      <c r="S757" s="14"/>
      <c r="T757" s="14"/>
      <c r="U757" s="16"/>
      <c r="V757" s="13"/>
      <c r="W757" s="16"/>
      <c r="X757" s="16"/>
      <c r="Y757" s="16"/>
      <c r="Z757" s="16"/>
      <c r="AA757" s="22" t="n">
        <f aca="false">IF(F757&lt;&gt;"Y",0,((SUMIF(Products!$E$5:$E$300,A757,Products!$F$5:$F$300)+SUMIF(RM_Lots!$A$5:$A$400,A757,RM_Lots!$D$5:$D$400))+IF(W757="Y",SUMIF(Products!$E$5:$E$300,A757,Products!$G$5:$G$300),0))*(1+N(V757)))</f>
        <v>0</v>
      </c>
      <c r="AB757" s="22" t="n">
        <f aca="false">IF(F757&lt;&gt;"Y",0,((SUMIF(Products!$E$5:$E$300,A757,Products!$K$5:$K$300)+SUMIF(RM_Lots!$A$5:$A$400,A757,RM_Lots!$F$5:$F$400))+IF(W757="Y",SUMIF(Products!$E$5:$E$300,A757,Products!$L$5:$L$300),0))*(1+N(V757)))</f>
        <v>0</v>
      </c>
      <c r="AC757" s="17" t="n">
        <f aca="false">IF(J757="",1,MAX(1,COUNTIFS($J$5:$J$863,J757,$F$5:$F$863,"Y")))</f>
        <v>1</v>
      </c>
      <c r="AD757" s="18" t="n">
        <f aca="false">(MAX(1,N(I757))*(P757+N(S757))+MAX(1,N(I757))*N(K757)/(MAX(1,N(U757))*AC757))*Settings!$B$9</f>
        <v>0</v>
      </c>
      <c r="AE757" s="18" t="n">
        <f aca="false">(MAX(1,N(I757))*N(Q757)+MAX(1,N(I757))*N(L757)/(MAX(1,N(U757))*AC757))*Settings!$B$8</f>
        <v>0</v>
      </c>
      <c r="AF757" s="18" t="n">
        <f aca="false">MAX(1,N(I757))*N(T757)</f>
        <v>0</v>
      </c>
      <c r="AG757" s="15" t="n">
        <f aca="false">AA757*N(AD757)</f>
        <v>0</v>
      </c>
      <c r="AH757" s="15" t="n">
        <f aca="false">AA757*N(AE757)</f>
        <v>0</v>
      </c>
      <c r="AI757" s="15" t="n">
        <f aca="false">AA757*N(AF757)</f>
        <v>0</v>
      </c>
      <c r="AJ757" s="15" t="n">
        <f aca="false">AA757*N(R757)</f>
        <v>0</v>
      </c>
      <c r="AK757" s="15" t="n">
        <f aca="false">AB757*N(AD757)</f>
        <v>0</v>
      </c>
      <c r="AL757" s="15" t="n">
        <f aca="false">AB757*N(AE757)</f>
        <v>0</v>
      </c>
      <c r="AM757" s="15" t="n">
        <f aca="false">AB757*N(AF757)</f>
        <v>0</v>
      </c>
      <c r="AN757" s="15" t="n">
        <f aca="false">AB757*N(R757)</f>
        <v>0</v>
      </c>
      <c r="AO757" s="21" t="str">
        <f aca="false">IF(F757&lt;&gt;"Y","n/a",IF(AND(N757&lt;&gt;"",OR(Q757&lt;&gt;"",G757="Other / bench",G757="None"),U757&lt;&gt;""),"OK","Missing"))</f>
        <v>n/a</v>
      </c>
    </row>
    <row r="758" customFormat="false" ht="15" hidden="false" customHeight="false" outlineLevel="0" collapsed="false">
      <c r="A758" s="16"/>
      <c r="B758" s="16"/>
      <c r="C758" s="16"/>
      <c r="D758" s="16"/>
      <c r="E758" s="21" t="str">
        <f aca="false">IF(A758="","",A758&amp;"|"&amp;D758)</f>
        <v/>
      </c>
      <c r="F758" s="16"/>
      <c r="G758" s="16"/>
      <c r="H758" s="16"/>
      <c r="I758" s="16"/>
      <c r="J758" s="16"/>
      <c r="K758" s="14"/>
      <c r="L758" s="14"/>
      <c r="M758" s="14"/>
      <c r="N758" s="14"/>
      <c r="O758" s="14"/>
      <c r="P758" s="18" t="n">
        <f aca="false">IF(N758="",0,IF(OR(M758="",O758=""),N758,(M758+4*N758+O758)/6))</f>
        <v>0</v>
      </c>
      <c r="Q758" s="14"/>
      <c r="R758" s="14"/>
      <c r="S758" s="14"/>
      <c r="T758" s="14"/>
      <c r="U758" s="16"/>
      <c r="V758" s="13"/>
      <c r="W758" s="16"/>
      <c r="X758" s="16"/>
      <c r="Y758" s="16"/>
      <c r="Z758" s="16"/>
      <c r="AA758" s="22" t="n">
        <f aca="false">IF(F758&lt;&gt;"Y",0,((SUMIF(Products!$E$5:$E$300,A758,Products!$F$5:$F$300)+SUMIF(RM_Lots!$A$5:$A$400,A758,RM_Lots!$D$5:$D$400))+IF(W758="Y",SUMIF(Products!$E$5:$E$300,A758,Products!$G$5:$G$300),0))*(1+N(V758)))</f>
        <v>0</v>
      </c>
      <c r="AB758" s="22" t="n">
        <f aca="false">IF(F758&lt;&gt;"Y",0,((SUMIF(Products!$E$5:$E$300,A758,Products!$K$5:$K$300)+SUMIF(RM_Lots!$A$5:$A$400,A758,RM_Lots!$F$5:$F$400))+IF(W758="Y",SUMIF(Products!$E$5:$E$300,A758,Products!$L$5:$L$300),0))*(1+N(V758)))</f>
        <v>0</v>
      </c>
      <c r="AC758" s="17" t="n">
        <f aca="false">IF(J758="",1,MAX(1,COUNTIFS($J$5:$J$863,J758,$F$5:$F$863,"Y")))</f>
        <v>1</v>
      </c>
      <c r="AD758" s="18" t="n">
        <f aca="false">(MAX(1,N(I758))*(P758+N(S758))+MAX(1,N(I758))*N(K758)/(MAX(1,N(U758))*AC758))*Settings!$B$9</f>
        <v>0</v>
      </c>
      <c r="AE758" s="18" t="n">
        <f aca="false">(MAX(1,N(I758))*N(Q758)+MAX(1,N(I758))*N(L758)/(MAX(1,N(U758))*AC758))*Settings!$B$8</f>
        <v>0</v>
      </c>
      <c r="AF758" s="18" t="n">
        <f aca="false">MAX(1,N(I758))*N(T758)</f>
        <v>0</v>
      </c>
      <c r="AG758" s="15" t="n">
        <f aca="false">AA758*N(AD758)</f>
        <v>0</v>
      </c>
      <c r="AH758" s="15" t="n">
        <f aca="false">AA758*N(AE758)</f>
        <v>0</v>
      </c>
      <c r="AI758" s="15" t="n">
        <f aca="false">AA758*N(AF758)</f>
        <v>0</v>
      </c>
      <c r="AJ758" s="15" t="n">
        <f aca="false">AA758*N(R758)</f>
        <v>0</v>
      </c>
      <c r="AK758" s="15" t="n">
        <f aca="false">AB758*N(AD758)</f>
        <v>0</v>
      </c>
      <c r="AL758" s="15" t="n">
        <f aca="false">AB758*N(AE758)</f>
        <v>0</v>
      </c>
      <c r="AM758" s="15" t="n">
        <f aca="false">AB758*N(AF758)</f>
        <v>0</v>
      </c>
      <c r="AN758" s="15" t="n">
        <f aca="false">AB758*N(R758)</f>
        <v>0</v>
      </c>
      <c r="AO758" s="21" t="str">
        <f aca="false">IF(F758&lt;&gt;"Y","n/a",IF(AND(N758&lt;&gt;"",OR(Q758&lt;&gt;"",G758="Other / bench",G758="None"),U758&lt;&gt;""),"OK","Missing"))</f>
        <v>n/a</v>
      </c>
    </row>
    <row r="759" customFormat="false" ht="15" hidden="false" customHeight="false" outlineLevel="0" collapsed="false">
      <c r="A759" s="16"/>
      <c r="B759" s="16"/>
      <c r="C759" s="16"/>
      <c r="D759" s="16"/>
      <c r="E759" s="21" t="str">
        <f aca="false">IF(A759="","",A759&amp;"|"&amp;D759)</f>
        <v/>
      </c>
      <c r="F759" s="16"/>
      <c r="G759" s="16"/>
      <c r="H759" s="16"/>
      <c r="I759" s="16"/>
      <c r="J759" s="16"/>
      <c r="K759" s="14"/>
      <c r="L759" s="14"/>
      <c r="M759" s="14"/>
      <c r="N759" s="14"/>
      <c r="O759" s="14"/>
      <c r="P759" s="18" t="n">
        <f aca="false">IF(N759="",0,IF(OR(M759="",O759=""),N759,(M759+4*N759+O759)/6))</f>
        <v>0</v>
      </c>
      <c r="Q759" s="14"/>
      <c r="R759" s="14"/>
      <c r="S759" s="14"/>
      <c r="T759" s="14"/>
      <c r="U759" s="16"/>
      <c r="V759" s="13"/>
      <c r="W759" s="16"/>
      <c r="X759" s="16"/>
      <c r="Y759" s="16"/>
      <c r="Z759" s="16"/>
      <c r="AA759" s="22" t="n">
        <f aca="false">IF(F759&lt;&gt;"Y",0,((SUMIF(Products!$E$5:$E$300,A759,Products!$F$5:$F$300)+SUMIF(RM_Lots!$A$5:$A$400,A759,RM_Lots!$D$5:$D$400))+IF(W759="Y",SUMIF(Products!$E$5:$E$300,A759,Products!$G$5:$G$300),0))*(1+N(V759)))</f>
        <v>0</v>
      </c>
      <c r="AB759" s="22" t="n">
        <f aca="false">IF(F759&lt;&gt;"Y",0,((SUMIF(Products!$E$5:$E$300,A759,Products!$K$5:$K$300)+SUMIF(RM_Lots!$A$5:$A$400,A759,RM_Lots!$F$5:$F$400))+IF(W759="Y",SUMIF(Products!$E$5:$E$300,A759,Products!$L$5:$L$300),0))*(1+N(V759)))</f>
        <v>0</v>
      </c>
      <c r="AC759" s="17" t="n">
        <f aca="false">IF(J759="",1,MAX(1,COUNTIFS($J$5:$J$863,J759,$F$5:$F$863,"Y")))</f>
        <v>1</v>
      </c>
      <c r="AD759" s="18" t="n">
        <f aca="false">(MAX(1,N(I759))*(P759+N(S759))+MAX(1,N(I759))*N(K759)/(MAX(1,N(U759))*AC759))*Settings!$B$9</f>
        <v>0</v>
      </c>
      <c r="AE759" s="18" t="n">
        <f aca="false">(MAX(1,N(I759))*N(Q759)+MAX(1,N(I759))*N(L759)/(MAX(1,N(U759))*AC759))*Settings!$B$8</f>
        <v>0</v>
      </c>
      <c r="AF759" s="18" t="n">
        <f aca="false">MAX(1,N(I759))*N(T759)</f>
        <v>0</v>
      </c>
      <c r="AG759" s="15" t="n">
        <f aca="false">AA759*N(AD759)</f>
        <v>0</v>
      </c>
      <c r="AH759" s="15" t="n">
        <f aca="false">AA759*N(AE759)</f>
        <v>0</v>
      </c>
      <c r="AI759" s="15" t="n">
        <f aca="false">AA759*N(AF759)</f>
        <v>0</v>
      </c>
      <c r="AJ759" s="15" t="n">
        <f aca="false">AA759*N(R759)</f>
        <v>0</v>
      </c>
      <c r="AK759" s="15" t="n">
        <f aca="false">AB759*N(AD759)</f>
        <v>0</v>
      </c>
      <c r="AL759" s="15" t="n">
        <f aca="false">AB759*N(AE759)</f>
        <v>0</v>
      </c>
      <c r="AM759" s="15" t="n">
        <f aca="false">AB759*N(AF759)</f>
        <v>0</v>
      </c>
      <c r="AN759" s="15" t="n">
        <f aca="false">AB759*N(R759)</f>
        <v>0</v>
      </c>
      <c r="AO759" s="21" t="str">
        <f aca="false">IF(F759&lt;&gt;"Y","n/a",IF(AND(N759&lt;&gt;"",OR(Q759&lt;&gt;"",G759="Other / bench",G759="None"),U759&lt;&gt;""),"OK","Missing"))</f>
        <v>n/a</v>
      </c>
    </row>
    <row r="760" customFormat="false" ht="15" hidden="false" customHeight="false" outlineLevel="0" collapsed="false">
      <c r="A760" s="16"/>
      <c r="B760" s="16"/>
      <c r="C760" s="16"/>
      <c r="D760" s="16"/>
      <c r="E760" s="21" t="str">
        <f aca="false">IF(A760="","",A760&amp;"|"&amp;D760)</f>
        <v/>
      </c>
      <c r="F760" s="16"/>
      <c r="G760" s="16"/>
      <c r="H760" s="16"/>
      <c r="I760" s="16"/>
      <c r="J760" s="16"/>
      <c r="K760" s="14"/>
      <c r="L760" s="14"/>
      <c r="M760" s="14"/>
      <c r="N760" s="14"/>
      <c r="O760" s="14"/>
      <c r="P760" s="18" t="n">
        <f aca="false">IF(N760="",0,IF(OR(M760="",O760=""),N760,(M760+4*N760+O760)/6))</f>
        <v>0</v>
      </c>
      <c r="Q760" s="14"/>
      <c r="R760" s="14"/>
      <c r="S760" s="14"/>
      <c r="T760" s="14"/>
      <c r="U760" s="16"/>
      <c r="V760" s="13"/>
      <c r="W760" s="16"/>
      <c r="X760" s="16"/>
      <c r="Y760" s="16"/>
      <c r="Z760" s="16"/>
      <c r="AA760" s="22" t="n">
        <f aca="false">IF(F760&lt;&gt;"Y",0,((SUMIF(Products!$E$5:$E$300,A760,Products!$F$5:$F$300)+SUMIF(RM_Lots!$A$5:$A$400,A760,RM_Lots!$D$5:$D$400))+IF(W760="Y",SUMIF(Products!$E$5:$E$300,A760,Products!$G$5:$G$300),0))*(1+N(V760)))</f>
        <v>0</v>
      </c>
      <c r="AB760" s="22" t="n">
        <f aca="false">IF(F760&lt;&gt;"Y",0,((SUMIF(Products!$E$5:$E$300,A760,Products!$K$5:$K$300)+SUMIF(RM_Lots!$A$5:$A$400,A760,RM_Lots!$F$5:$F$400))+IF(W760="Y",SUMIF(Products!$E$5:$E$300,A760,Products!$L$5:$L$300),0))*(1+N(V760)))</f>
        <v>0</v>
      </c>
      <c r="AC760" s="17" t="n">
        <f aca="false">IF(J760="",1,MAX(1,COUNTIFS($J$5:$J$863,J760,$F$5:$F$863,"Y")))</f>
        <v>1</v>
      </c>
      <c r="AD760" s="18" t="n">
        <f aca="false">(MAX(1,N(I760))*(P760+N(S760))+MAX(1,N(I760))*N(K760)/(MAX(1,N(U760))*AC760))*Settings!$B$9</f>
        <v>0</v>
      </c>
      <c r="AE760" s="18" t="n">
        <f aca="false">(MAX(1,N(I760))*N(Q760)+MAX(1,N(I760))*N(L760)/(MAX(1,N(U760))*AC760))*Settings!$B$8</f>
        <v>0</v>
      </c>
      <c r="AF760" s="18" t="n">
        <f aca="false">MAX(1,N(I760))*N(T760)</f>
        <v>0</v>
      </c>
      <c r="AG760" s="15" t="n">
        <f aca="false">AA760*N(AD760)</f>
        <v>0</v>
      </c>
      <c r="AH760" s="15" t="n">
        <f aca="false">AA760*N(AE760)</f>
        <v>0</v>
      </c>
      <c r="AI760" s="15" t="n">
        <f aca="false">AA760*N(AF760)</f>
        <v>0</v>
      </c>
      <c r="AJ760" s="15" t="n">
        <f aca="false">AA760*N(R760)</f>
        <v>0</v>
      </c>
      <c r="AK760" s="15" t="n">
        <f aca="false">AB760*N(AD760)</f>
        <v>0</v>
      </c>
      <c r="AL760" s="15" t="n">
        <f aca="false">AB760*N(AE760)</f>
        <v>0</v>
      </c>
      <c r="AM760" s="15" t="n">
        <f aca="false">AB760*N(AF760)</f>
        <v>0</v>
      </c>
      <c r="AN760" s="15" t="n">
        <f aca="false">AB760*N(R760)</f>
        <v>0</v>
      </c>
      <c r="AO760" s="21" t="str">
        <f aca="false">IF(F760&lt;&gt;"Y","n/a",IF(AND(N760&lt;&gt;"",OR(Q760&lt;&gt;"",G760="Other / bench",G760="None"),U760&lt;&gt;""),"OK","Missing"))</f>
        <v>n/a</v>
      </c>
    </row>
    <row r="761" customFormat="false" ht="15" hidden="false" customHeight="false" outlineLevel="0" collapsed="false">
      <c r="A761" s="16"/>
      <c r="B761" s="16"/>
      <c r="C761" s="16"/>
      <c r="D761" s="16"/>
      <c r="E761" s="21" t="str">
        <f aca="false">IF(A761="","",A761&amp;"|"&amp;D761)</f>
        <v/>
      </c>
      <c r="F761" s="16"/>
      <c r="G761" s="16"/>
      <c r="H761" s="16"/>
      <c r="I761" s="16"/>
      <c r="J761" s="16"/>
      <c r="K761" s="14"/>
      <c r="L761" s="14"/>
      <c r="M761" s="14"/>
      <c r="N761" s="14"/>
      <c r="O761" s="14"/>
      <c r="P761" s="18" t="n">
        <f aca="false">IF(N761="",0,IF(OR(M761="",O761=""),N761,(M761+4*N761+O761)/6))</f>
        <v>0</v>
      </c>
      <c r="Q761" s="14"/>
      <c r="R761" s="14"/>
      <c r="S761" s="14"/>
      <c r="T761" s="14"/>
      <c r="U761" s="16"/>
      <c r="V761" s="13"/>
      <c r="W761" s="16"/>
      <c r="X761" s="16"/>
      <c r="Y761" s="16"/>
      <c r="Z761" s="16"/>
      <c r="AA761" s="22" t="n">
        <f aca="false">IF(F761&lt;&gt;"Y",0,((SUMIF(Products!$E$5:$E$300,A761,Products!$F$5:$F$300)+SUMIF(RM_Lots!$A$5:$A$400,A761,RM_Lots!$D$5:$D$400))+IF(W761="Y",SUMIF(Products!$E$5:$E$300,A761,Products!$G$5:$G$300),0))*(1+N(V761)))</f>
        <v>0</v>
      </c>
      <c r="AB761" s="22" t="n">
        <f aca="false">IF(F761&lt;&gt;"Y",0,((SUMIF(Products!$E$5:$E$300,A761,Products!$K$5:$K$300)+SUMIF(RM_Lots!$A$5:$A$400,A761,RM_Lots!$F$5:$F$400))+IF(W761="Y",SUMIF(Products!$E$5:$E$300,A761,Products!$L$5:$L$300),0))*(1+N(V761)))</f>
        <v>0</v>
      </c>
      <c r="AC761" s="17" t="n">
        <f aca="false">IF(J761="",1,MAX(1,COUNTIFS($J$5:$J$863,J761,$F$5:$F$863,"Y")))</f>
        <v>1</v>
      </c>
      <c r="AD761" s="18" t="n">
        <f aca="false">(MAX(1,N(I761))*(P761+N(S761))+MAX(1,N(I761))*N(K761)/(MAX(1,N(U761))*AC761))*Settings!$B$9</f>
        <v>0</v>
      </c>
      <c r="AE761" s="18" t="n">
        <f aca="false">(MAX(1,N(I761))*N(Q761)+MAX(1,N(I761))*N(L761)/(MAX(1,N(U761))*AC761))*Settings!$B$8</f>
        <v>0</v>
      </c>
      <c r="AF761" s="18" t="n">
        <f aca="false">MAX(1,N(I761))*N(T761)</f>
        <v>0</v>
      </c>
      <c r="AG761" s="15" t="n">
        <f aca="false">AA761*N(AD761)</f>
        <v>0</v>
      </c>
      <c r="AH761" s="15" t="n">
        <f aca="false">AA761*N(AE761)</f>
        <v>0</v>
      </c>
      <c r="AI761" s="15" t="n">
        <f aca="false">AA761*N(AF761)</f>
        <v>0</v>
      </c>
      <c r="AJ761" s="15" t="n">
        <f aca="false">AA761*N(R761)</f>
        <v>0</v>
      </c>
      <c r="AK761" s="15" t="n">
        <f aca="false">AB761*N(AD761)</f>
        <v>0</v>
      </c>
      <c r="AL761" s="15" t="n">
        <f aca="false">AB761*N(AE761)</f>
        <v>0</v>
      </c>
      <c r="AM761" s="15" t="n">
        <f aca="false">AB761*N(AF761)</f>
        <v>0</v>
      </c>
      <c r="AN761" s="15" t="n">
        <f aca="false">AB761*N(R761)</f>
        <v>0</v>
      </c>
      <c r="AO761" s="21" t="str">
        <f aca="false">IF(F761&lt;&gt;"Y","n/a",IF(AND(N761&lt;&gt;"",OR(Q761&lt;&gt;"",G761="Other / bench",G761="None"),U761&lt;&gt;""),"OK","Missing"))</f>
        <v>n/a</v>
      </c>
    </row>
    <row r="762" customFormat="false" ht="15" hidden="false" customHeight="false" outlineLevel="0" collapsed="false">
      <c r="A762" s="16"/>
      <c r="B762" s="16"/>
      <c r="C762" s="16"/>
      <c r="D762" s="16"/>
      <c r="E762" s="21" t="str">
        <f aca="false">IF(A762="","",A762&amp;"|"&amp;D762)</f>
        <v/>
      </c>
      <c r="F762" s="16"/>
      <c r="G762" s="16"/>
      <c r="H762" s="16"/>
      <c r="I762" s="16"/>
      <c r="J762" s="16"/>
      <c r="K762" s="14"/>
      <c r="L762" s="14"/>
      <c r="M762" s="14"/>
      <c r="N762" s="14"/>
      <c r="O762" s="14"/>
      <c r="P762" s="18" t="n">
        <f aca="false">IF(N762="",0,IF(OR(M762="",O762=""),N762,(M762+4*N762+O762)/6))</f>
        <v>0</v>
      </c>
      <c r="Q762" s="14"/>
      <c r="R762" s="14"/>
      <c r="S762" s="14"/>
      <c r="T762" s="14"/>
      <c r="U762" s="16"/>
      <c r="V762" s="13"/>
      <c r="W762" s="16"/>
      <c r="X762" s="16"/>
      <c r="Y762" s="16"/>
      <c r="Z762" s="16"/>
      <c r="AA762" s="22" t="n">
        <f aca="false">IF(F762&lt;&gt;"Y",0,((SUMIF(Products!$E$5:$E$300,A762,Products!$F$5:$F$300)+SUMIF(RM_Lots!$A$5:$A$400,A762,RM_Lots!$D$5:$D$400))+IF(W762="Y",SUMIF(Products!$E$5:$E$300,A762,Products!$G$5:$G$300),0))*(1+N(V762)))</f>
        <v>0</v>
      </c>
      <c r="AB762" s="22" t="n">
        <f aca="false">IF(F762&lt;&gt;"Y",0,((SUMIF(Products!$E$5:$E$300,A762,Products!$K$5:$K$300)+SUMIF(RM_Lots!$A$5:$A$400,A762,RM_Lots!$F$5:$F$400))+IF(W762="Y",SUMIF(Products!$E$5:$E$300,A762,Products!$L$5:$L$300),0))*(1+N(V762)))</f>
        <v>0</v>
      </c>
      <c r="AC762" s="17" t="n">
        <f aca="false">IF(J762="",1,MAX(1,COUNTIFS($J$5:$J$863,J762,$F$5:$F$863,"Y")))</f>
        <v>1</v>
      </c>
      <c r="AD762" s="18" t="n">
        <f aca="false">(MAX(1,N(I762))*(P762+N(S762))+MAX(1,N(I762))*N(K762)/(MAX(1,N(U762))*AC762))*Settings!$B$9</f>
        <v>0</v>
      </c>
      <c r="AE762" s="18" t="n">
        <f aca="false">(MAX(1,N(I762))*N(Q762)+MAX(1,N(I762))*N(L762)/(MAX(1,N(U762))*AC762))*Settings!$B$8</f>
        <v>0</v>
      </c>
      <c r="AF762" s="18" t="n">
        <f aca="false">MAX(1,N(I762))*N(T762)</f>
        <v>0</v>
      </c>
      <c r="AG762" s="15" t="n">
        <f aca="false">AA762*N(AD762)</f>
        <v>0</v>
      </c>
      <c r="AH762" s="15" t="n">
        <f aca="false">AA762*N(AE762)</f>
        <v>0</v>
      </c>
      <c r="AI762" s="15" t="n">
        <f aca="false">AA762*N(AF762)</f>
        <v>0</v>
      </c>
      <c r="AJ762" s="15" t="n">
        <f aca="false">AA762*N(R762)</f>
        <v>0</v>
      </c>
      <c r="AK762" s="15" t="n">
        <f aca="false">AB762*N(AD762)</f>
        <v>0</v>
      </c>
      <c r="AL762" s="15" t="n">
        <f aca="false">AB762*N(AE762)</f>
        <v>0</v>
      </c>
      <c r="AM762" s="15" t="n">
        <f aca="false">AB762*N(AF762)</f>
        <v>0</v>
      </c>
      <c r="AN762" s="15" t="n">
        <f aca="false">AB762*N(R762)</f>
        <v>0</v>
      </c>
      <c r="AO762" s="21" t="str">
        <f aca="false">IF(F762&lt;&gt;"Y","n/a",IF(AND(N762&lt;&gt;"",OR(Q762&lt;&gt;"",G762="Other / bench",G762="None"),U762&lt;&gt;""),"OK","Missing"))</f>
        <v>n/a</v>
      </c>
    </row>
    <row r="763" customFormat="false" ht="15" hidden="false" customHeight="false" outlineLevel="0" collapsed="false">
      <c r="A763" s="16"/>
      <c r="B763" s="16"/>
      <c r="C763" s="16"/>
      <c r="D763" s="16"/>
      <c r="E763" s="21" t="str">
        <f aca="false">IF(A763="","",A763&amp;"|"&amp;D763)</f>
        <v/>
      </c>
      <c r="F763" s="16"/>
      <c r="G763" s="16"/>
      <c r="H763" s="16"/>
      <c r="I763" s="16"/>
      <c r="J763" s="16"/>
      <c r="K763" s="14"/>
      <c r="L763" s="14"/>
      <c r="M763" s="14"/>
      <c r="N763" s="14"/>
      <c r="O763" s="14"/>
      <c r="P763" s="18" t="n">
        <f aca="false">IF(N763="",0,IF(OR(M763="",O763=""),N763,(M763+4*N763+O763)/6))</f>
        <v>0</v>
      </c>
      <c r="Q763" s="14"/>
      <c r="R763" s="14"/>
      <c r="S763" s="14"/>
      <c r="T763" s="14"/>
      <c r="U763" s="16"/>
      <c r="V763" s="13"/>
      <c r="W763" s="16"/>
      <c r="X763" s="16"/>
      <c r="Y763" s="16"/>
      <c r="Z763" s="16"/>
      <c r="AA763" s="22" t="n">
        <f aca="false">IF(F763&lt;&gt;"Y",0,((SUMIF(Products!$E$5:$E$300,A763,Products!$F$5:$F$300)+SUMIF(RM_Lots!$A$5:$A$400,A763,RM_Lots!$D$5:$D$400))+IF(W763="Y",SUMIF(Products!$E$5:$E$300,A763,Products!$G$5:$G$300),0))*(1+N(V763)))</f>
        <v>0</v>
      </c>
      <c r="AB763" s="22" t="n">
        <f aca="false">IF(F763&lt;&gt;"Y",0,((SUMIF(Products!$E$5:$E$300,A763,Products!$K$5:$K$300)+SUMIF(RM_Lots!$A$5:$A$400,A763,RM_Lots!$F$5:$F$400))+IF(W763="Y",SUMIF(Products!$E$5:$E$300,A763,Products!$L$5:$L$300),0))*(1+N(V763)))</f>
        <v>0</v>
      </c>
      <c r="AC763" s="17" t="n">
        <f aca="false">IF(J763="",1,MAX(1,COUNTIFS($J$5:$J$863,J763,$F$5:$F$863,"Y")))</f>
        <v>1</v>
      </c>
      <c r="AD763" s="18" t="n">
        <f aca="false">(MAX(1,N(I763))*(P763+N(S763))+MAX(1,N(I763))*N(K763)/(MAX(1,N(U763))*AC763))*Settings!$B$9</f>
        <v>0</v>
      </c>
      <c r="AE763" s="18" t="n">
        <f aca="false">(MAX(1,N(I763))*N(Q763)+MAX(1,N(I763))*N(L763)/(MAX(1,N(U763))*AC763))*Settings!$B$8</f>
        <v>0</v>
      </c>
      <c r="AF763" s="18" t="n">
        <f aca="false">MAX(1,N(I763))*N(T763)</f>
        <v>0</v>
      </c>
      <c r="AG763" s="15" t="n">
        <f aca="false">AA763*N(AD763)</f>
        <v>0</v>
      </c>
      <c r="AH763" s="15" t="n">
        <f aca="false">AA763*N(AE763)</f>
        <v>0</v>
      </c>
      <c r="AI763" s="15" t="n">
        <f aca="false">AA763*N(AF763)</f>
        <v>0</v>
      </c>
      <c r="AJ763" s="15" t="n">
        <f aca="false">AA763*N(R763)</f>
        <v>0</v>
      </c>
      <c r="AK763" s="15" t="n">
        <f aca="false">AB763*N(AD763)</f>
        <v>0</v>
      </c>
      <c r="AL763" s="15" t="n">
        <f aca="false">AB763*N(AE763)</f>
        <v>0</v>
      </c>
      <c r="AM763" s="15" t="n">
        <f aca="false">AB763*N(AF763)</f>
        <v>0</v>
      </c>
      <c r="AN763" s="15" t="n">
        <f aca="false">AB763*N(R763)</f>
        <v>0</v>
      </c>
      <c r="AO763" s="21" t="str">
        <f aca="false">IF(F763&lt;&gt;"Y","n/a",IF(AND(N763&lt;&gt;"",OR(Q763&lt;&gt;"",G763="Other / bench",G763="None"),U763&lt;&gt;""),"OK","Missing"))</f>
        <v>n/a</v>
      </c>
    </row>
    <row r="764" customFormat="false" ht="15" hidden="false" customHeight="false" outlineLevel="0" collapsed="false">
      <c r="A764" s="16"/>
      <c r="B764" s="16"/>
      <c r="C764" s="16"/>
      <c r="D764" s="16"/>
      <c r="E764" s="21" t="str">
        <f aca="false">IF(A764="","",A764&amp;"|"&amp;D764)</f>
        <v/>
      </c>
      <c r="F764" s="16"/>
      <c r="G764" s="16"/>
      <c r="H764" s="16"/>
      <c r="I764" s="16"/>
      <c r="J764" s="16"/>
      <c r="K764" s="14"/>
      <c r="L764" s="14"/>
      <c r="M764" s="14"/>
      <c r="N764" s="14"/>
      <c r="O764" s="14"/>
      <c r="P764" s="18" t="n">
        <f aca="false">IF(N764="",0,IF(OR(M764="",O764=""),N764,(M764+4*N764+O764)/6))</f>
        <v>0</v>
      </c>
      <c r="Q764" s="14"/>
      <c r="R764" s="14"/>
      <c r="S764" s="14"/>
      <c r="T764" s="14"/>
      <c r="U764" s="16"/>
      <c r="V764" s="13"/>
      <c r="W764" s="16"/>
      <c r="X764" s="16"/>
      <c r="Y764" s="16"/>
      <c r="Z764" s="16"/>
      <c r="AA764" s="22" t="n">
        <f aca="false">IF(F764&lt;&gt;"Y",0,((SUMIF(Products!$E$5:$E$300,A764,Products!$F$5:$F$300)+SUMIF(RM_Lots!$A$5:$A$400,A764,RM_Lots!$D$5:$D$400))+IF(W764="Y",SUMIF(Products!$E$5:$E$300,A764,Products!$G$5:$G$300),0))*(1+N(V764)))</f>
        <v>0</v>
      </c>
      <c r="AB764" s="22" t="n">
        <f aca="false">IF(F764&lt;&gt;"Y",0,((SUMIF(Products!$E$5:$E$300,A764,Products!$K$5:$K$300)+SUMIF(RM_Lots!$A$5:$A$400,A764,RM_Lots!$F$5:$F$400))+IF(W764="Y",SUMIF(Products!$E$5:$E$300,A764,Products!$L$5:$L$300),0))*(1+N(V764)))</f>
        <v>0</v>
      </c>
      <c r="AC764" s="17" t="n">
        <f aca="false">IF(J764="",1,MAX(1,COUNTIFS($J$5:$J$863,J764,$F$5:$F$863,"Y")))</f>
        <v>1</v>
      </c>
      <c r="AD764" s="18" t="n">
        <f aca="false">(MAX(1,N(I764))*(P764+N(S764))+MAX(1,N(I764))*N(K764)/(MAX(1,N(U764))*AC764))*Settings!$B$9</f>
        <v>0</v>
      </c>
      <c r="AE764" s="18" t="n">
        <f aca="false">(MAX(1,N(I764))*N(Q764)+MAX(1,N(I764))*N(L764)/(MAX(1,N(U764))*AC764))*Settings!$B$8</f>
        <v>0</v>
      </c>
      <c r="AF764" s="18" t="n">
        <f aca="false">MAX(1,N(I764))*N(T764)</f>
        <v>0</v>
      </c>
      <c r="AG764" s="15" t="n">
        <f aca="false">AA764*N(AD764)</f>
        <v>0</v>
      </c>
      <c r="AH764" s="15" t="n">
        <f aca="false">AA764*N(AE764)</f>
        <v>0</v>
      </c>
      <c r="AI764" s="15" t="n">
        <f aca="false">AA764*N(AF764)</f>
        <v>0</v>
      </c>
      <c r="AJ764" s="15" t="n">
        <f aca="false">AA764*N(R764)</f>
        <v>0</v>
      </c>
      <c r="AK764" s="15" t="n">
        <f aca="false">AB764*N(AD764)</f>
        <v>0</v>
      </c>
      <c r="AL764" s="15" t="n">
        <f aca="false">AB764*N(AE764)</f>
        <v>0</v>
      </c>
      <c r="AM764" s="15" t="n">
        <f aca="false">AB764*N(AF764)</f>
        <v>0</v>
      </c>
      <c r="AN764" s="15" t="n">
        <f aca="false">AB764*N(R764)</f>
        <v>0</v>
      </c>
      <c r="AO764" s="21" t="str">
        <f aca="false">IF(F764&lt;&gt;"Y","n/a",IF(AND(N764&lt;&gt;"",OR(Q764&lt;&gt;"",G764="Other / bench",G764="None"),U764&lt;&gt;""),"OK","Missing"))</f>
        <v>n/a</v>
      </c>
    </row>
    <row r="765" customFormat="false" ht="15" hidden="false" customHeight="false" outlineLevel="0" collapsed="false">
      <c r="A765" s="16"/>
      <c r="B765" s="16"/>
      <c r="C765" s="16"/>
      <c r="D765" s="16"/>
      <c r="E765" s="21" t="str">
        <f aca="false">IF(A765="","",A765&amp;"|"&amp;D765)</f>
        <v/>
      </c>
      <c r="F765" s="16"/>
      <c r="G765" s="16"/>
      <c r="H765" s="16"/>
      <c r="I765" s="16"/>
      <c r="J765" s="16"/>
      <c r="K765" s="14"/>
      <c r="L765" s="14"/>
      <c r="M765" s="14"/>
      <c r="N765" s="14"/>
      <c r="O765" s="14"/>
      <c r="P765" s="18" t="n">
        <f aca="false">IF(N765="",0,IF(OR(M765="",O765=""),N765,(M765+4*N765+O765)/6))</f>
        <v>0</v>
      </c>
      <c r="Q765" s="14"/>
      <c r="R765" s="14"/>
      <c r="S765" s="14"/>
      <c r="T765" s="14"/>
      <c r="U765" s="16"/>
      <c r="V765" s="13"/>
      <c r="W765" s="16"/>
      <c r="X765" s="16"/>
      <c r="Y765" s="16"/>
      <c r="Z765" s="16"/>
      <c r="AA765" s="22" t="n">
        <f aca="false">IF(F765&lt;&gt;"Y",0,((SUMIF(Products!$E$5:$E$300,A765,Products!$F$5:$F$300)+SUMIF(RM_Lots!$A$5:$A$400,A765,RM_Lots!$D$5:$D$400))+IF(W765="Y",SUMIF(Products!$E$5:$E$300,A765,Products!$G$5:$G$300),0))*(1+N(V765)))</f>
        <v>0</v>
      </c>
      <c r="AB765" s="22" t="n">
        <f aca="false">IF(F765&lt;&gt;"Y",0,((SUMIF(Products!$E$5:$E$300,A765,Products!$K$5:$K$300)+SUMIF(RM_Lots!$A$5:$A$400,A765,RM_Lots!$F$5:$F$400))+IF(W765="Y",SUMIF(Products!$E$5:$E$300,A765,Products!$L$5:$L$300),0))*(1+N(V765)))</f>
        <v>0</v>
      </c>
      <c r="AC765" s="17" t="n">
        <f aca="false">IF(J765="",1,MAX(1,COUNTIFS($J$5:$J$863,J765,$F$5:$F$863,"Y")))</f>
        <v>1</v>
      </c>
      <c r="AD765" s="18" t="n">
        <f aca="false">(MAX(1,N(I765))*(P765+N(S765))+MAX(1,N(I765))*N(K765)/(MAX(1,N(U765))*AC765))*Settings!$B$9</f>
        <v>0</v>
      </c>
      <c r="AE765" s="18" t="n">
        <f aca="false">(MAX(1,N(I765))*N(Q765)+MAX(1,N(I765))*N(L765)/(MAX(1,N(U765))*AC765))*Settings!$B$8</f>
        <v>0</v>
      </c>
      <c r="AF765" s="18" t="n">
        <f aca="false">MAX(1,N(I765))*N(T765)</f>
        <v>0</v>
      </c>
      <c r="AG765" s="15" t="n">
        <f aca="false">AA765*N(AD765)</f>
        <v>0</v>
      </c>
      <c r="AH765" s="15" t="n">
        <f aca="false">AA765*N(AE765)</f>
        <v>0</v>
      </c>
      <c r="AI765" s="15" t="n">
        <f aca="false">AA765*N(AF765)</f>
        <v>0</v>
      </c>
      <c r="AJ765" s="15" t="n">
        <f aca="false">AA765*N(R765)</f>
        <v>0</v>
      </c>
      <c r="AK765" s="15" t="n">
        <f aca="false">AB765*N(AD765)</f>
        <v>0</v>
      </c>
      <c r="AL765" s="15" t="n">
        <f aca="false">AB765*N(AE765)</f>
        <v>0</v>
      </c>
      <c r="AM765" s="15" t="n">
        <f aca="false">AB765*N(AF765)</f>
        <v>0</v>
      </c>
      <c r="AN765" s="15" t="n">
        <f aca="false">AB765*N(R765)</f>
        <v>0</v>
      </c>
      <c r="AO765" s="21" t="str">
        <f aca="false">IF(F765&lt;&gt;"Y","n/a",IF(AND(N765&lt;&gt;"",OR(Q765&lt;&gt;"",G765="Other / bench",G765="None"),U765&lt;&gt;""),"OK","Missing"))</f>
        <v>n/a</v>
      </c>
    </row>
    <row r="766" customFormat="false" ht="15" hidden="false" customHeight="false" outlineLevel="0" collapsed="false">
      <c r="A766" s="16"/>
      <c r="B766" s="16"/>
      <c r="C766" s="16"/>
      <c r="D766" s="16"/>
      <c r="E766" s="21" t="str">
        <f aca="false">IF(A766="","",A766&amp;"|"&amp;D766)</f>
        <v/>
      </c>
      <c r="F766" s="16"/>
      <c r="G766" s="16"/>
      <c r="H766" s="16"/>
      <c r="I766" s="16"/>
      <c r="J766" s="16"/>
      <c r="K766" s="14"/>
      <c r="L766" s="14"/>
      <c r="M766" s="14"/>
      <c r="N766" s="14"/>
      <c r="O766" s="14"/>
      <c r="P766" s="18" t="n">
        <f aca="false">IF(N766="",0,IF(OR(M766="",O766=""),N766,(M766+4*N766+O766)/6))</f>
        <v>0</v>
      </c>
      <c r="Q766" s="14"/>
      <c r="R766" s="14"/>
      <c r="S766" s="14"/>
      <c r="T766" s="14"/>
      <c r="U766" s="16"/>
      <c r="V766" s="13"/>
      <c r="W766" s="16"/>
      <c r="X766" s="16"/>
      <c r="Y766" s="16"/>
      <c r="Z766" s="16"/>
      <c r="AA766" s="22" t="n">
        <f aca="false">IF(F766&lt;&gt;"Y",0,((SUMIF(Products!$E$5:$E$300,A766,Products!$F$5:$F$300)+SUMIF(RM_Lots!$A$5:$A$400,A766,RM_Lots!$D$5:$D$400))+IF(W766="Y",SUMIF(Products!$E$5:$E$300,A766,Products!$G$5:$G$300),0))*(1+N(V766)))</f>
        <v>0</v>
      </c>
      <c r="AB766" s="22" t="n">
        <f aca="false">IF(F766&lt;&gt;"Y",0,((SUMIF(Products!$E$5:$E$300,A766,Products!$K$5:$K$300)+SUMIF(RM_Lots!$A$5:$A$400,A766,RM_Lots!$F$5:$F$400))+IF(W766="Y",SUMIF(Products!$E$5:$E$300,A766,Products!$L$5:$L$300),0))*(1+N(V766)))</f>
        <v>0</v>
      </c>
      <c r="AC766" s="17" t="n">
        <f aca="false">IF(J766="",1,MAX(1,COUNTIFS($J$5:$J$863,J766,$F$5:$F$863,"Y")))</f>
        <v>1</v>
      </c>
      <c r="AD766" s="18" t="n">
        <f aca="false">(MAX(1,N(I766))*(P766+N(S766))+MAX(1,N(I766))*N(K766)/(MAX(1,N(U766))*AC766))*Settings!$B$9</f>
        <v>0</v>
      </c>
      <c r="AE766" s="18" t="n">
        <f aca="false">(MAX(1,N(I766))*N(Q766)+MAX(1,N(I766))*N(L766)/(MAX(1,N(U766))*AC766))*Settings!$B$8</f>
        <v>0</v>
      </c>
      <c r="AF766" s="18" t="n">
        <f aca="false">MAX(1,N(I766))*N(T766)</f>
        <v>0</v>
      </c>
      <c r="AG766" s="15" t="n">
        <f aca="false">AA766*N(AD766)</f>
        <v>0</v>
      </c>
      <c r="AH766" s="15" t="n">
        <f aca="false">AA766*N(AE766)</f>
        <v>0</v>
      </c>
      <c r="AI766" s="15" t="n">
        <f aca="false">AA766*N(AF766)</f>
        <v>0</v>
      </c>
      <c r="AJ766" s="15" t="n">
        <f aca="false">AA766*N(R766)</f>
        <v>0</v>
      </c>
      <c r="AK766" s="15" t="n">
        <f aca="false">AB766*N(AD766)</f>
        <v>0</v>
      </c>
      <c r="AL766" s="15" t="n">
        <f aca="false">AB766*N(AE766)</f>
        <v>0</v>
      </c>
      <c r="AM766" s="15" t="n">
        <f aca="false">AB766*N(AF766)</f>
        <v>0</v>
      </c>
      <c r="AN766" s="15" t="n">
        <f aca="false">AB766*N(R766)</f>
        <v>0</v>
      </c>
      <c r="AO766" s="21" t="str">
        <f aca="false">IF(F766&lt;&gt;"Y","n/a",IF(AND(N766&lt;&gt;"",OR(Q766&lt;&gt;"",G766="Other / bench",G766="None"),U766&lt;&gt;""),"OK","Missing"))</f>
        <v>n/a</v>
      </c>
    </row>
    <row r="767" customFormat="false" ht="15" hidden="false" customHeight="false" outlineLevel="0" collapsed="false">
      <c r="A767" s="16"/>
      <c r="B767" s="16"/>
      <c r="C767" s="16"/>
      <c r="D767" s="16"/>
      <c r="E767" s="21" t="str">
        <f aca="false">IF(A767="","",A767&amp;"|"&amp;D767)</f>
        <v/>
      </c>
      <c r="F767" s="16"/>
      <c r="G767" s="16"/>
      <c r="H767" s="16"/>
      <c r="I767" s="16"/>
      <c r="J767" s="16"/>
      <c r="K767" s="14"/>
      <c r="L767" s="14"/>
      <c r="M767" s="14"/>
      <c r="N767" s="14"/>
      <c r="O767" s="14"/>
      <c r="P767" s="18" t="n">
        <f aca="false">IF(N767="",0,IF(OR(M767="",O767=""),N767,(M767+4*N767+O767)/6))</f>
        <v>0</v>
      </c>
      <c r="Q767" s="14"/>
      <c r="R767" s="14"/>
      <c r="S767" s="14"/>
      <c r="T767" s="14"/>
      <c r="U767" s="16"/>
      <c r="V767" s="13"/>
      <c r="W767" s="16"/>
      <c r="X767" s="16"/>
      <c r="Y767" s="16"/>
      <c r="Z767" s="16"/>
      <c r="AA767" s="22" t="n">
        <f aca="false">IF(F767&lt;&gt;"Y",0,((SUMIF(Products!$E$5:$E$300,A767,Products!$F$5:$F$300)+SUMIF(RM_Lots!$A$5:$A$400,A767,RM_Lots!$D$5:$D$400))+IF(W767="Y",SUMIF(Products!$E$5:$E$300,A767,Products!$G$5:$G$300),0))*(1+N(V767)))</f>
        <v>0</v>
      </c>
      <c r="AB767" s="22" t="n">
        <f aca="false">IF(F767&lt;&gt;"Y",0,((SUMIF(Products!$E$5:$E$300,A767,Products!$K$5:$K$300)+SUMIF(RM_Lots!$A$5:$A$400,A767,RM_Lots!$F$5:$F$400))+IF(W767="Y",SUMIF(Products!$E$5:$E$300,A767,Products!$L$5:$L$300),0))*(1+N(V767)))</f>
        <v>0</v>
      </c>
      <c r="AC767" s="17" t="n">
        <f aca="false">IF(J767="",1,MAX(1,COUNTIFS($J$5:$J$863,J767,$F$5:$F$863,"Y")))</f>
        <v>1</v>
      </c>
      <c r="AD767" s="18" t="n">
        <f aca="false">(MAX(1,N(I767))*(P767+N(S767))+MAX(1,N(I767))*N(K767)/(MAX(1,N(U767))*AC767))*Settings!$B$9</f>
        <v>0</v>
      </c>
      <c r="AE767" s="18" t="n">
        <f aca="false">(MAX(1,N(I767))*N(Q767)+MAX(1,N(I767))*N(L767)/(MAX(1,N(U767))*AC767))*Settings!$B$8</f>
        <v>0</v>
      </c>
      <c r="AF767" s="18" t="n">
        <f aca="false">MAX(1,N(I767))*N(T767)</f>
        <v>0</v>
      </c>
      <c r="AG767" s="15" t="n">
        <f aca="false">AA767*N(AD767)</f>
        <v>0</v>
      </c>
      <c r="AH767" s="15" t="n">
        <f aca="false">AA767*N(AE767)</f>
        <v>0</v>
      </c>
      <c r="AI767" s="15" t="n">
        <f aca="false">AA767*N(AF767)</f>
        <v>0</v>
      </c>
      <c r="AJ767" s="15" t="n">
        <f aca="false">AA767*N(R767)</f>
        <v>0</v>
      </c>
      <c r="AK767" s="15" t="n">
        <f aca="false">AB767*N(AD767)</f>
        <v>0</v>
      </c>
      <c r="AL767" s="15" t="n">
        <f aca="false">AB767*N(AE767)</f>
        <v>0</v>
      </c>
      <c r="AM767" s="15" t="n">
        <f aca="false">AB767*N(AF767)</f>
        <v>0</v>
      </c>
      <c r="AN767" s="15" t="n">
        <f aca="false">AB767*N(R767)</f>
        <v>0</v>
      </c>
      <c r="AO767" s="21" t="str">
        <f aca="false">IF(F767&lt;&gt;"Y","n/a",IF(AND(N767&lt;&gt;"",OR(Q767&lt;&gt;"",G767="Other / bench",G767="None"),U767&lt;&gt;""),"OK","Missing"))</f>
        <v>n/a</v>
      </c>
    </row>
    <row r="768" customFormat="false" ht="15" hidden="false" customHeight="false" outlineLevel="0" collapsed="false">
      <c r="A768" s="16"/>
      <c r="B768" s="16"/>
      <c r="C768" s="16"/>
      <c r="D768" s="16"/>
      <c r="E768" s="21" t="str">
        <f aca="false">IF(A768="","",A768&amp;"|"&amp;D768)</f>
        <v/>
      </c>
      <c r="F768" s="16"/>
      <c r="G768" s="16"/>
      <c r="H768" s="16"/>
      <c r="I768" s="16"/>
      <c r="J768" s="16"/>
      <c r="K768" s="14"/>
      <c r="L768" s="14"/>
      <c r="M768" s="14"/>
      <c r="N768" s="14"/>
      <c r="O768" s="14"/>
      <c r="P768" s="18" t="n">
        <f aca="false">IF(N768="",0,IF(OR(M768="",O768=""),N768,(M768+4*N768+O768)/6))</f>
        <v>0</v>
      </c>
      <c r="Q768" s="14"/>
      <c r="R768" s="14"/>
      <c r="S768" s="14"/>
      <c r="T768" s="14"/>
      <c r="U768" s="16"/>
      <c r="V768" s="13"/>
      <c r="W768" s="16"/>
      <c r="X768" s="16"/>
      <c r="Y768" s="16"/>
      <c r="Z768" s="16"/>
      <c r="AA768" s="22" t="n">
        <f aca="false">IF(F768&lt;&gt;"Y",0,((SUMIF(Products!$E$5:$E$300,A768,Products!$F$5:$F$300)+SUMIF(RM_Lots!$A$5:$A$400,A768,RM_Lots!$D$5:$D$400))+IF(W768="Y",SUMIF(Products!$E$5:$E$300,A768,Products!$G$5:$G$300),0))*(1+N(V768)))</f>
        <v>0</v>
      </c>
      <c r="AB768" s="22" t="n">
        <f aca="false">IF(F768&lt;&gt;"Y",0,((SUMIF(Products!$E$5:$E$300,A768,Products!$K$5:$K$300)+SUMIF(RM_Lots!$A$5:$A$400,A768,RM_Lots!$F$5:$F$400))+IF(W768="Y",SUMIF(Products!$E$5:$E$300,A768,Products!$L$5:$L$300),0))*(1+N(V768)))</f>
        <v>0</v>
      </c>
      <c r="AC768" s="17" t="n">
        <f aca="false">IF(J768="",1,MAX(1,COUNTIFS($J$5:$J$863,J768,$F$5:$F$863,"Y")))</f>
        <v>1</v>
      </c>
      <c r="AD768" s="18" t="n">
        <f aca="false">(MAX(1,N(I768))*(P768+N(S768))+MAX(1,N(I768))*N(K768)/(MAX(1,N(U768))*AC768))*Settings!$B$9</f>
        <v>0</v>
      </c>
      <c r="AE768" s="18" t="n">
        <f aca="false">(MAX(1,N(I768))*N(Q768)+MAX(1,N(I768))*N(L768)/(MAX(1,N(U768))*AC768))*Settings!$B$8</f>
        <v>0</v>
      </c>
      <c r="AF768" s="18" t="n">
        <f aca="false">MAX(1,N(I768))*N(T768)</f>
        <v>0</v>
      </c>
      <c r="AG768" s="15" t="n">
        <f aca="false">AA768*N(AD768)</f>
        <v>0</v>
      </c>
      <c r="AH768" s="15" t="n">
        <f aca="false">AA768*N(AE768)</f>
        <v>0</v>
      </c>
      <c r="AI768" s="15" t="n">
        <f aca="false">AA768*N(AF768)</f>
        <v>0</v>
      </c>
      <c r="AJ768" s="15" t="n">
        <f aca="false">AA768*N(R768)</f>
        <v>0</v>
      </c>
      <c r="AK768" s="15" t="n">
        <f aca="false">AB768*N(AD768)</f>
        <v>0</v>
      </c>
      <c r="AL768" s="15" t="n">
        <f aca="false">AB768*N(AE768)</f>
        <v>0</v>
      </c>
      <c r="AM768" s="15" t="n">
        <f aca="false">AB768*N(AF768)</f>
        <v>0</v>
      </c>
      <c r="AN768" s="15" t="n">
        <f aca="false">AB768*N(R768)</f>
        <v>0</v>
      </c>
      <c r="AO768" s="21" t="str">
        <f aca="false">IF(F768&lt;&gt;"Y","n/a",IF(AND(N768&lt;&gt;"",OR(Q768&lt;&gt;"",G768="Other / bench",G768="None"),U768&lt;&gt;""),"OK","Missing"))</f>
        <v>n/a</v>
      </c>
    </row>
    <row r="769" customFormat="false" ht="15" hidden="false" customHeight="false" outlineLevel="0" collapsed="false">
      <c r="A769" s="16"/>
      <c r="B769" s="16"/>
      <c r="C769" s="16"/>
      <c r="D769" s="16"/>
      <c r="E769" s="21" t="str">
        <f aca="false">IF(A769="","",A769&amp;"|"&amp;D769)</f>
        <v/>
      </c>
      <c r="F769" s="16"/>
      <c r="G769" s="16"/>
      <c r="H769" s="16"/>
      <c r="I769" s="16"/>
      <c r="J769" s="16"/>
      <c r="K769" s="14"/>
      <c r="L769" s="14"/>
      <c r="M769" s="14"/>
      <c r="N769" s="14"/>
      <c r="O769" s="14"/>
      <c r="P769" s="18" t="n">
        <f aca="false">IF(N769="",0,IF(OR(M769="",O769=""),N769,(M769+4*N769+O769)/6))</f>
        <v>0</v>
      </c>
      <c r="Q769" s="14"/>
      <c r="R769" s="14"/>
      <c r="S769" s="14"/>
      <c r="T769" s="14"/>
      <c r="U769" s="16"/>
      <c r="V769" s="13"/>
      <c r="W769" s="16"/>
      <c r="X769" s="16"/>
      <c r="Y769" s="16"/>
      <c r="Z769" s="16"/>
      <c r="AA769" s="22" t="n">
        <f aca="false">IF(F769&lt;&gt;"Y",0,((SUMIF(Products!$E$5:$E$300,A769,Products!$F$5:$F$300)+SUMIF(RM_Lots!$A$5:$A$400,A769,RM_Lots!$D$5:$D$400))+IF(W769="Y",SUMIF(Products!$E$5:$E$300,A769,Products!$G$5:$G$300),0))*(1+N(V769)))</f>
        <v>0</v>
      </c>
      <c r="AB769" s="22" t="n">
        <f aca="false">IF(F769&lt;&gt;"Y",0,((SUMIF(Products!$E$5:$E$300,A769,Products!$K$5:$K$300)+SUMIF(RM_Lots!$A$5:$A$400,A769,RM_Lots!$F$5:$F$400))+IF(W769="Y",SUMIF(Products!$E$5:$E$300,A769,Products!$L$5:$L$300),0))*(1+N(V769)))</f>
        <v>0</v>
      </c>
      <c r="AC769" s="17" t="n">
        <f aca="false">IF(J769="",1,MAX(1,COUNTIFS($J$5:$J$863,J769,$F$5:$F$863,"Y")))</f>
        <v>1</v>
      </c>
      <c r="AD769" s="18" t="n">
        <f aca="false">(MAX(1,N(I769))*(P769+N(S769))+MAX(1,N(I769))*N(K769)/(MAX(1,N(U769))*AC769))*Settings!$B$9</f>
        <v>0</v>
      </c>
      <c r="AE769" s="18" t="n">
        <f aca="false">(MAX(1,N(I769))*N(Q769)+MAX(1,N(I769))*N(L769)/(MAX(1,N(U769))*AC769))*Settings!$B$8</f>
        <v>0</v>
      </c>
      <c r="AF769" s="18" t="n">
        <f aca="false">MAX(1,N(I769))*N(T769)</f>
        <v>0</v>
      </c>
      <c r="AG769" s="15" t="n">
        <f aca="false">AA769*N(AD769)</f>
        <v>0</v>
      </c>
      <c r="AH769" s="15" t="n">
        <f aca="false">AA769*N(AE769)</f>
        <v>0</v>
      </c>
      <c r="AI769" s="15" t="n">
        <f aca="false">AA769*N(AF769)</f>
        <v>0</v>
      </c>
      <c r="AJ769" s="15" t="n">
        <f aca="false">AA769*N(R769)</f>
        <v>0</v>
      </c>
      <c r="AK769" s="15" t="n">
        <f aca="false">AB769*N(AD769)</f>
        <v>0</v>
      </c>
      <c r="AL769" s="15" t="n">
        <f aca="false">AB769*N(AE769)</f>
        <v>0</v>
      </c>
      <c r="AM769" s="15" t="n">
        <f aca="false">AB769*N(AF769)</f>
        <v>0</v>
      </c>
      <c r="AN769" s="15" t="n">
        <f aca="false">AB769*N(R769)</f>
        <v>0</v>
      </c>
      <c r="AO769" s="21" t="str">
        <f aca="false">IF(F769&lt;&gt;"Y","n/a",IF(AND(N769&lt;&gt;"",OR(Q769&lt;&gt;"",G769="Other / bench",G769="None"),U769&lt;&gt;""),"OK","Missing"))</f>
        <v>n/a</v>
      </c>
    </row>
    <row r="770" customFormat="false" ht="15" hidden="false" customHeight="false" outlineLevel="0" collapsed="false">
      <c r="A770" s="16"/>
      <c r="B770" s="16"/>
      <c r="C770" s="16"/>
      <c r="D770" s="16"/>
      <c r="E770" s="21" t="str">
        <f aca="false">IF(A770="","",A770&amp;"|"&amp;D770)</f>
        <v/>
      </c>
      <c r="F770" s="16"/>
      <c r="G770" s="16"/>
      <c r="H770" s="16"/>
      <c r="I770" s="16"/>
      <c r="J770" s="16"/>
      <c r="K770" s="14"/>
      <c r="L770" s="14"/>
      <c r="M770" s="14"/>
      <c r="N770" s="14"/>
      <c r="O770" s="14"/>
      <c r="P770" s="18" t="n">
        <f aca="false">IF(N770="",0,IF(OR(M770="",O770=""),N770,(M770+4*N770+O770)/6))</f>
        <v>0</v>
      </c>
      <c r="Q770" s="14"/>
      <c r="R770" s="14"/>
      <c r="S770" s="14"/>
      <c r="T770" s="14"/>
      <c r="U770" s="16"/>
      <c r="V770" s="13"/>
      <c r="W770" s="16"/>
      <c r="X770" s="16"/>
      <c r="Y770" s="16"/>
      <c r="Z770" s="16"/>
      <c r="AA770" s="22" t="n">
        <f aca="false">IF(F770&lt;&gt;"Y",0,((SUMIF(Products!$E$5:$E$300,A770,Products!$F$5:$F$300)+SUMIF(RM_Lots!$A$5:$A$400,A770,RM_Lots!$D$5:$D$400))+IF(W770="Y",SUMIF(Products!$E$5:$E$300,A770,Products!$G$5:$G$300),0))*(1+N(V770)))</f>
        <v>0</v>
      </c>
      <c r="AB770" s="22" t="n">
        <f aca="false">IF(F770&lt;&gt;"Y",0,((SUMIF(Products!$E$5:$E$300,A770,Products!$K$5:$K$300)+SUMIF(RM_Lots!$A$5:$A$400,A770,RM_Lots!$F$5:$F$400))+IF(W770="Y",SUMIF(Products!$E$5:$E$300,A770,Products!$L$5:$L$300),0))*(1+N(V770)))</f>
        <v>0</v>
      </c>
      <c r="AC770" s="17" t="n">
        <f aca="false">IF(J770="",1,MAX(1,COUNTIFS($J$5:$J$863,J770,$F$5:$F$863,"Y")))</f>
        <v>1</v>
      </c>
      <c r="AD770" s="18" t="n">
        <f aca="false">(MAX(1,N(I770))*(P770+N(S770))+MAX(1,N(I770))*N(K770)/(MAX(1,N(U770))*AC770))*Settings!$B$9</f>
        <v>0</v>
      </c>
      <c r="AE770" s="18" t="n">
        <f aca="false">(MAX(1,N(I770))*N(Q770)+MAX(1,N(I770))*N(L770)/(MAX(1,N(U770))*AC770))*Settings!$B$8</f>
        <v>0</v>
      </c>
      <c r="AF770" s="18" t="n">
        <f aca="false">MAX(1,N(I770))*N(T770)</f>
        <v>0</v>
      </c>
      <c r="AG770" s="15" t="n">
        <f aca="false">AA770*N(AD770)</f>
        <v>0</v>
      </c>
      <c r="AH770" s="15" t="n">
        <f aca="false">AA770*N(AE770)</f>
        <v>0</v>
      </c>
      <c r="AI770" s="15" t="n">
        <f aca="false">AA770*N(AF770)</f>
        <v>0</v>
      </c>
      <c r="AJ770" s="15" t="n">
        <f aca="false">AA770*N(R770)</f>
        <v>0</v>
      </c>
      <c r="AK770" s="15" t="n">
        <f aca="false">AB770*N(AD770)</f>
        <v>0</v>
      </c>
      <c r="AL770" s="15" t="n">
        <f aca="false">AB770*N(AE770)</f>
        <v>0</v>
      </c>
      <c r="AM770" s="15" t="n">
        <f aca="false">AB770*N(AF770)</f>
        <v>0</v>
      </c>
      <c r="AN770" s="15" t="n">
        <f aca="false">AB770*N(R770)</f>
        <v>0</v>
      </c>
      <c r="AO770" s="21" t="str">
        <f aca="false">IF(F770&lt;&gt;"Y","n/a",IF(AND(N770&lt;&gt;"",OR(Q770&lt;&gt;"",G770="Other / bench",G770="None"),U770&lt;&gt;""),"OK","Missing"))</f>
        <v>n/a</v>
      </c>
    </row>
    <row r="771" customFormat="false" ht="15" hidden="false" customHeight="false" outlineLevel="0" collapsed="false">
      <c r="A771" s="16"/>
      <c r="B771" s="16"/>
      <c r="C771" s="16"/>
      <c r="D771" s="16"/>
      <c r="E771" s="21" t="str">
        <f aca="false">IF(A771="","",A771&amp;"|"&amp;D771)</f>
        <v/>
      </c>
      <c r="F771" s="16"/>
      <c r="G771" s="16"/>
      <c r="H771" s="16"/>
      <c r="I771" s="16"/>
      <c r="J771" s="16"/>
      <c r="K771" s="14"/>
      <c r="L771" s="14"/>
      <c r="M771" s="14"/>
      <c r="N771" s="14"/>
      <c r="O771" s="14"/>
      <c r="P771" s="18" t="n">
        <f aca="false">IF(N771="",0,IF(OR(M771="",O771=""),N771,(M771+4*N771+O771)/6))</f>
        <v>0</v>
      </c>
      <c r="Q771" s="14"/>
      <c r="R771" s="14"/>
      <c r="S771" s="14"/>
      <c r="T771" s="14"/>
      <c r="U771" s="16"/>
      <c r="V771" s="13"/>
      <c r="W771" s="16"/>
      <c r="X771" s="16"/>
      <c r="Y771" s="16"/>
      <c r="Z771" s="16"/>
      <c r="AA771" s="22" t="n">
        <f aca="false">IF(F771&lt;&gt;"Y",0,((SUMIF(Products!$E$5:$E$300,A771,Products!$F$5:$F$300)+SUMIF(RM_Lots!$A$5:$A$400,A771,RM_Lots!$D$5:$D$400))+IF(W771="Y",SUMIF(Products!$E$5:$E$300,A771,Products!$G$5:$G$300),0))*(1+N(V771)))</f>
        <v>0</v>
      </c>
      <c r="AB771" s="22" t="n">
        <f aca="false">IF(F771&lt;&gt;"Y",0,((SUMIF(Products!$E$5:$E$300,A771,Products!$K$5:$K$300)+SUMIF(RM_Lots!$A$5:$A$400,A771,RM_Lots!$F$5:$F$400))+IF(W771="Y",SUMIF(Products!$E$5:$E$300,A771,Products!$L$5:$L$300),0))*(1+N(V771)))</f>
        <v>0</v>
      </c>
      <c r="AC771" s="17" t="n">
        <f aca="false">IF(J771="",1,MAX(1,COUNTIFS($J$5:$J$863,J771,$F$5:$F$863,"Y")))</f>
        <v>1</v>
      </c>
      <c r="AD771" s="18" t="n">
        <f aca="false">(MAX(1,N(I771))*(P771+N(S771))+MAX(1,N(I771))*N(K771)/(MAX(1,N(U771))*AC771))*Settings!$B$9</f>
        <v>0</v>
      </c>
      <c r="AE771" s="18" t="n">
        <f aca="false">(MAX(1,N(I771))*N(Q771)+MAX(1,N(I771))*N(L771)/(MAX(1,N(U771))*AC771))*Settings!$B$8</f>
        <v>0</v>
      </c>
      <c r="AF771" s="18" t="n">
        <f aca="false">MAX(1,N(I771))*N(T771)</f>
        <v>0</v>
      </c>
      <c r="AG771" s="15" t="n">
        <f aca="false">AA771*N(AD771)</f>
        <v>0</v>
      </c>
      <c r="AH771" s="15" t="n">
        <f aca="false">AA771*N(AE771)</f>
        <v>0</v>
      </c>
      <c r="AI771" s="15" t="n">
        <f aca="false">AA771*N(AF771)</f>
        <v>0</v>
      </c>
      <c r="AJ771" s="15" t="n">
        <f aca="false">AA771*N(R771)</f>
        <v>0</v>
      </c>
      <c r="AK771" s="15" t="n">
        <f aca="false">AB771*N(AD771)</f>
        <v>0</v>
      </c>
      <c r="AL771" s="15" t="n">
        <f aca="false">AB771*N(AE771)</f>
        <v>0</v>
      </c>
      <c r="AM771" s="15" t="n">
        <f aca="false">AB771*N(AF771)</f>
        <v>0</v>
      </c>
      <c r="AN771" s="15" t="n">
        <f aca="false">AB771*N(R771)</f>
        <v>0</v>
      </c>
      <c r="AO771" s="21" t="str">
        <f aca="false">IF(F771&lt;&gt;"Y","n/a",IF(AND(N771&lt;&gt;"",OR(Q771&lt;&gt;"",G771="Other / bench",G771="None"),U771&lt;&gt;""),"OK","Missing"))</f>
        <v>n/a</v>
      </c>
    </row>
    <row r="772" customFormat="false" ht="15" hidden="false" customHeight="false" outlineLevel="0" collapsed="false">
      <c r="A772" s="16"/>
      <c r="B772" s="16"/>
      <c r="C772" s="16"/>
      <c r="D772" s="16"/>
      <c r="E772" s="21" t="str">
        <f aca="false">IF(A772="","",A772&amp;"|"&amp;D772)</f>
        <v/>
      </c>
      <c r="F772" s="16"/>
      <c r="G772" s="16"/>
      <c r="H772" s="16"/>
      <c r="I772" s="16"/>
      <c r="J772" s="16"/>
      <c r="K772" s="14"/>
      <c r="L772" s="14"/>
      <c r="M772" s="14"/>
      <c r="N772" s="14"/>
      <c r="O772" s="14"/>
      <c r="P772" s="18" t="n">
        <f aca="false">IF(N772="",0,IF(OR(M772="",O772=""),N772,(M772+4*N772+O772)/6))</f>
        <v>0</v>
      </c>
      <c r="Q772" s="14"/>
      <c r="R772" s="14"/>
      <c r="S772" s="14"/>
      <c r="T772" s="14"/>
      <c r="U772" s="16"/>
      <c r="V772" s="13"/>
      <c r="W772" s="16"/>
      <c r="X772" s="16"/>
      <c r="Y772" s="16"/>
      <c r="Z772" s="16"/>
      <c r="AA772" s="22" t="n">
        <f aca="false">IF(F772&lt;&gt;"Y",0,((SUMIF(Products!$E$5:$E$300,A772,Products!$F$5:$F$300)+SUMIF(RM_Lots!$A$5:$A$400,A772,RM_Lots!$D$5:$D$400))+IF(W772="Y",SUMIF(Products!$E$5:$E$300,A772,Products!$G$5:$G$300),0))*(1+N(V772)))</f>
        <v>0</v>
      </c>
      <c r="AB772" s="22" t="n">
        <f aca="false">IF(F772&lt;&gt;"Y",0,((SUMIF(Products!$E$5:$E$300,A772,Products!$K$5:$K$300)+SUMIF(RM_Lots!$A$5:$A$400,A772,RM_Lots!$F$5:$F$400))+IF(W772="Y",SUMIF(Products!$E$5:$E$300,A772,Products!$L$5:$L$300),0))*(1+N(V772)))</f>
        <v>0</v>
      </c>
      <c r="AC772" s="17" t="n">
        <f aca="false">IF(J772="",1,MAX(1,COUNTIFS($J$5:$J$863,J772,$F$5:$F$863,"Y")))</f>
        <v>1</v>
      </c>
      <c r="AD772" s="18" t="n">
        <f aca="false">(MAX(1,N(I772))*(P772+N(S772))+MAX(1,N(I772))*N(K772)/(MAX(1,N(U772))*AC772))*Settings!$B$9</f>
        <v>0</v>
      </c>
      <c r="AE772" s="18" t="n">
        <f aca="false">(MAX(1,N(I772))*N(Q772)+MAX(1,N(I772))*N(L772)/(MAX(1,N(U772))*AC772))*Settings!$B$8</f>
        <v>0</v>
      </c>
      <c r="AF772" s="18" t="n">
        <f aca="false">MAX(1,N(I772))*N(T772)</f>
        <v>0</v>
      </c>
      <c r="AG772" s="15" t="n">
        <f aca="false">AA772*N(AD772)</f>
        <v>0</v>
      </c>
      <c r="AH772" s="15" t="n">
        <f aca="false">AA772*N(AE772)</f>
        <v>0</v>
      </c>
      <c r="AI772" s="15" t="n">
        <f aca="false">AA772*N(AF772)</f>
        <v>0</v>
      </c>
      <c r="AJ772" s="15" t="n">
        <f aca="false">AA772*N(R772)</f>
        <v>0</v>
      </c>
      <c r="AK772" s="15" t="n">
        <f aca="false">AB772*N(AD772)</f>
        <v>0</v>
      </c>
      <c r="AL772" s="15" t="n">
        <f aca="false">AB772*N(AE772)</f>
        <v>0</v>
      </c>
      <c r="AM772" s="15" t="n">
        <f aca="false">AB772*N(AF772)</f>
        <v>0</v>
      </c>
      <c r="AN772" s="15" t="n">
        <f aca="false">AB772*N(R772)</f>
        <v>0</v>
      </c>
      <c r="AO772" s="21" t="str">
        <f aca="false">IF(F772&lt;&gt;"Y","n/a",IF(AND(N772&lt;&gt;"",OR(Q772&lt;&gt;"",G772="Other / bench",G772="None"),U772&lt;&gt;""),"OK","Missing"))</f>
        <v>n/a</v>
      </c>
    </row>
    <row r="773" customFormat="false" ht="15" hidden="false" customHeight="false" outlineLevel="0" collapsed="false">
      <c r="A773" s="16"/>
      <c r="B773" s="16"/>
      <c r="C773" s="16"/>
      <c r="D773" s="16"/>
      <c r="E773" s="21" t="str">
        <f aca="false">IF(A773="","",A773&amp;"|"&amp;D773)</f>
        <v/>
      </c>
      <c r="F773" s="16"/>
      <c r="G773" s="16"/>
      <c r="H773" s="16"/>
      <c r="I773" s="16"/>
      <c r="J773" s="16"/>
      <c r="K773" s="14"/>
      <c r="L773" s="14"/>
      <c r="M773" s="14"/>
      <c r="N773" s="14"/>
      <c r="O773" s="14"/>
      <c r="P773" s="18" t="n">
        <f aca="false">IF(N773="",0,IF(OR(M773="",O773=""),N773,(M773+4*N773+O773)/6))</f>
        <v>0</v>
      </c>
      <c r="Q773" s="14"/>
      <c r="R773" s="14"/>
      <c r="S773" s="14"/>
      <c r="T773" s="14"/>
      <c r="U773" s="16"/>
      <c r="V773" s="13"/>
      <c r="W773" s="16"/>
      <c r="X773" s="16"/>
      <c r="Y773" s="16"/>
      <c r="Z773" s="16"/>
      <c r="AA773" s="22" t="n">
        <f aca="false">IF(F773&lt;&gt;"Y",0,((SUMIF(Products!$E$5:$E$300,A773,Products!$F$5:$F$300)+SUMIF(RM_Lots!$A$5:$A$400,A773,RM_Lots!$D$5:$D$400))+IF(W773="Y",SUMIF(Products!$E$5:$E$300,A773,Products!$G$5:$G$300),0))*(1+N(V773)))</f>
        <v>0</v>
      </c>
      <c r="AB773" s="22" t="n">
        <f aca="false">IF(F773&lt;&gt;"Y",0,((SUMIF(Products!$E$5:$E$300,A773,Products!$K$5:$K$300)+SUMIF(RM_Lots!$A$5:$A$400,A773,RM_Lots!$F$5:$F$400))+IF(W773="Y",SUMIF(Products!$E$5:$E$300,A773,Products!$L$5:$L$300),0))*(1+N(V773)))</f>
        <v>0</v>
      </c>
      <c r="AC773" s="17" t="n">
        <f aca="false">IF(J773="",1,MAX(1,COUNTIFS($J$5:$J$863,J773,$F$5:$F$863,"Y")))</f>
        <v>1</v>
      </c>
      <c r="AD773" s="18" t="n">
        <f aca="false">(MAX(1,N(I773))*(P773+N(S773))+MAX(1,N(I773))*N(K773)/(MAX(1,N(U773))*AC773))*Settings!$B$9</f>
        <v>0</v>
      </c>
      <c r="AE773" s="18" t="n">
        <f aca="false">(MAX(1,N(I773))*N(Q773)+MAX(1,N(I773))*N(L773)/(MAX(1,N(U773))*AC773))*Settings!$B$8</f>
        <v>0</v>
      </c>
      <c r="AF773" s="18" t="n">
        <f aca="false">MAX(1,N(I773))*N(T773)</f>
        <v>0</v>
      </c>
      <c r="AG773" s="15" t="n">
        <f aca="false">AA773*N(AD773)</f>
        <v>0</v>
      </c>
      <c r="AH773" s="15" t="n">
        <f aca="false">AA773*N(AE773)</f>
        <v>0</v>
      </c>
      <c r="AI773" s="15" t="n">
        <f aca="false">AA773*N(AF773)</f>
        <v>0</v>
      </c>
      <c r="AJ773" s="15" t="n">
        <f aca="false">AA773*N(R773)</f>
        <v>0</v>
      </c>
      <c r="AK773" s="15" t="n">
        <f aca="false">AB773*N(AD773)</f>
        <v>0</v>
      </c>
      <c r="AL773" s="15" t="n">
        <f aca="false">AB773*N(AE773)</f>
        <v>0</v>
      </c>
      <c r="AM773" s="15" t="n">
        <f aca="false">AB773*N(AF773)</f>
        <v>0</v>
      </c>
      <c r="AN773" s="15" t="n">
        <f aca="false">AB773*N(R773)</f>
        <v>0</v>
      </c>
      <c r="AO773" s="21" t="str">
        <f aca="false">IF(F773&lt;&gt;"Y","n/a",IF(AND(N773&lt;&gt;"",OR(Q773&lt;&gt;"",G773="Other / bench",G773="None"),U773&lt;&gt;""),"OK","Missing"))</f>
        <v>n/a</v>
      </c>
    </row>
    <row r="774" customFormat="false" ht="15" hidden="false" customHeight="false" outlineLevel="0" collapsed="false">
      <c r="A774" s="16"/>
      <c r="B774" s="16"/>
      <c r="C774" s="16"/>
      <c r="D774" s="16"/>
      <c r="E774" s="21" t="str">
        <f aca="false">IF(A774="","",A774&amp;"|"&amp;D774)</f>
        <v/>
      </c>
      <c r="F774" s="16"/>
      <c r="G774" s="16"/>
      <c r="H774" s="16"/>
      <c r="I774" s="16"/>
      <c r="J774" s="16"/>
      <c r="K774" s="14"/>
      <c r="L774" s="14"/>
      <c r="M774" s="14"/>
      <c r="N774" s="14"/>
      <c r="O774" s="14"/>
      <c r="P774" s="18" t="n">
        <f aca="false">IF(N774="",0,IF(OR(M774="",O774=""),N774,(M774+4*N774+O774)/6))</f>
        <v>0</v>
      </c>
      <c r="Q774" s="14"/>
      <c r="R774" s="14"/>
      <c r="S774" s="14"/>
      <c r="T774" s="14"/>
      <c r="U774" s="16"/>
      <c r="V774" s="13"/>
      <c r="W774" s="16"/>
      <c r="X774" s="16"/>
      <c r="Y774" s="16"/>
      <c r="Z774" s="16"/>
      <c r="AA774" s="22" t="n">
        <f aca="false">IF(F774&lt;&gt;"Y",0,((SUMIF(Products!$E$5:$E$300,A774,Products!$F$5:$F$300)+SUMIF(RM_Lots!$A$5:$A$400,A774,RM_Lots!$D$5:$D$400))+IF(W774="Y",SUMIF(Products!$E$5:$E$300,A774,Products!$G$5:$G$300),0))*(1+N(V774)))</f>
        <v>0</v>
      </c>
      <c r="AB774" s="22" t="n">
        <f aca="false">IF(F774&lt;&gt;"Y",0,((SUMIF(Products!$E$5:$E$300,A774,Products!$K$5:$K$300)+SUMIF(RM_Lots!$A$5:$A$400,A774,RM_Lots!$F$5:$F$400))+IF(W774="Y",SUMIF(Products!$E$5:$E$300,A774,Products!$L$5:$L$300),0))*(1+N(V774)))</f>
        <v>0</v>
      </c>
      <c r="AC774" s="17" t="n">
        <f aca="false">IF(J774="",1,MAX(1,COUNTIFS($J$5:$J$863,J774,$F$5:$F$863,"Y")))</f>
        <v>1</v>
      </c>
      <c r="AD774" s="18" t="n">
        <f aca="false">(MAX(1,N(I774))*(P774+N(S774))+MAX(1,N(I774))*N(K774)/(MAX(1,N(U774))*AC774))*Settings!$B$9</f>
        <v>0</v>
      </c>
      <c r="AE774" s="18" t="n">
        <f aca="false">(MAX(1,N(I774))*N(Q774)+MAX(1,N(I774))*N(L774)/(MAX(1,N(U774))*AC774))*Settings!$B$8</f>
        <v>0</v>
      </c>
      <c r="AF774" s="18" t="n">
        <f aca="false">MAX(1,N(I774))*N(T774)</f>
        <v>0</v>
      </c>
      <c r="AG774" s="15" t="n">
        <f aca="false">AA774*N(AD774)</f>
        <v>0</v>
      </c>
      <c r="AH774" s="15" t="n">
        <f aca="false">AA774*N(AE774)</f>
        <v>0</v>
      </c>
      <c r="AI774" s="15" t="n">
        <f aca="false">AA774*N(AF774)</f>
        <v>0</v>
      </c>
      <c r="AJ774" s="15" t="n">
        <f aca="false">AA774*N(R774)</f>
        <v>0</v>
      </c>
      <c r="AK774" s="15" t="n">
        <f aca="false">AB774*N(AD774)</f>
        <v>0</v>
      </c>
      <c r="AL774" s="15" t="n">
        <f aca="false">AB774*N(AE774)</f>
        <v>0</v>
      </c>
      <c r="AM774" s="15" t="n">
        <f aca="false">AB774*N(AF774)</f>
        <v>0</v>
      </c>
      <c r="AN774" s="15" t="n">
        <f aca="false">AB774*N(R774)</f>
        <v>0</v>
      </c>
      <c r="AO774" s="21" t="str">
        <f aca="false">IF(F774&lt;&gt;"Y","n/a",IF(AND(N774&lt;&gt;"",OR(Q774&lt;&gt;"",G774="Other / bench",G774="None"),U774&lt;&gt;""),"OK","Missing"))</f>
        <v>n/a</v>
      </c>
    </row>
    <row r="775" customFormat="false" ht="15" hidden="false" customHeight="false" outlineLevel="0" collapsed="false">
      <c r="A775" s="16"/>
      <c r="B775" s="16"/>
      <c r="C775" s="16"/>
      <c r="D775" s="16"/>
      <c r="E775" s="21" t="str">
        <f aca="false">IF(A775="","",A775&amp;"|"&amp;D775)</f>
        <v/>
      </c>
      <c r="F775" s="16"/>
      <c r="G775" s="16"/>
      <c r="H775" s="16"/>
      <c r="I775" s="16"/>
      <c r="J775" s="16"/>
      <c r="K775" s="14"/>
      <c r="L775" s="14"/>
      <c r="M775" s="14"/>
      <c r="N775" s="14"/>
      <c r="O775" s="14"/>
      <c r="P775" s="18" t="n">
        <f aca="false">IF(N775="",0,IF(OR(M775="",O775=""),N775,(M775+4*N775+O775)/6))</f>
        <v>0</v>
      </c>
      <c r="Q775" s="14"/>
      <c r="R775" s="14"/>
      <c r="S775" s="14"/>
      <c r="T775" s="14"/>
      <c r="U775" s="16"/>
      <c r="V775" s="13"/>
      <c r="W775" s="16"/>
      <c r="X775" s="16"/>
      <c r="Y775" s="16"/>
      <c r="Z775" s="16"/>
      <c r="AA775" s="22" t="n">
        <f aca="false">IF(F775&lt;&gt;"Y",0,((SUMIF(Products!$E$5:$E$300,A775,Products!$F$5:$F$300)+SUMIF(RM_Lots!$A$5:$A$400,A775,RM_Lots!$D$5:$D$400))+IF(W775="Y",SUMIF(Products!$E$5:$E$300,A775,Products!$G$5:$G$300),0))*(1+N(V775)))</f>
        <v>0</v>
      </c>
      <c r="AB775" s="22" t="n">
        <f aca="false">IF(F775&lt;&gt;"Y",0,((SUMIF(Products!$E$5:$E$300,A775,Products!$K$5:$K$300)+SUMIF(RM_Lots!$A$5:$A$400,A775,RM_Lots!$F$5:$F$400))+IF(W775="Y",SUMIF(Products!$E$5:$E$300,A775,Products!$L$5:$L$300),0))*(1+N(V775)))</f>
        <v>0</v>
      </c>
      <c r="AC775" s="17" t="n">
        <f aca="false">IF(J775="",1,MAX(1,COUNTIFS($J$5:$J$863,J775,$F$5:$F$863,"Y")))</f>
        <v>1</v>
      </c>
      <c r="AD775" s="18" t="n">
        <f aca="false">(MAX(1,N(I775))*(P775+N(S775))+MAX(1,N(I775))*N(K775)/(MAX(1,N(U775))*AC775))*Settings!$B$9</f>
        <v>0</v>
      </c>
      <c r="AE775" s="18" t="n">
        <f aca="false">(MAX(1,N(I775))*N(Q775)+MAX(1,N(I775))*N(L775)/(MAX(1,N(U775))*AC775))*Settings!$B$8</f>
        <v>0</v>
      </c>
      <c r="AF775" s="18" t="n">
        <f aca="false">MAX(1,N(I775))*N(T775)</f>
        <v>0</v>
      </c>
      <c r="AG775" s="15" t="n">
        <f aca="false">AA775*N(AD775)</f>
        <v>0</v>
      </c>
      <c r="AH775" s="15" t="n">
        <f aca="false">AA775*N(AE775)</f>
        <v>0</v>
      </c>
      <c r="AI775" s="15" t="n">
        <f aca="false">AA775*N(AF775)</f>
        <v>0</v>
      </c>
      <c r="AJ775" s="15" t="n">
        <f aca="false">AA775*N(R775)</f>
        <v>0</v>
      </c>
      <c r="AK775" s="15" t="n">
        <f aca="false">AB775*N(AD775)</f>
        <v>0</v>
      </c>
      <c r="AL775" s="15" t="n">
        <f aca="false">AB775*N(AE775)</f>
        <v>0</v>
      </c>
      <c r="AM775" s="15" t="n">
        <f aca="false">AB775*N(AF775)</f>
        <v>0</v>
      </c>
      <c r="AN775" s="15" t="n">
        <f aca="false">AB775*N(R775)</f>
        <v>0</v>
      </c>
      <c r="AO775" s="21" t="str">
        <f aca="false">IF(F775&lt;&gt;"Y","n/a",IF(AND(N775&lt;&gt;"",OR(Q775&lt;&gt;"",G775="Other / bench",G775="None"),U775&lt;&gt;""),"OK","Missing"))</f>
        <v>n/a</v>
      </c>
    </row>
    <row r="776" customFormat="false" ht="15" hidden="false" customHeight="false" outlineLevel="0" collapsed="false">
      <c r="A776" s="16"/>
      <c r="B776" s="16"/>
      <c r="C776" s="16"/>
      <c r="D776" s="16"/>
      <c r="E776" s="21" t="str">
        <f aca="false">IF(A776="","",A776&amp;"|"&amp;D776)</f>
        <v/>
      </c>
      <c r="F776" s="16"/>
      <c r="G776" s="16"/>
      <c r="H776" s="16"/>
      <c r="I776" s="16"/>
      <c r="J776" s="16"/>
      <c r="K776" s="14"/>
      <c r="L776" s="14"/>
      <c r="M776" s="14"/>
      <c r="N776" s="14"/>
      <c r="O776" s="14"/>
      <c r="P776" s="18" t="n">
        <f aca="false">IF(N776="",0,IF(OR(M776="",O776=""),N776,(M776+4*N776+O776)/6))</f>
        <v>0</v>
      </c>
      <c r="Q776" s="14"/>
      <c r="R776" s="14"/>
      <c r="S776" s="14"/>
      <c r="T776" s="14"/>
      <c r="U776" s="16"/>
      <c r="V776" s="13"/>
      <c r="W776" s="16"/>
      <c r="X776" s="16"/>
      <c r="Y776" s="16"/>
      <c r="Z776" s="16"/>
      <c r="AA776" s="22" t="n">
        <f aca="false">IF(F776&lt;&gt;"Y",0,((SUMIF(Products!$E$5:$E$300,A776,Products!$F$5:$F$300)+SUMIF(RM_Lots!$A$5:$A$400,A776,RM_Lots!$D$5:$D$400))+IF(W776="Y",SUMIF(Products!$E$5:$E$300,A776,Products!$G$5:$G$300),0))*(1+N(V776)))</f>
        <v>0</v>
      </c>
      <c r="AB776" s="22" t="n">
        <f aca="false">IF(F776&lt;&gt;"Y",0,((SUMIF(Products!$E$5:$E$300,A776,Products!$K$5:$K$300)+SUMIF(RM_Lots!$A$5:$A$400,A776,RM_Lots!$F$5:$F$400))+IF(W776="Y",SUMIF(Products!$E$5:$E$300,A776,Products!$L$5:$L$300),0))*(1+N(V776)))</f>
        <v>0</v>
      </c>
      <c r="AC776" s="17" t="n">
        <f aca="false">IF(J776="",1,MAX(1,COUNTIFS($J$5:$J$863,J776,$F$5:$F$863,"Y")))</f>
        <v>1</v>
      </c>
      <c r="AD776" s="18" t="n">
        <f aca="false">(MAX(1,N(I776))*(P776+N(S776))+MAX(1,N(I776))*N(K776)/(MAX(1,N(U776))*AC776))*Settings!$B$9</f>
        <v>0</v>
      </c>
      <c r="AE776" s="18" t="n">
        <f aca="false">(MAX(1,N(I776))*N(Q776)+MAX(1,N(I776))*N(L776)/(MAX(1,N(U776))*AC776))*Settings!$B$8</f>
        <v>0</v>
      </c>
      <c r="AF776" s="18" t="n">
        <f aca="false">MAX(1,N(I776))*N(T776)</f>
        <v>0</v>
      </c>
      <c r="AG776" s="15" t="n">
        <f aca="false">AA776*N(AD776)</f>
        <v>0</v>
      </c>
      <c r="AH776" s="15" t="n">
        <f aca="false">AA776*N(AE776)</f>
        <v>0</v>
      </c>
      <c r="AI776" s="15" t="n">
        <f aca="false">AA776*N(AF776)</f>
        <v>0</v>
      </c>
      <c r="AJ776" s="15" t="n">
        <f aca="false">AA776*N(R776)</f>
        <v>0</v>
      </c>
      <c r="AK776" s="15" t="n">
        <f aca="false">AB776*N(AD776)</f>
        <v>0</v>
      </c>
      <c r="AL776" s="15" t="n">
        <f aca="false">AB776*N(AE776)</f>
        <v>0</v>
      </c>
      <c r="AM776" s="15" t="n">
        <f aca="false">AB776*N(AF776)</f>
        <v>0</v>
      </c>
      <c r="AN776" s="15" t="n">
        <f aca="false">AB776*N(R776)</f>
        <v>0</v>
      </c>
      <c r="AO776" s="21" t="str">
        <f aca="false">IF(F776&lt;&gt;"Y","n/a",IF(AND(N776&lt;&gt;"",OR(Q776&lt;&gt;"",G776="Other / bench",G776="None"),U776&lt;&gt;""),"OK","Missing"))</f>
        <v>n/a</v>
      </c>
    </row>
    <row r="777" customFormat="false" ht="15" hidden="false" customHeight="false" outlineLevel="0" collapsed="false">
      <c r="A777" s="16"/>
      <c r="B777" s="16"/>
      <c r="C777" s="16"/>
      <c r="D777" s="16"/>
      <c r="E777" s="21" t="str">
        <f aca="false">IF(A777="","",A777&amp;"|"&amp;D777)</f>
        <v/>
      </c>
      <c r="F777" s="16"/>
      <c r="G777" s="16"/>
      <c r="H777" s="16"/>
      <c r="I777" s="16"/>
      <c r="J777" s="16"/>
      <c r="K777" s="14"/>
      <c r="L777" s="14"/>
      <c r="M777" s="14"/>
      <c r="N777" s="14"/>
      <c r="O777" s="14"/>
      <c r="P777" s="18" t="n">
        <f aca="false">IF(N777="",0,IF(OR(M777="",O777=""),N777,(M777+4*N777+O777)/6))</f>
        <v>0</v>
      </c>
      <c r="Q777" s="14"/>
      <c r="R777" s="14"/>
      <c r="S777" s="14"/>
      <c r="T777" s="14"/>
      <c r="U777" s="16"/>
      <c r="V777" s="13"/>
      <c r="W777" s="16"/>
      <c r="X777" s="16"/>
      <c r="Y777" s="16"/>
      <c r="Z777" s="16"/>
      <c r="AA777" s="22" t="n">
        <f aca="false">IF(F777&lt;&gt;"Y",0,((SUMIF(Products!$E$5:$E$300,A777,Products!$F$5:$F$300)+SUMIF(RM_Lots!$A$5:$A$400,A777,RM_Lots!$D$5:$D$400))+IF(W777="Y",SUMIF(Products!$E$5:$E$300,A777,Products!$G$5:$G$300),0))*(1+N(V777)))</f>
        <v>0</v>
      </c>
      <c r="AB777" s="22" t="n">
        <f aca="false">IF(F777&lt;&gt;"Y",0,((SUMIF(Products!$E$5:$E$300,A777,Products!$K$5:$K$300)+SUMIF(RM_Lots!$A$5:$A$400,A777,RM_Lots!$F$5:$F$400))+IF(W777="Y",SUMIF(Products!$E$5:$E$300,A777,Products!$L$5:$L$300),0))*(1+N(V777)))</f>
        <v>0</v>
      </c>
      <c r="AC777" s="17" t="n">
        <f aca="false">IF(J777="",1,MAX(1,COUNTIFS($J$5:$J$863,J777,$F$5:$F$863,"Y")))</f>
        <v>1</v>
      </c>
      <c r="AD777" s="18" t="n">
        <f aca="false">(MAX(1,N(I777))*(P777+N(S777))+MAX(1,N(I777))*N(K777)/(MAX(1,N(U777))*AC777))*Settings!$B$9</f>
        <v>0</v>
      </c>
      <c r="AE777" s="18" t="n">
        <f aca="false">(MAX(1,N(I777))*N(Q777)+MAX(1,N(I777))*N(L777)/(MAX(1,N(U777))*AC777))*Settings!$B$8</f>
        <v>0</v>
      </c>
      <c r="AF777" s="18" t="n">
        <f aca="false">MAX(1,N(I777))*N(T777)</f>
        <v>0</v>
      </c>
      <c r="AG777" s="15" t="n">
        <f aca="false">AA777*N(AD777)</f>
        <v>0</v>
      </c>
      <c r="AH777" s="15" t="n">
        <f aca="false">AA777*N(AE777)</f>
        <v>0</v>
      </c>
      <c r="AI777" s="15" t="n">
        <f aca="false">AA777*N(AF777)</f>
        <v>0</v>
      </c>
      <c r="AJ777" s="15" t="n">
        <f aca="false">AA777*N(R777)</f>
        <v>0</v>
      </c>
      <c r="AK777" s="15" t="n">
        <f aca="false">AB777*N(AD777)</f>
        <v>0</v>
      </c>
      <c r="AL777" s="15" t="n">
        <f aca="false">AB777*N(AE777)</f>
        <v>0</v>
      </c>
      <c r="AM777" s="15" t="n">
        <f aca="false">AB777*N(AF777)</f>
        <v>0</v>
      </c>
      <c r="AN777" s="15" t="n">
        <f aca="false">AB777*N(R777)</f>
        <v>0</v>
      </c>
      <c r="AO777" s="21" t="str">
        <f aca="false">IF(F777&lt;&gt;"Y","n/a",IF(AND(N777&lt;&gt;"",OR(Q777&lt;&gt;"",G777="Other / bench",G777="None"),U777&lt;&gt;""),"OK","Missing"))</f>
        <v>n/a</v>
      </c>
    </row>
    <row r="778" customFormat="false" ht="15" hidden="false" customHeight="false" outlineLevel="0" collapsed="false">
      <c r="A778" s="16"/>
      <c r="B778" s="16"/>
      <c r="C778" s="16"/>
      <c r="D778" s="16"/>
      <c r="E778" s="21" t="str">
        <f aca="false">IF(A778="","",A778&amp;"|"&amp;D778)</f>
        <v/>
      </c>
      <c r="F778" s="16"/>
      <c r="G778" s="16"/>
      <c r="H778" s="16"/>
      <c r="I778" s="16"/>
      <c r="J778" s="16"/>
      <c r="K778" s="14"/>
      <c r="L778" s="14"/>
      <c r="M778" s="14"/>
      <c r="N778" s="14"/>
      <c r="O778" s="14"/>
      <c r="P778" s="18" t="n">
        <f aca="false">IF(N778="",0,IF(OR(M778="",O778=""),N778,(M778+4*N778+O778)/6))</f>
        <v>0</v>
      </c>
      <c r="Q778" s="14"/>
      <c r="R778" s="14"/>
      <c r="S778" s="14"/>
      <c r="T778" s="14"/>
      <c r="U778" s="16"/>
      <c r="V778" s="13"/>
      <c r="W778" s="16"/>
      <c r="X778" s="16"/>
      <c r="Y778" s="16"/>
      <c r="Z778" s="16"/>
      <c r="AA778" s="22" t="n">
        <f aca="false">IF(F778&lt;&gt;"Y",0,((SUMIF(Products!$E$5:$E$300,A778,Products!$F$5:$F$300)+SUMIF(RM_Lots!$A$5:$A$400,A778,RM_Lots!$D$5:$D$400))+IF(W778="Y",SUMIF(Products!$E$5:$E$300,A778,Products!$G$5:$G$300),0))*(1+N(V778)))</f>
        <v>0</v>
      </c>
      <c r="AB778" s="22" t="n">
        <f aca="false">IF(F778&lt;&gt;"Y",0,((SUMIF(Products!$E$5:$E$300,A778,Products!$K$5:$K$300)+SUMIF(RM_Lots!$A$5:$A$400,A778,RM_Lots!$F$5:$F$400))+IF(W778="Y",SUMIF(Products!$E$5:$E$300,A778,Products!$L$5:$L$300),0))*(1+N(V778)))</f>
        <v>0</v>
      </c>
      <c r="AC778" s="17" t="n">
        <f aca="false">IF(J778="",1,MAX(1,COUNTIFS($J$5:$J$863,J778,$F$5:$F$863,"Y")))</f>
        <v>1</v>
      </c>
      <c r="AD778" s="18" t="n">
        <f aca="false">(MAX(1,N(I778))*(P778+N(S778))+MAX(1,N(I778))*N(K778)/(MAX(1,N(U778))*AC778))*Settings!$B$9</f>
        <v>0</v>
      </c>
      <c r="AE778" s="18" t="n">
        <f aca="false">(MAX(1,N(I778))*N(Q778)+MAX(1,N(I778))*N(L778)/(MAX(1,N(U778))*AC778))*Settings!$B$8</f>
        <v>0</v>
      </c>
      <c r="AF778" s="18" t="n">
        <f aca="false">MAX(1,N(I778))*N(T778)</f>
        <v>0</v>
      </c>
      <c r="AG778" s="15" t="n">
        <f aca="false">AA778*N(AD778)</f>
        <v>0</v>
      </c>
      <c r="AH778" s="15" t="n">
        <f aca="false">AA778*N(AE778)</f>
        <v>0</v>
      </c>
      <c r="AI778" s="15" t="n">
        <f aca="false">AA778*N(AF778)</f>
        <v>0</v>
      </c>
      <c r="AJ778" s="15" t="n">
        <f aca="false">AA778*N(R778)</f>
        <v>0</v>
      </c>
      <c r="AK778" s="15" t="n">
        <f aca="false">AB778*N(AD778)</f>
        <v>0</v>
      </c>
      <c r="AL778" s="15" t="n">
        <f aca="false">AB778*N(AE778)</f>
        <v>0</v>
      </c>
      <c r="AM778" s="15" t="n">
        <f aca="false">AB778*N(AF778)</f>
        <v>0</v>
      </c>
      <c r="AN778" s="15" t="n">
        <f aca="false">AB778*N(R778)</f>
        <v>0</v>
      </c>
      <c r="AO778" s="21" t="str">
        <f aca="false">IF(F778&lt;&gt;"Y","n/a",IF(AND(N778&lt;&gt;"",OR(Q778&lt;&gt;"",G778="Other / bench",G778="None"),U778&lt;&gt;""),"OK","Missing"))</f>
        <v>n/a</v>
      </c>
    </row>
    <row r="779" customFormat="false" ht="15" hidden="false" customHeight="false" outlineLevel="0" collapsed="false">
      <c r="A779" s="16"/>
      <c r="B779" s="16"/>
      <c r="C779" s="16"/>
      <c r="D779" s="16"/>
      <c r="E779" s="21" t="str">
        <f aca="false">IF(A779="","",A779&amp;"|"&amp;D779)</f>
        <v/>
      </c>
      <c r="F779" s="16"/>
      <c r="G779" s="16"/>
      <c r="H779" s="16"/>
      <c r="I779" s="16"/>
      <c r="J779" s="16"/>
      <c r="K779" s="14"/>
      <c r="L779" s="14"/>
      <c r="M779" s="14"/>
      <c r="N779" s="14"/>
      <c r="O779" s="14"/>
      <c r="P779" s="18" t="n">
        <f aca="false">IF(N779="",0,IF(OR(M779="",O779=""),N779,(M779+4*N779+O779)/6))</f>
        <v>0</v>
      </c>
      <c r="Q779" s="14"/>
      <c r="R779" s="14"/>
      <c r="S779" s="14"/>
      <c r="T779" s="14"/>
      <c r="U779" s="16"/>
      <c r="V779" s="13"/>
      <c r="W779" s="16"/>
      <c r="X779" s="16"/>
      <c r="Y779" s="16"/>
      <c r="Z779" s="16"/>
      <c r="AA779" s="22" t="n">
        <f aca="false">IF(F779&lt;&gt;"Y",0,((SUMIF(Products!$E$5:$E$300,A779,Products!$F$5:$F$300)+SUMIF(RM_Lots!$A$5:$A$400,A779,RM_Lots!$D$5:$D$400))+IF(W779="Y",SUMIF(Products!$E$5:$E$300,A779,Products!$G$5:$G$300),0))*(1+N(V779)))</f>
        <v>0</v>
      </c>
      <c r="AB779" s="22" t="n">
        <f aca="false">IF(F779&lt;&gt;"Y",0,((SUMIF(Products!$E$5:$E$300,A779,Products!$K$5:$K$300)+SUMIF(RM_Lots!$A$5:$A$400,A779,RM_Lots!$F$5:$F$400))+IF(W779="Y",SUMIF(Products!$E$5:$E$300,A779,Products!$L$5:$L$300),0))*(1+N(V779)))</f>
        <v>0</v>
      </c>
      <c r="AC779" s="17" t="n">
        <f aca="false">IF(J779="",1,MAX(1,COUNTIFS($J$5:$J$863,J779,$F$5:$F$863,"Y")))</f>
        <v>1</v>
      </c>
      <c r="AD779" s="18" t="n">
        <f aca="false">(MAX(1,N(I779))*(P779+N(S779))+MAX(1,N(I779))*N(K779)/(MAX(1,N(U779))*AC779))*Settings!$B$9</f>
        <v>0</v>
      </c>
      <c r="AE779" s="18" t="n">
        <f aca="false">(MAX(1,N(I779))*N(Q779)+MAX(1,N(I779))*N(L779)/(MAX(1,N(U779))*AC779))*Settings!$B$8</f>
        <v>0</v>
      </c>
      <c r="AF779" s="18" t="n">
        <f aca="false">MAX(1,N(I779))*N(T779)</f>
        <v>0</v>
      </c>
      <c r="AG779" s="15" t="n">
        <f aca="false">AA779*N(AD779)</f>
        <v>0</v>
      </c>
      <c r="AH779" s="15" t="n">
        <f aca="false">AA779*N(AE779)</f>
        <v>0</v>
      </c>
      <c r="AI779" s="15" t="n">
        <f aca="false">AA779*N(AF779)</f>
        <v>0</v>
      </c>
      <c r="AJ779" s="15" t="n">
        <f aca="false">AA779*N(R779)</f>
        <v>0</v>
      </c>
      <c r="AK779" s="15" t="n">
        <f aca="false">AB779*N(AD779)</f>
        <v>0</v>
      </c>
      <c r="AL779" s="15" t="n">
        <f aca="false">AB779*N(AE779)</f>
        <v>0</v>
      </c>
      <c r="AM779" s="15" t="n">
        <f aca="false">AB779*N(AF779)</f>
        <v>0</v>
      </c>
      <c r="AN779" s="15" t="n">
        <f aca="false">AB779*N(R779)</f>
        <v>0</v>
      </c>
      <c r="AO779" s="21" t="str">
        <f aca="false">IF(F779&lt;&gt;"Y","n/a",IF(AND(N779&lt;&gt;"",OR(Q779&lt;&gt;"",G779="Other / bench",G779="None"),U779&lt;&gt;""),"OK","Missing"))</f>
        <v>n/a</v>
      </c>
    </row>
    <row r="780" customFormat="false" ht="15" hidden="false" customHeight="false" outlineLevel="0" collapsed="false">
      <c r="A780" s="16"/>
      <c r="B780" s="16"/>
      <c r="C780" s="16"/>
      <c r="D780" s="16"/>
      <c r="E780" s="21" t="str">
        <f aca="false">IF(A780="","",A780&amp;"|"&amp;D780)</f>
        <v/>
      </c>
      <c r="F780" s="16"/>
      <c r="G780" s="16"/>
      <c r="H780" s="16"/>
      <c r="I780" s="16"/>
      <c r="J780" s="16"/>
      <c r="K780" s="14"/>
      <c r="L780" s="14"/>
      <c r="M780" s="14"/>
      <c r="N780" s="14"/>
      <c r="O780" s="14"/>
      <c r="P780" s="18" t="n">
        <f aca="false">IF(N780="",0,IF(OR(M780="",O780=""),N780,(M780+4*N780+O780)/6))</f>
        <v>0</v>
      </c>
      <c r="Q780" s="14"/>
      <c r="R780" s="14"/>
      <c r="S780" s="14"/>
      <c r="T780" s="14"/>
      <c r="U780" s="16"/>
      <c r="V780" s="13"/>
      <c r="W780" s="16"/>
      <c r="X780" s="16"/>
      <c r="Y780" s="16"/>
      <c r="Z780" s="16"/>
      <c r="AA780" s="22" t="n">
        <f aca="false">IF(F780&lt;&gt;"Y",0,((SUMIF(Products!$E$5:$E$300,A780,Products!$F$5:$F$300)+SUMIF(RM_Lots!$A$5:$A$400,A780,RM_Lots!$D$5:$D$400))+IF(W780="Y",SUMIF(Products!$E$5:$E$300,A780,Products!$G$5:$G$300),0))*(1+N(V780)))</f>
        <v>0</v>
      </c>
      <c r="AB780" s="22" t="n">
        <f aca="false">IF(F780&lt;&gt;"Y",0,((SUMIF(Products!$E$5:$E$300,A780,Products!$K$5:$K$300)+SUMIF(RM_Lots!$A$5:$A$400,A780,RM_Lots!$F$5:$F$400))+IF(W780="Y",SUMIF(Products!$E$5:$E$300,A780,Products!$L$5:$L$300),0))*(1+N(V780)))</f>
        <v>0</v>
      </c>
      <c r="AC780" s="17" t="n">
        <f aca="false">IF(J780="",1,MAX(1,COUNTIFS($J$5:$J$863,J780,$F$5:$F$863,"Y")))</f>
        <v>1</v>
      </c>
      <c r="AD780" s="18" t="n">
        <f aca="false">(MAX(1,N(I780))*(P780+N(S780))+MAX(1,N(I780))*N(K780)/(MAX(1,N(U780))*AC780))*Settings!$B$9</f>
        <v>0</v>
      </c>
      <c r="AE780" s="18" t="n">
        <f aca="false">(MAX(1,N(I780))*N(Q780)+MAX(1,N(I780))*N(L780)/(MAX(1,N(U780))*AC780))*Settings!$B$8</f>
        <v>0</v>
      </c>
      <c r="AF780" s="18" t="n">
        <f aca="false">MAX(1,N(I780))*N(T780)</f>
        <v>0</v>
      </c>
      <c r="AG780" s="15" t="n">
        <f aca="false">AA780*N(AD780)</f>
        <v>0</v>
      </c>
      <c r="AH780" s="15" t="n">
        <f aca="false">AA780*N(AE780)</f>
        <v>0</v>
      </c>
      <c r="AI780" s="15" t="n">
        <f aca="false">AA780*N(AF780)</f>
        <v>0</v>
      </c>
      <c r="AJ780" s="15" t="n">
        <f aca="false">AA780*N(R780)</f>
        <v>0</v>
      </c>
      <c r="AK780" s="15" t="n">
        <f aca="false">AB780*N(AD780)</f>
        <v>0</v>
      </c>
      <c r="AL780" s="15" t="n">
        <f aca="false">AB780*N(AE780)</f>
        <v>0</v>
      </c>
      <c r="AM780" s="15" t="n">
        <f aca="false">AB780*N(AF780)</f>
        <v>0</v>
      </c>
      <c r="AN780" s="15" t="n">
        <f aca="false">AB780*N(R780)</f>
        <v>0</v>
      </c>
      <c r="AO780" s="21" t="str">
        <f aca="false">IF(F780&lt;&gt;"Y","n/a",IF(AND(N780&lt;&gt;"",OR(Q780&lt;&gt;"",G780="Other / bench",G780="None"),U780&lt;&gt;""),"OK","Missing"))</f>
        <v>n/a</v>
      </c>
    </row>
    <row r="781" customFormat="false" ht="15" hidden="false" customHeight="false" outlineLevel="0" collapsed="false">
      <c r="A781" s="16"/>
      <c r="B781" s="16"/>
      <c r="C781" s="16"/>
      <c r="D781" s="16"/>
      <c r="E781" s="21" t="str">
        <f aca="false">IF(A781="","",A781&amp;"|"&amp;D781)</f>
        <v/>
      </c>
      <c r="F781" s="16"/>
      <c r="G781" s="16"/>
      <c r="H781" s="16"/>
      <c r="I781" s="16"/>
      <c r="J781" s="16"/>
      <c r="K781" s="14"/>
      <c r="L781" s="14"/>
      <c r="M781" s="14"/>
      <c r="N781" s="14"/>
      <c r="O781" s="14"/>
      <c r="P781" s="18" t="n">
        <f aca="false">IF(N781="",0,IF(OR(M781="",O781=""),N781,(M781+4*N781+O781)/6))</f>
        <v>0</v>
      </c>
      <c r="Q781" s="14"/>
      <c r="R781" s="14"/>
      <c r="S781" s="14"/>
      <c r="T781" s="14"/>
      <c r="U781" s="16"/>
      <c r="V781" s="13"/>
      <c r="W781" s="16"/>
      <c r="X781" s="16"/>
      <c r="Y781" s="16"/>
      <c r="Z781" s="16"/>
      <c r="AA781" s="22" t="n">
        <f aca="false">IF(F781&lt;&gt;"Y",0,((SUMIF(Products!$E$5:$E$300,A781,Products!$F$5:$F$300)+SUMIF(RM_Lots!$A$5:$A$400,A781,RM_Lots!$D$5:$D$400))+IF(W781="Y",SUMIF(Products!$E$5:$E$300,A781,Products!$G$5:$G$300),0))*(1+N(V781)))</f>
        <v>0</v>
      </c>
      <c r="AB781" s="22" t="n">
        <f aca="false">IF(F781&lt;&gt;"Y",0,((SUMIF(Products!$E$5:$E$300,A781,Products!$K$5:$K$300)+SUMIF(RM_Lots!$A$5:$A$400,A781,RM_Lots!$F$5:$F$400))+IF(W781="Y",SUMIF(Products!$E$5:$E$300,A781,Products!$L$5:$L$300),0))*(1+N(V781)))</f>
        <v>0</v>
      </c>
      <c r="AC781" s="17" t="n">
        <f aca="false">IF(J781="",1,MAX(1,COUNTIFS($J$5:$J$863,J781,$F$5:$F$863,"Y")))</f>
        <v>1</v>
      </c>
      <c r="AD781" s="18" t="n">
        <f aca="false">(MAX(1,N(I781))*(P781+N(S781))+MAX(1,N(I781))*N(K781)/(MAX(1,N(U781))*AC781))*Settings!$B$9</f>
        <v>0</v>
      </c>
      <c r="AE781" s="18" t="n">
        <f aca="false">(MAX(1,N(I781))*N(Q781)+MAX(1,N(I781))*N(L781)/(MAX(1,N(U781))*AC781))*Settings!$B$8</f>
        <v>0</v>
      </c>
      <c r="AF781" s="18" t="n">
        <f aca="false">MAX(1,N(I781))*N(T781)</f>
        <v>0</v>
      </c>
      <c r="AG781" s="15" t="n">
        <f aca="false">AA781*N(AD781)</f>
        <v>0</v>
      </c>
      <c r="AH781" s="15" t="n">
        <f aca="false">AA781*N(AE781)</f>
        <v>0</v>
      </c>
      <c r="AI781" s="15" t="n">
        <f aca="false">AA781*N(AF781)</f>
        <v>0</v>
      </c>
      <c r="AJ781" s="15" t="n">
        <f aca="false">AA781*N(R781)</f>
        <v>0</v>
      </c>
      <c r="AK781" s="15" t="n">
        <f aca="false">AB781*N(AD781)</f>
        <v>0</v>
      </c>
      <c r="AL781" s="15" t="n">
        <f aca="false">AB781*N(AE781)</f>
        <v>0</v>
      </c>
      <c r="AM781" s="15" t="n">
        <f aca="false">AB781*N(AF781)</f>
        <v>0</v>
      </c>
      <c r="AN781" s="15" t="n">
        <f aca="false">AB781*N(R781)</f>
        <v>0</v>
      </c>
      <c r="AO781" s="21" t="str">
        <f aca="false">IF(F781&lt;&gt;"Y","n/a",IF(AND(N781&lt;&gt;"",OR(Q781&lt;&gt;"",G781="Other / bench",G781="None"),U781&lt;&gt;""),"OK","Missing"))</f>
        <v>n/a</v>
      </c>
    </row>
    <row r="782" customFormat="false" ht="15" hidden="false" customHeight="false" outlineLevel="0" collapsed="false">
      <c r="A782" s="16"/>
      <c r="B782" s="16"/>
      <c r="C782" s="16"/>
      <c r="D782" s="16"/>
      <c r="E782" s="21" t="str">
        <f aca="false">IF(A782="","",A782&amp;"|"&amp;D782)</f>
        <v/>
      </c>
      <c r="F782" s="16"/>
      <c r="G782" s="16"/>
      <c r="H782" s="16"/>
      <c r="I782" s="16"/>
      <c r="J782" s="16"/>
      <c r="K782" s="14"/>
      <c r="L782" s="14"/>
      <c r="M782" s="14"/>
      <c r="N782" s="14"/>
      <c r="O782" s="14"/>
      <c r="P782" s="18" t="n">
        <f aca="false">IF(N782="",0,IF(OR(M782="",O782=""),N782,(M782+4*N782+O782)/6))</f>
        <v>0</v>
      </c>
      <c r="Q782" s="14"/>
      <c r="R782" s="14"/>
      <c r="S782" s="14"/>
      <c r="T782" s="14"/>
      <c r="U782" s="16"/>
      <c r="V782" s="13"/>
      <c r="W782" s="16"/>
      <c r="X782" s="16"/>
      <c r="Y782" s="16"/>
      <c r="Z782" s="16"/>
      <c r="AA782" s="22" t="n">
        <f aca="false">IF(F782&lt;&gt;"Y",0,((SUMIF(Products!$E$5:$E$300,A782,Products!$F$5:$F$300)+SUMIF(RM_Lots!$A$5:$A$400,A782,RM_Lots!$D$5:$D$400))+IF(W782="Y",SUMIF(Products!$E$5:$E$300,A782,Products!$G$5:$G$300),0))*(1+N(V782)))</f>
        <v>0</v>
      </c>
      <c r="AB782" s="22" t="n">
        <f aca="false">IF(F782&lt;&gt;"Y",0,((SUMIF(Products!$E$5:$E$300,A782,Products!$K$5:$K$300)+SUMIF(RM_Lots!$A$5:$A$400,A782,RM_Lots!$F$5:$F$400))+IF(W782="Y",SUMIF(Products!$E$5:$E$300,A782,Products!$L$5:$L$300),0))*(1+N(V782)))</f>
        <v>0</v>
      </c>
      <c r="AC782" s="17" t="n">
        <f aca="false">IF(J782="",1,MAX(1,COUNTIFS($J$5:$J$863,J782,$F$5:$F$863,"Y")))</f>
        <v>1</v>
      </c>
      <c r="AD782" s="18" t="n">
        <f aca="false">(MAX(1,N(I782))*(P782+N(S782))+MAX(1,N(I782))*N(K782)/(MAX(1,N(U782))*AC782))*Settings!$B$9</f>
        <v>0</v>
      </c>
      <c r="AE782" s="18" t="n">
        <f aca="false">(MAX(1,N(I782))*N(Q782)+MAX(1,N(I782))*N(L782)/(MAX(1,N(U782))*AC782))*Settings!$B$8</f>
        <v>0</v>
      </c>
      <c r="AF782" s="18" t="n">
        <f aca="false">MAX(1,N(I782))*N(T782)</f>
        <v>0</v>
      </c>
      <c r="AG782" s="15" t="n">
        <f aca="false">AA782*N(AD782)</f>
        <v>0</v>
      </c>
      <c r="AH782" s="15" t="n">
        <f aca="false">AA782*N(AE782)</f>
        <v>0</v>
      </c>
      <c r="AI782" s="15" t="n">
        <f aca="false">AA782*N(AF782)</f>
        <v>0</v>
      </c>
      <c r="AJ782" s="15" t="n">
        <f aca="false">AA782*N(R782)</f>
        <v>0</v>
      </c>
      <c r="AK782" s="15" t="n">
        <f aca="false">AB782*N(AD782)</f>
        <v>0</v>
      </c>
      <c r="AL782" s="15" t="n">
        <f aca="false">AB782*N(AE782)</f>
        <v>0</v>
      </c>
      <c r="AM782" s="15" t="n">
        <f aca="false">AB782*N(AF782)</f>
        <v>0</v>
      </c>
      <c r="AN782" s="15" t="n">
        <f aca="false">AB782*N(R782)</f>
        <v>0</v>
      </c>
      <c r="AO782" s="21" t="str">
        <f aca="false">IF(F782&lt;&gt;"Y","n/a",IF(AND(N782&lt;&gt;"",OR(Q782&lt;&gt;"",G782="Other / bench",G782="None"),U782&lt;&gt;""),"OK","Missing"))</f>
        <v>n/a</v>
      </c>
    </row>
    <row r="783" customFormat="false" ht="15" hidden="false" customHeight="false" outlineLevel="0" collapsed="false">
      <c r="A783" s="16"/>
      <c r="B783" s="16"/>
      <c r="C783" s="16"/>
      <c r="D783" s="16"/>
      <c r="E783" s="21" t="str">
        <f aca="false">IF(A783="","",A783&amp;"|"&amp;D783)</f>
        <v/>
      </c>
      <c r="F783" s="16"/>
      <c r="G783" s="16"/>
      <c r="H783" s="16"/>
      <c r="I783" s="16"/>
      <c r="J783" s="16"/>
      <c r="K783" s="14"/>
      <c r="L783" s="14"/>
      <c r="M783" s="14"/>
      <c r="N783" s="14"/>
      <c r="O783" s="14"/>
      <c r="P783" s="18" t="n">
        <f aca="false">IF(N783="",0,IF(OR(M783="",O783=""),N783,(M783+4*N783+O783)/6))</f>
        <v>0</v>
      </c>
      <c r="Q783" s="14"/>
      <c r="R783" s="14"/>
      <c r="S783" s="14"/>
      <c r="T783" s="14"/>
      <c r="U783" s="16"/>
      <c r="V783" s="13"/>
      <c r="W783" s="16"/>
      <c r="X783" s="16"/>
      <c r="Y783" s="16"/>
      <c r="Z783" s="16"/>
      <c r="AA783" s="22" t="n">
        <f aca="false">IF(F783&lt;&gt;"Y",0,((SUMIF(Products!$E$5:$E$300,A783,Products!$F$5:$F$300)+SUMIF(RM_Lots!$A$5:$A$400,A783,RM_Lots!$D$5:$D$400))+IF(W783="Y",SUMIF(Products!$E$5:$E$300,A783,Products!$G$5:$G$300),0))*(1+N(V783)))</f>
        <v>0</v>
      </c>
      <c r="AB783" s="22" t="n">
        <f aca="false">IF(F783&lt;&gt;"Y",0,((SUMIF(Products!$E$5:$E$300,A783,Products!$K$5:$K$300)+SUMIF(RM_Lots!$A$5:$A$400,A783,RM_Lots!$F$5:$F$400))+IF(W783="Y",SUMIF(Products!$E$5:$E$300,A783,Products!$L$5:$L$300),0))*(1+N(V783)))</f>
        <v>0</v>
      </c>
      <c r="AC783" s="17" t="n">
        <f aca="false">IF(J783="",1,MAX(1,COUNTIFS($J$5:$J$863,J783,$F$5:$F$863,"Y")))</f>
        <v>1</v>
      </c>
      <c r="AD783" s="18" t="n">
        <f aca="false">(MAX(1,N(I783))*(P783+N(S783))+MAX(1,N(I783))*N(K783)/(MAX(1,N(U783))*AC783))*Settings!$B$9</f>
        <v>0</v>
      </c>
      <c r="AE783" s="18" t="n">
        <f aca="false">(MAX(1,N(I783))*N(Q783)+MAX(1,N(I783))*N(L783)/(MAX(1,N(U783))*AC783))*Settings!$B$8</f>
        <v>0</v>
      </c>
      <c r="AF783" s="18" t="n">
        <f aca="false">MAX(1,N(I783))*N(T783)</f>
        <v>0</v>
      </c>
      <c r="AG783" s="15" t="n">
        <f aca="false">AA783*N(AD783)</f>
        <v>0</v>
      </c>
      <c r="AH783" s="15" t="n">
        <f aca="false">AA783*N(AE783)</f>
        <v>0</v>
      </c>
      <c r="AI783" s="15" t="n">
        <f aca="false">AA783*N(AF783)</f>
        <v>0</v>
      </c>
      <c r="AJ783" s="15" t="n">
        <f aca="false">AA783*N(R783)</f>
        <v>0</v>
      </c>
      <c r="AK783" s="15" t="n">
        <f aca="false">AB783*N(AD783)</f>
        <v>0</v>
      </c>
      <c r="AL783" s="15" t="n">
        <f aca="false">AB783*N(AE783)</f>
        <v>0</v>
      </c>
      <c r="AM783" s="15" t="n">
        <f aca="false">AB783*N(AF783)</f>
        <v>0</v>
      </c>
      <c r="AN783" s="15" t="n">
        <f aca="false">AB783*N(R783)</f>
        <v>0</v>
      </c>
      <c r="AO783" s="21" t="str">
        <f aca="false">IF(F783&lt;&gt;"Y","n/a",IF(AND(N783&lt;&gt;"",OR(Q783&lt;&gt;"",G783="Other / bench",G783="None"),U783&lt;&gt;""),"OK","Missing"))</f>
        <v>n/a</v>
      </c>
    </row>
    <row r="784" customFormat="false" ht="15" hidden="false" customHeight="false" outlineLevel="0" collapsed="false">
      <c r="A784" s="16"/>
      <c r="B784" s="16"/>
      <c r="C784" s="16"/>
      <c r="D784" s="16"/>
      <c r="E784" s="21" t="str">
        <f aca="false">IF(A784="","",A784&amp;"|"&amp;D784)</f>
        <v/>
      </c>
      <c r="F784" s="16"/>
      <c r="G784" s="16"/>
      <c r="H784" s="16"/>
      <c r="I784" s="16"/>
      <c r="J784" s="16"/>
      <c r="K784" s="14"/>
      <c r="L784" s="14"/>
      <c r="M784" s="14"/>
      <c r="N784" s="14"/>
      <c r="O784" s="14"/>
      <c r="P784" s="18" t="n">
        <f aca="false">IF(N784="",0,IF(OR(M784="",O784=""),N784,(M784+4*N784+O784)/6))</f>
        <v>0</v>
      </c>
      <c r="Q784" s="14"/>
      <c r="R784" s="14"/>
      <c r="S784" s="14"/>
      <c r="T784" s="14"/>
      <c r="U784" s="16"/>
      <c r="V784" s="13"/>
      <c r="W784" s="16"/>
      <c r="X784" s="16"/>
      <c r="Y784" s="16"/>
      <c r="Z784" s="16"/>
      <c r="AA784" s="22" t="n">
        <f aca="false">IF(F784&lt;&gt;"Y",0,((SUMIF(Products!$E$5:$E$300,A784,Products!$F$5:$F$300)+SUMIF(RM_Lots!$A$5:$A$400,A784,RM_Lots!$D$5:$D$400))+IF(W784="Y",SUMIF(Products!$E$5:$E$300,A784,Products!$G$5:$G$300),0))*(1+N(V784)))</f>
        <v>0</v>
      </c>
      <c r="AB784" s="22" t="n">
        <f aca="false">IF(F784&lt;&gt;"Y",0,((SUMIF(Products!$E$5:$E$300,A784,Products!$K$5:$K$300)+SUMIF(RM_Lots!$A$5:$A$400,A784,RM_Lots!$F$5:$F$400))+IF(W784="Y",SUMIF(Products!$E$5:$E$300,A784,Products!$L$5:$L$300),0))*(1+N(V784)))</f>
        <v>0</v>
      </c>
      <c r="AC784" s="17" t="n">
        <f aca="false">IF(J784="",1,MAX(1,COUNTIFS($J$5:$J$863,J784,$F$5:$F$863,"Y")))</f>
        <v>1</v>
      </c>
      <c r="AD784" s="18" t="n">
        <f aca="false">(MAX(1,N(I784))*(P784+N(S784))+MAX(1,N(I784))*N(K784)/(MAX(1,N(U784))*AC784))*Settings!$B$9</f>
        <v>0</v>
      </c>
      <c r="AE784" s="18" t="n">
        <f aca="false">(MAX(1,N(I784))*N(Q784)+MAX(1,N(I784))*N(L784)/(MAX(1,N(U784))*AC784))*Settings!$B$8</f>
        <v>0</v>
      </c>
      <c r="AF784" s="18" t="n">
        <f aca="false">MAX(1,N(I784))*N(T784)</f>
        <v>0</v>
      </c>
      <c r="AG784" s="15" t="n">
        <f aca="false">AA784*N(AD784)</f>
        <v>0</v>
      </c>
      <c r="AH784" s="15" t="n">
        <f aca="false">AA784*N(AE784)</f>
        <v>0</v>
      </c>
      <c r="AI784" s="15" t="n">
        <f aca="false">AA784*N(AF784)</f>
        <v>0</v>
      </c>
      <c r="AJ784" s="15" t="n">
        <f aca="false">AA784*N(R784)</f>
        <v>0</v>
      </c>
      <c r="AK784" s="15" t="n">
        <f aca="false">AB784*N(AD784)</f>
        <v>0</v>
      </c>
      <c r="AL784" s="15" t="n">
        <f aca="false">AB784*N(AE784)</f>
        <v>0</v>
      </c>
      <c r="AM784" s="15" t="n">
        <f aca="false">AB784*N(AF784)</f>
        <v>0</v>
      </c>
      <c r="AN784" s="15" t="n">
        <f aca="false">AB784*N(R784)</f>
        <v>0</v>
      </c>
      <c r="AO784" s="21" t="str">
        <f aca="false">IF(F784&lt;&gt;"Y","n/a",IF(AND(N784&lt;&gt;"",OR(Q784&lt;&gt;"",G784="Other / bench",G784="None"),U784&lt;&gt;""),"OK","Missing"))</f>
        <v>n/a</v>
      </c>
    </row>
    <row r="785" customFormat="false" ht="15" hidden="false" customHeight="false" outlineLevel="0" collapsed="false">
      <c r="A785" s="16"/>
      <c r="B785" s="16"/>
      <c r="C785" s="16"/>
      <c r="D785" s="16"/>
      <c r="E785" s="21" t="str">
        <f aca="false">IF(A785="","",A785&amp;"|"&amp;D785)</f>
        <v/>
      </c>
      <c r="F785" s="16"/>
      <c r="G785" s="16"/>
      <c r="H785" s="16"/>
      <c r="I785" s="16"/>
      <c r="J785" s="16"/>
      <c r="K785" s="14"/>
      <c r="L785" s="14"/>
      <c r="M785" s="14"/>
      <c r="N785" s="14"/>
      <c r="O785" s="14"/>
      <c r="P785" s="18" t="n">
        <f aca="false">IF(N785="",0,IF(OR(M785="",O785=""),N785,(M785+4*N785+O785)/6))</f>
        <v>0</v>
      </c>
      <c r="Q785" s="14"/>
      <c r="R785" s="14"/>
      <c r="S785" s="14"/>
      <c r="T785" s="14"/>
      <c r="U785" s="16"/>
      <c r="V785" s="13"/>
      <c r="W785" s="16"/>
      <c r="X785" s="16"/>
      <c r="Y785" s="16"/>
      <c r="Z785" s="16"/>
      <c r="AA785" s="22" t="n">
        <f aca="false">IF(F785&lt;&gt;"Y",0,((SUMIF(Products!$E$5:$E$300,A785,Products!$F$5:$F$300)+SUMIF(RM_Lots!$A$5:$A$400,A785,RM_Lots!$D$5:$D$400))+IF(W785="Y",SUMIF(Products!$E$5:$E$300,A785,Products!$G$5:$G$300),0))*(1+N(V785)))</f>
        <v>0</v>
      </c>
      <c r="AB785" s="22" t="n">
        <f aca="false">IF(F785&lt;&gt;"Y",0,((SUMIF(Products!$E$5:$E$300,A785,Products!$K$5:$K$300)+SUMIF(RM_Lots!$A$5:$A$400,A785,RM_Lots!$F$5:$F$400))+IF(W785="Y",SUMIF(Products!$E$5:$E$300,A785,Products!$L$5:$L$300),0))*(1+N(V785)))</f>
        <v>0</v>
      </c>
      <c r="AC785" s="17" t="n">
        <f aca="false">IF(J785="",1,MAX(1,COUNTIFS($J$5:$J$863,J785,$F$5:$F$863,"Y")))</f>
        <v>1</v>
      </c>
      <c r="AD785" s="18" t="n">
        <f aca="false">(MAX(1,N(I785))*(P785+N(S785))+MAX(1,N(I785))*N(K785)/(MAX(1,N(U785))*AC785))*Settings!$B$9</f>
        <v>0</v>
      </c>
      <c r="AE785" s="18" t="n">
        <f aca="false">(MAX(1,N(I785))*N(Q785)+MAX(1,N(I785))*N(L785)/(MAX(1,N(U785))*AC785))*Settings!$B$8</f>
        <v>0</v>
      </c>
      <c r="AF785" s="18" t="n">
        <f aca="false">MAX(1,N(I785))*N(T785)</f>
        <v>0</v>
      </c>
      <c r="AG785" s="15" t="n">
        <f aca="false">AA785*N(AD785)</f>
        <v>0</v>
      </c>
      <c r="AH785" s="15" t="n">
        <f aca="false">AA785*N(AE785)</f>
        <v>0</v>
      </c>
      <c r="AI785" s="15" t="n">
        <f aca="false">AA785*N(AF785)</f>
        <v>0</v>
      </c>
      <c r="AJ785" s="15" t="n">
        <f aca="false">AA785*N(R785)</f>
        <v>0</v>
      </c>
      <c r="AK785" s="15" t="n">
        <f aca="false">AB785*N(AD785)</f>
        <v>0</v>
      </c>
      <c r="AL785" s="15" t="n">
        <f aca="false">AB785*N(AE785)</f>
        <v>0</v>
      </c>
      <c r="AM785" s="15" t="n">
        <f aca="false">AB785*N(AF785)</f>
        <v>0</v>
      </c>
      <c r="AN785" s="15" t="n">
        <f aca="false">AB785*N(R785)</f>
        <v>0</v>
      </c>
      <c r="AO785" s="21" t="str">
        <f aca="false">IF(F785&lt;&gt;"Y","n/a",IF(AND(N785&lt;&gt;"",OR(Q785&lt;&gt;"",G785="Other / bench",G785="None"),U785&lt;&gt;""),"OK","Missing"))</f>
        <v>n/a</v>
      </c>
    </row>
    <row r="786" customFormat="false" ht="15" hidden="false" customHeight="false" outlineLevel="0" collapsed="false">
      <c r="A786" s="16"/>
      <c r="B786" s="16"/>
      <c r="C786" s="16"/>
      <c r="D786" s="16"/>
      <c r="E786" s="21" t="str">
        <f aca="false">IF(A786="","",A786&amp;"|"&amp;D786)</f>
        <v/>
      </c>
      <c r="F786" s="16"/>
      <c r="G786" s="16"/>
      <c r="H786" s="16"/>
      <c r="I786" s="16"/>
      <c r="J786" s="16"/>
      <c r="K786" s="14"/>
      <c r="L786" s="14"/>
      <c r="M786" s="14"/>
      <c r="N786" s="14"/>
      <c r="O786" s="14"/>
      <c r="P786" s="18" t="n">
        <f aca="false">IF(N786="",0,IF(OR(M786="",O786=""),N786,(M786+4*N786+O786)/6))</f>
        <v>0</v>
      </c>
      <c r="Q786" s="14"/>
      <c r="R786" s="14"/>
      <c r="S786" s="14"/>
      <c r="T786" s="14"/>
      <c r="U786" s="16"/>
      <c r="V786" s="13"/>
      <c r="W786" s="16"/>
      <c r="X786" s="16"/>
      <c r="Y786" s="16"/>
      <c r="Z786" s="16"/>
      <c r="AA786" s="22" t="n">
        <f aca="false">IF(F786&lt;&gt;"Y",0,((SUMIF(Products!$E$5:$E$300,A786,Products!$F$5:$F$300)+SUMIF(RM_Lots!$A$5:$A$400,A786,RM_Lots!$D$5:$D$400))+IF(W786="Y",SUMIF(Products!$E$5:$E$300,A786,Products!$G$5:$G$300),0))*(1+N(V786)))</f>
        <v>0</v>
      </c>
      <c r="AB786" s="22" t="n">
        <f aca="false">IF(F786&lt;&gt;"Y",0,((SUMIF(Products!$E$5:$E$300,A786,Products!$K$5:$K$300)+SUMIF(RM_Lots!$A$5:$A$400,A786,RM_Lots!$F$5:$F$400))+IF(W786="Y",SUMIF(Products!$E$5:$E$300,A786,Products!$L$5:$L$300),0))*(1+N(V786)))</f>
        <v>0</v>
      </c>
      <c r="AC786" s="17" t="n">
        <f aca="false">IF(J786="",1,MAX(1,COUNTIFS($J$5:$J$863,J786,$F$5:$F$863,"Y")))</f>
        <v>1</v>
      </c>
      <c r="AD786" s="18" t="n">
        <f aca="false">(MAX(1,N(I786))*(P786+N(S786))+MAX(1,N(I786))*N(K786)/(MAX(1,N(U786))*AC786))*Settings!$B$9</f>
        <v>0</v>
      </c>
      <c r="AE786" s="18" t="n">
        <f aca="false">(MAX(1,N(I786))*N(Q786)+MAX(1,N(I786))*N(L786)/(MAX(1,N(U786))*AC786))*Settings!$B$8</f>
        <v>0</v>
      </c>
      <c r="AF786" s="18" t="n">
        <f aca="false">MAX(1,N(I786))*N(T786)</f>
        <v>0</v>
      </c>
      <c r="AG786" s="15" t="n">
        <f aca="false">AA786*N(AD786)</f>
        <v>0</v>
      </c>
      <c r="AH786" s="15" t="n">
        <f aca="false">AA786*N(AE786)</f>
        <v>0</v>
      </c>
      <c r="AI786" s="15" t="n">
        <f aca="false">AA786*N(AF786)</f>
        <v>0</v>
      </c>
      <c r="AJ786" s="15" t="n">
        <f aca="false">AA786*N(R786)</f>
        <v>0</v>
      </c>
      <c r="AK786" s="15" t="n">
        <f aca="false">AB786*N(AD786)</f>
        <v>0</v>
      </c>
      <c r="AL786" s="15" t="n">
        <f aca="false">AB786*N(AE786)</f>
        <v>0</v>
      </c>
      <c r="AM786" s="15" t="n">
        <f aca="false">AB786*N(AF786)</f>
        <v>0</v>
      </c>
      <c r="AN786" s="15" t="n">
        <f aca="false">AB786*N(R786)</f>
        <v>0</v>
      </c>
      <c r="AO786" s="21" t="str">
        <f aca="false">IF(F786&lt;&gt;"Y","n/a",IF(AND(N786&lt;&gt;"",OR(Q786&lt;&gt;"",G786="Other / bench",G786="None"),U786&lt;&gt;""),"OK","Missing"))</f>
        <v>n/a</v>
      </c>
    </row>
    <row r="787" customFormat="false" ht="15" hidden="false" customHeight="false" outlineLevel="0" collapsed="false">
      <c r="A787" s="16"/>
      <c r="B787" s="16"/>
      <c r="C787" s="16"/>
      <c r="D787" s="16"/>
      <c r="E787" s="21" t="str">
        <f aca="false">IF(A787="","",A787&amp;"|"&amp;D787)</f>
        <v/>
      </c>
      <c r="F787" s="16"/>
      <c r="G787" s="16"/>
      <c r="H787" s="16"/>
      <c r="I787" s="16"/>
      <c r="J787" s="16"/>
      <c r="K787" s="14"/>
      <c r="L787" s="14"/>
      <c r="M787" s="14"/>
      <c r="N787" s="14"/>
      <c r="O787" s="14"/>
      <c r="P787" s="18" t="n">
        <f aca="false">IF(N787="",0,IF(OR(M787="",O787=""),N787,(M787+4*N787+O787)/6))</f>
        <v>0</v>
      </c>
      <c r="Q787" s="14"/>
      <c r="R787" s="14"/>
      <c r="S787" s="14"/>
      <c r="T787" s="14"/>
      <c r="U787" s="16"/>
      <c r="V787" s="13"/>
      <c r="W787" s="16"/>
      <c r="X787" s="16"/>
      <c r="Y787" s="16"/>
      <c r="Z787" s="16"/>
      <c r="AA787" s="22" t="n">
        <f aca="false">IF(F787&lt;&gt;"Y",0,((SUMIF(Products!$E$5:$E$300,A787,Products!$F$5:$F$300)+SUMIF(RM_Lots!$A$5:$A$400,A787,RM_Lots!$D$5:$D$400))+IF(W787="Y",SUMIF(Products!$E$5:$E$300,A787,Products!$G$5:$G$300),0))*(1+N(V787)))</f>
        <v>0</v>
      </c>
      <c r="AB787" s="22" t="n">
        <f aca="false">IF(F787&lt;&gt;"Y",0,((SUMIF(Products!$E$5:$E$300,A787,Products!$K$5:$K$300)+SUMIF(RM_Lots!$A$5:$A$400,A787,RM_Lots!$F$5:$F$400))+IF(W787="Y",SUMIF(Products!$E$5:$E$300,A787,Products!$L$5:$L$300),0))*(1+N(V787)))</f>
        <v>0</v>
      </c>
      <c r="AC787" s="17" t="n">
        <f aca="false">IF(J787="",1,MAX(1,COUNTIFS($J$5:$J$863,J787,$F$5:$F$863,"Y")))</f>
        <v>1</v>
      </c>
      <c r="AD787" s="18" t="n">
        <f aca="false">(MAX(1,N(I787))*(P787+N(S787))+MAX(1,N(I787))*N(K787)/(MAX(1,N(U787))*AC787))*Settings!$B$9</f>
        <v>0</v>
      </c>
      <c r="AE787" s="18" t="n">
        <f aca="false">(MAX(1,N(I787))*N(Q787)+MAX(1,N(I787))*N(L787)/(MAX(1,N(U787))*AC787))*Settings!$B$8</f>
        <v>0</v>
      </c>
      <c r="AF787" s="18" t="n">
        <f aca="false">MAX(1,N(I787))*N(T787)</f>
        <v>0</v>
      </c>
      <c r="AG787" s="15" t="n">
        <f aca="false">AA787*N(AD787)</f>
        <v>0</v>
      </c>
      <c r="AH787" s="15" t="n">
        <f aca="false">AA787*N(AE787)</f>
        <v>0</v>
      </c>
      <c r="AI787" s="15" t="n">
        <f aca="false">AA787*N(AF787)</f>
        <v>0</v>
      </c>
      <c r="AJ787" s="15" t="n">
        <f aca="false">AA787*N(R787)</f>
        <v>0</v>
      </c>
      <c r="AK787" s="15" t="n">
        <f aca="false">AB787*N(AD787)</f>
        <v>0</v>
      </c>
      <c r="AL787" s="15" t="n">
        <f aca="false">AB787*N(AE787)</f>
        <v>0</v>
      </c>
      <c r="AM787" s="15" t="n">
        <f aca="false">AB787*N(AF787)</f>
        <v>0</v>
      </c>
      <c r="AN787" s="15" t="n">
        <f aca="false">AB787*N(R787)</f>
        <v>0</v>
      </c>
      <c r="AO787" s="21" t="str">
        <f aca="false">IF(F787&lt;&gt;"Y","n/a",IF(AND(N787&lt;&gt;"",OR(Q787&lt;&gt;"",G787="Other / bench",G787="None"),U787&lt;&gt;""),"OK","Missing"))</f>
        <v>n/a</v>
      </c>
    </row>
    <row r="788" customFormat="false" ht="15" hidden="false" customHeight="false" outlineLevel="0" collapsed="false">
      <c r="A788" s="16"/>
      <c r="B788" s="16"/>
      <c r="C788" s="16"/>
      <c r="D788" s="16"/>
      <c r="E788" s="21" t="str">
        <f aca="false">IF(A788="","",A788&amp;"|"&amp;D788)</f>
        <v/>
      </c>
      <c r="F788" s="16"/>
      <c r="G788" s="16"/>
      <c r="H788" s="16"/>
      <c r="I788" s="16"/>
      <c r="J788" s="16"/>
      <c r="K788" s="14"/>
      <c r="L788" s="14"/>
      <c r="M788" s="14"/>
      <c r="N788" s="14"/>
      <c r="O788" s="14"/>
      <c r="P788" s="18" t="n">
        <f aca="false">IF(N788="",0,IF(OR(M788="",O788=""),N788,(M788+4*N788+O788)/6))</f>
        <v>0</v>
      </c>
      <c r="Q788" s="14"/>
      <c r="R788" s="14"/>
      <c r="S788" s="14"/>
      <c r="T788" s="14"/>
      <c r="U788" s="16"/>
      <c r="V788" s="13"/>
      <c r="W788" s="16"/>
      <c r="X788" s="16"/>
      <c r="Y788" s="16"/>
      <c r="Z788" s="16"/>
      <c r="AA788" s="22" t="n">
        <f aca="false">IF(F788&lt;&gt;"Y",0,((SUMIF(Products!$E$5:$E$300,A788,Products!$F$5:$F$300)+SUMIF(RM_Lots!$A$5:$A$400,A788,RM_Lots!$D$5:$D$400))+IF(W788="Y",SUMIF(Products!$E$5:$E$300,A788,Products!$G$5:$G$300),0))*(1+N(V788)))</f>
        <v>0</v>
      </c>
      <c r="AB788" s="22" t="n">
        <f aca="false">IF(F788&lt;&gt;"Y",0,((SUMIF(Products!$E$5:$E$300,A788,Products!$K$5:$K$300)+SUMIF(RM_Lots!$A$5:$A$400,A788,RM_Lots!$F$5:$F$400))+IF(W788="Y",SUMIF(Products!$E$5:$E$300,A788,Products!$L$5:$L$300),0))*(1+N(V788)))</f>
        <v>0</v>
      </c>
      <c r="AC788" s="17" t="n">
        <f aca="false">IF(J788="",1,MAX(1,COUNTIFS($J$5:$J$863,J788,$F$5:$F$863,"Y")))</f>
        <v>1</v>
      </c>
      <c r="AD788" s="18" t="n">
        <f aca="false">(MAX(1,N(I788))*(P788+N(S788))+MAX(1,N(I788))*N(K788)/(MAX(1,N(U788))*AC788))*Settings!$B$9</f>
        <v>0</v>
      </c>
      <c r="AE788" s="18" t="n">
        <f aca="false">(MAX(1,N(I788))*N(Q788)+MAX(1,N(I788))*N(L788)/(MAX(1,N(U788))*AC788))*Settings!$B$8</f>
        <v>0</v>
      </c>
      <c r="AF788" s="18" t="n">
        <f aca="false">MAX(1,N(I788))*N(T788)</f>
        <v>0</v>
      </c>
      <c r="AG788" s="15" t="n">
        <f aca="false">AA788*N(AD788)</f>
        <v>0</v>
      </c>
      <c r="AH788" s="15" t="n">
        <f aca="false">AA788*N(AE788)</f>
        <v>0</v>
      </c>
      <c r="AI788" s="15" t="n">
        <f aca="false">AA788*N(AF788)</f>
        <v>0</v>
      </c>
      <c r="AJ788" s="15" t="n">
        <f aca="false">AA788*N(R788)</f>
        <v>0</v>
      </c>
      <c r="AK788" s="15" t="n">
        <f aca="false">AB788*N(AD788)</f>
        <v>0</v>
      </c>
      <c r="AL788" s="15" t="n">
        <f aca="false">AB788*N(AE788)</f>
        <v>0</v>
      </c>
      <c r="AM788" s="15" t="n">
        <f aca="false">AB788*N(AF788)</f>
        <v>0</v>
      </c>
      <c r="AN788" s="15" t="n">
        <f aca="false">AB788*N(R788)</f>
        <v>0</v>
      </c>
      <c r="AO788" s="21" t="str">
        <f aca="false">IF(F788&lt;&gt;"Y","n/a",IF(AND(N788&lt;&gt;"",OR(Q788&lt;&gt;"",G788="Other / bench",G788="None"),U788&lt;&gt;""),"OK","Missing"))</f>
        <v>n/a</v>
      </c>
    </row>
    <row r="789" customFormat="false" ht="15" hidden="false" customHeight="false" outlineLevel="0" collapsed="false">
      <c r="A789" s="16"/>
      <c r="B789" s="16"/>
      <c r="C789" s="16"/>
      <c r="D789" s="16"/>
      <c r="E789" s="21" t="str">
        <f aca="false">IF(A789="","",A789&amp;"|"&amp;D789)</f>
        <v/>
      </c>
      <c r="F789" s="16"/>
      <c r="G789" s="16"/>
      <c r="H789" s="16"/>
      <c r="I789" s="16"/>
      <c r="J789" s="16"/>
      <c r="K789" s="14"/>
      <c r="L789" s="14"/>
      <c r="M789" s="14"/>
      <c r="N789" s="14"/>
      <c r="O789" s="14"/>
      <c r="P789" s="18" t="n">
        <f aca="false">IF(N789="",0,IF(OR(M789="",O789=""),N789,(M789+4*N789+O789)/6))</f>
        <v>0</v>
      </c>
      <c r="Q789" s="14"/>
      <c r="R789" s="14"/>
      <c r="S789" s="14"/>
      <c r="T789" s="14"/>
      <c r="U789" s="16"/>
      <c r="V789" s="13"/>
      <c r="W789" s="16"/>
      <c r="X789" s="16"/>
      <c r="Y789" s="16"/>
      <c r="Z789" s="16"/>
      <c r="AA789" s="22" t="n">
        <f aca="false">IF(F789&lt;&gt;"Y",0,((SUMIF(Products!$E$5:$E$300,A789,Products!$F$5:$F$300)+SUMIF(RM_Lots!$A$5:$A$400,A789,RM_Lots!$D$5:$D$400))+IF(W789="Y",SUMIF(Products!$E$5:$E$300,A789,Products!$G$5:$G$300),0))*(1+N(V789)))</f>
        <v>0</v>
      </c>
      <c r="AB789" s="22" t="n">
        <f aca="false">IF(F789&lt;&gt;"Y",0,((SUMIF(Products!$E$5:$E$300,A789,Products!$K$5:$K$300)+SUMIF(RM_Lots!$A$5:$A$400,A789,RM_Lots!$F$5:$F$400))+IF(W789="Y",SUMIF(Products!$E$5:$E$300,A789,Products!$L$5:$L$300),0))*(1+N(V789)))</f>
        <v>0</v>
      </c>
      <c r="AC789" s="17" t="n">
        <f aca="false">IF(J789="",1,MAX(1,COUNTIFS($J$5:$J$863,J789,$F$5:$F$863,"Y")))</f>
        <v>1</v>
      </c>
      <c r="AD789" s="18" t="n">
        <f aca="false">(MAX(1,N(I789))*(P789+N(S789))+MAX(1,N(I789))*N(K789)/(MAX(1,N(U789))*AC789))*Settings!$B$9</f>
        <v>0</v>
      </c>
      <c r="AE789" s="18" t="n">
        <f aca="false">(MAX(1,N(I789))*N(Q789)+MAX(1,N(I789))*N(L789)/(MAX(1,N(U789))*AC789))*Settings!$B$8</f>
        <v>0</v>
      </c>
      <c r="AF789" s="18" t="n">
        <f aca="false">MAX(1,N(I789))*N(T789)</f>
        <v>0</v>
      </c>
      <c r="AG789" s="15" t="n">
        <f aca="false">AA789*N(AD789)</f>
        <v>0</v>
      </c>
      <c r="AH789" s="15" t="n">
        <f aca="false">AA789*N(AE789)</f>
        <v>0</v>
      </c>
      <c r="AI789" s="15" t="n">
        <f aca="false">AA789*N(AF789)</f>
        <v>0</v>
      </c>
      <c r="AJ789" s="15" t="n">
        <f aca="false">AA789*N(R789)</f>
        <v>0</v>
      </c>
      <c r="AK789" s="15" t="n">
        <f aca="false">AB789*N(AD789)</f>
        <v>0</v>
      </c>
      <c r="AL789" s="15" t="n">
        <f aca="false">AB789*N(AE789)</f>
        <v>0</v>
      </c>
      <c r="AM789" s="15" t="n">
        <f aca="false">AB789*N(AF789)</f>
        <v>0</v>
      </c>
      <c r="AN789" s="15" t="n">
        <f aca="false">AB789*N(R789)</f>
        <v>0</v>
      </c>
      <c r="AO789" s="21" t="str">
        <f aca="false">IF(F789&lt;&gt;"Y","n/a",IF(AND(N789&lt;&gt;"",OR(Q789&lt;&gt;"",G789="Other / bench",G789="None"),U789&lt;&gt;""),"OK","Missing"))</f>
        <v>n/a</v>
      </c>
    </row>
    <row r="790" customFormat="false" ht="15" hidden="false" customHeight="false" outlineLevel="0" collapsed="false">
      <c r="A790" s="16"/>
      <c r="B790" s="16"/>
      <c r="C790" s="16"/>
      <c r="D790" s="16"/>
      <c r="E790" s="21" t="str">
        <f aca="false">IF(A790="","",A790&amp;"|"&amp;D790)</f>
        <v/>
      </c>
      <c r="F790" s="16"/>
      <c r="G790" s="16"/>
      <c r="H790" s="16"/>
      <c r="I790" s="16"/>
      <c r="J790" s="16"/>
      <c r="K790" s="14"/>
      <c r="L790" s="14"/>
      <c r="M790" s="14"/>
      <c r="N790" s="14"/>
      <c r="O790" s="14"/>
      <c r="P790" s="18" t="n">
        <f aca="false">IF(N790="",0,IF(OR(M790="",O790=""),N790,(M790+4*N790+O790)/6))</f>
        <v>0</v>
      </c>
      <c r="Q790" s="14"/>
      <c r="R790" s="14"/>
      <c r="S790" s="14"/>
      <c r="T790" s="14"/>
      <c r="U790" s="16"/>
      <c r="V790" s="13"/>
      <c r="W790" s="16"/>
      <c r="X790" s="16"/>
      <c r="Y790" s="16"/>
      <c r="Z790" s="16"/>
      <c r="AA790" s="22" t="n">
        <f aca="false">IF(F790&lt;&gt;"Y",0,((SUMIF(Products!$E$5:$E$300,A790,Products!$F$5:$F$300)+SUMIF(RM_Lots!$A$5:$A$400,A790,RM_Lots!$D$5:$D$400))+IF(W790="Y",SUMIF(Products!$E$5:$E$300,A790,Products!$G$5:$G$300),0))*(1+N(V790)))</f>
        <v>0</v>
      </c>
      <c r="AB790" s="22" t="n">
        <f aca="false">IF(F790&lt;&gt;"Y",0,((SUMIF(Products!$E$5:$E$300,A790,Products!$K$5:$K$300)+SUMIF(RM_Lots!$A$5:$A$400,A790,RM_Lots!$F$5:$F$400))+IF(W790="Y",SUMIF(Products!$E$5:$E$300,A790,Products!$L$5:$L$300),0))*(1+N(V790)))</f>
        <v>0</v>
      </c>
      <c r="AC790" s="17" t="n">
        <f aca="false">IF(J790="",1,MAX(1,COUNTIFS($J$5:$J$863,J790,$F$5:$F$863,"Y")))</f>
        <v>1</v>
      </c>
      <c r="AD790" s="18" t="n">
        <f aca="false">(MAX(1,N(I790))*(P790+N(S790))+MAX(1,N(I790))*N(K790)/(MAX(1,N(U790))*AC790))*Settings!$B$9</f>
        <v>0</v>
      </c>
      <c r="AE790" s="18" t="n">
        <f aca="false">(MAX(1,N(I790))*N(Q790)+MAX(1,N(I790))*N(L790)/(MAX(1,N(U790))*AC790))*Settings!$B$8</f>
        <v>0</v>
      </c>
      <c r="AF790" s="18" t="n">
        <f aca="false">MAX(1,N(I790))*N(T790)</f>
        <v>0</v>
      </c>
      <c r="AG790" s="15" t="n">
        <f aca="false">AA790*N(AD790)</f>
        <v>0</v>
      </c>
      <c r="AH790" s="15" t="n">
        <f aca="false">AA790*N(AE790)</f>
        <v>0</v>
      </c>
      <c r="AI790" s="15" t="n">
        <f aca="false">AA790*N(AF790)</f>
        <v>0</v>
      </c>
      <c r="AJ790" s="15" t="n">
        <f aca="false">AA790*N(R790)</f>
        <v>0</v>
      </c>
      <c r="AK790" s="15" t="n">
        <f aca="false">AB790*N(AD790)</f>
        <v>0</v>
      </c>
      <c r="AL790" s="15" t="n">
        <f aca="false">AB790*N(AE790)</f>
        <v>0</v>
      </c>
      <c r="AM790" s="15" t="n">
        <f aca="false">AB790*N(AF790)</f>
        <v>0</v>
      </c>
      <c r="AN790" s="15" t="n">
        <f aca="false">AB790*N(R790)</f>
        <v>0</v>
      </c>
      <c r="AO790" s="21" t="str">
        <f aca="false">IF(F790&lt;&gt;"Y","n/a",IF(AND(N790&lt;&gt;"",OR(Q790&lt;&gt;"",G790="Other / bench",G790="None"),U790&lt;&gt;""),"OK","Missing"))</f>
        <v>n/a</v>
      </c>
    </row>
    <row r="791" customFormat="false" ht="15" hidden="false" customHeight="false" outlineLevel="0" collapsed="false">
      <c r="A791" s="16"/>
      <c r="B791" s="16"/>
      <c r="C791" s="16"/>
      <c r="D791" s="16"/>
      <c r="E791" s="21" t="str">
        <f aca="false">IF(A791="","",A791&amp;"|"&amp;D791)</f>
        <v/>
      </c>
      <c r="F791" s="16"/>
      <c r="G791" s="16"/>
      <c r="H791" s="16"/>
      <c r="I791" s="16"/>
      <c r="J791" s="16"/>
      <c r="K791" s="14"/>
      <c r="L791" s="14"/>
      <c r="M791" s="14"/>
      <c r="N791" s="14"/>
      <c r="O791" s="14"/>
      <c r="P791" s="18" t="n">
        <f aca="false">IF(N791="",0,IF(OR(M791="",O791=""),N791,(M791+4*N791+O791)/6))</f>
        <v>0</v>
      </c>
      <c r="Q791" s="14"/>
      <c r="R791" s="14"/>
      <c r="S791" s="14"/>
      <c r="T791" s="14"/>
      <c r="U791" s="16"/>
      <c r="V791" s="13"/>
      <c r="W791" s="16"/>
      <c r="X791" s="16"/>
      <c r="Y791" s="16"/>
      <c r="Z791" s="16"/>
      <c r="AA791" s="22" t="n">
        <f aca="false">IF(F791&lt;&gt;"Y",0,((SUMIF(Products!$E$5:$E$300,A791,Products!$F$5:$F$300)+SUMIF(RM_Lots!$A$5:$A$400,A791,RM_Lots!$D$5:$D$400))+IF(W791="Y",SUMIF(Products!$E$5:$E$300,A791,Products!$G$5:$G$300),0))*(1+N(V791)))</f>
        <v>0</v>
      </c>
      <c r="AB791" s="22" t="n">
        <f aca="false">IF(F791&lt;&gt;"Y",0,((SUMIF(Products!$E$5:$E$300,A791,Products!$K$5:$K$300)+SUMIF(RM_Lots!$A$5:$A$400,A791,RM_Lots!$F$5:$F$400))+IF(W791="Y",SUMIF(Products!$E$5:$E$300,A791,Products!$L$5:$L$300),0))*(1+N(V791)))</f>
        <v>0</v>
      </c>
      <c r="AC791" s="17" t="n">
        <f aca="false">IF(J791="",1,MAX(1,COUNTIFS($J$5:$J$863,J791,$F$5:$F$863,"Y")))</f>
        <v>1</v>
      </c>
      <c r="AD791" s="18" t="n">
        <f aca="false">(MAX(1,N(I791))*(P791+N(S791))+MAX(1,N(I791))*N(K791)/(MAX(1,N(U791))*AC791))*Settings!$B$9</f>
        <v>0</v>
      </c>
      <c r="AE791" s="18" t="n">
        <f aca="false">(MAX(1,N(I791))*N(Q791)+MAX(1,N(I791))*N(L791)/(MAX(1,N(U791))*AC791))*Settings!$B$8</f>
        <v>0</v>
      </c>
      <c r="AF791" s="18" t="n">
        <f aca="false">MAX(1,N(I791))*N(T791)</f>
        <v>0</v>
      </c>
      <c r="AG791" s="15" t="n">
        <f aca="false">AA791*N(AD791)</f>
        <v>0</v>
      </c>
      <c r="AH791" s="15" t="n">
        <f aca="false">AA791*N(AE791)</f>
        <v>0</v>
      </c>
      <c r="AI791" s="15" t="n">
        <f aca="false">AA791*N(AF791)</f>
        <v>0</v>
      </c>
      <c r="AJ791" s="15" t="n">
        <f aca="false">AA791*N(R791)</f>
        <v>0</v>
      </c>
      <c r="AK791" s="15" t="n">
        <f aca="false">AB791*N(AD791)</f>
        <v>0</v>
      </c>
      <c r="AL791" s="15" t="n">
        <f aca="false">AB791*N(AE791)</f>
        <v>0</v>
      </c>
      <c r="AM791" s="15" t="n">
        <f aca="false">AB791*N(AF791)</f>
        <v>0</v>
      </c>
      <c r="AN791" s="15" t="n">
        <f aca="false">AB791*N(R791)</f>
        <v>0</v>
      </c>
      <c r="AO791" s="21" t="str">
        <f aca="false">IF(F791&lt;&gt;"Y","n/a",IF(AND(N791&lt;&gt;"",OR(Q791&lt;&gt;"",G791="Other / bench",G791="None"),U791&lt;&gt;""),"OK","Missing"))</f>
        <v>n/a</v>
      </c>
    </row>
    <row r="792" customFormat="false" ht="15" hidden="false" customHeight="false" outlineLevel="0" collapsed="false">
      <c r="A792" s="16"/>
      <c r="B792" s="16"/>
      <c r="C792" s="16"/>
      <c r="D792" s="16"/>
      <c r="E792" s="21" t="str">
        <f aca="false">IF(A792="","",A792&amp;"|"&amp;D792)</f>
        <v/>
      </c>
      <c r="F792" s="16"/>
      <c r="G792" s="16"/>
      <c r="H792" s="16"/>
      <c r="I792" s="16"/>
      <c r="J792" s="16"/>
      <c r="K792" s="14"/>
      <c r="L792" s="14"/>
      <c r="M792" s="14"/>
      <c r="N792" s="14"/>
      <c r="O792" s="14"/>
      <c r="P792" s="18" t="n">
        <f aca="false">IF(N792="",0,IF(OR(M792="",O792=""),N792,(M792+4*N792+O792)/6))</f>
        <v>0</v>
      </c>
      <c r="Q792" s="14"/>
      <c r="R792" s="14"/>
      <c r="S792" s="14"/>
      <c r="T792" s="14"/>
      <c r="U792" s="16"/>
      <c r="V792" s="13"/>
      <c r="W792" s="16"/>
      <c r="X792" s="16"/>
      <c r="Y792" s="16"/>
      <c r="Z792" s="16"/>
      <c r="AA792" s="22" t="n">
        <f aca="false">IF(F792&lt;&gt;"Y",0,((SUMIF(Products!$E$5:$E$300,A792,Products!$F$5:$F$300)+SUMIF(RM_Lots!$A$5:$A$400,A792,RM_Lots!$D$5:$D$400))+IF(W792="Y",SUMIF(Products!$E$5:$E$300,A792,Products!$G$5:$G$300),0))*(1+N(V792)))</f>
        <v>0</v>
      </c>
      <c r="AB792" s="22" t="n">
        <f aca="false">IF(F792&lt;&gt;"Y",0,((SUMIF(Products!$E$5:$E$300,A792,Products!$K$5:$K$300)+SUMIF(RM_Lots!$A$5:$A$400,A792,RM_Lots!$F$5:$F$400))+IF(W792="Y",SUMIF(Products!$E$5:$E$300,A792,Products!$L$5:$L$300),0))*(1+N(V792)))</f>
        <v>0</v>
      </c>
      <c r="AC792" s="17" t="n">
        <f aca="false">IF(J792="",1,MAX(1,COUNTIFS($J$5:$J$863,J792,$F$5:$F$863,"Y")))</f>
        <v>1</v>
      </c>
      <c r="AD792" s="18" t="n">
        <f aca="false">(MAX(1,N(I792))*(P792+N(S792))+MAX(1,N(I792))*N(K792)/(MAX(1,N(U792))*AC792))*Settings!$B$9</f>
        <v>0</v>
      </c>
      <c r="AE792" s="18" t="n">
        <f aca="false">(MAX(1,N(I792))*N(Q792)+MAX(1,N(I792))*N(L792)/(MAX(1,N(U792))*AC792))*Settings!$B$8</f>
        <v>0</v>
      </c>
      <c r="AF792" s="18" t="n">
        <f aca="false">MAX(1,N(I792))*N(T792)</f>
        <v>0</v>
      </c>
      <c r="AG792" s="15" t="n">
        <f aca="false">AA792*N(AD792)</f>
        <v>0</v>
      </c>
      <c r="AH792" s="15" t="n">
        <f aca="false">AA792*N(AE792)</f>
        <v>0</v>
      </c>
      <c r="AI792" s="15" t="n">
        <f aca="false">AA792*N(AF792)</f>
        <v>0</v>
      </c>
      <c r="AJ792" s="15" t="n">
        <f aca="false">AA792*N(R792)</f>
        <v>0</v>
      </c>
      <c r="AK792" s="15" t="n">
        <f aca="false">AB792*N(AD792)</f>
        <v>0</v>
      </c>
      <c r="AL792" s="15" t="n">
        <f aca="false">AB792*N(AE792)</f>
        <v>0</v>
      </c>
      <c r="AM792" s="15" t="n">
        <f aca="false">AB792*N(AF792)</f>
        <v>0</v>
      </c>
      <c r="AN792" s="15" t="n">
        <f aca="false">AB792*N(R792)</f>
        <v>0</v>
      </c>
      <c r="AO792" s="21" t="str">
        <f aca="false">IF(F792&lt;&gt;"Y","n/a",IF(AND(N792&lt;&gt;"",OR(Q792&lt;&gt;"",G792="Other / bench",G792="None"),U792&lt;&gt;""),"OK","Missing"))</f>
        <v>n/a</v>
      </c>
    </row>
    <row r="793" customFormat="false" ht="15" hidden="false" customHeight="false" outlineLevel="0" collapsed="false">
      <c r="A793" s="16"/>
      <c r="B793" s="16"/>
      <c r="C793" s="16"/>
      <c r="D793" s="16"/>
      <c r="E793" s="21" t="str">
        <f aca="false">IF(A793="","",A793&amp;"|"&amp;D793)</f>
        <v/>
      </c>
      <c r="F793" s="16"/>
      <c r="G793" s="16"/>
      <c r="H793" s="16"/>
      <c r="I793" s="16"/>
      <c r="J793" s="16"/>
      <c r="K793" s="14"/>
      <c r="L793" s="14"/>
      <c r="M793" s="14"/>
      <c r="N793" s="14"/>
      <c r="O793" s="14"/>
      <c r="P793" s="18" t="n">
        <f aca="false">IF(N793="",0,IF(OR(M793="",O793=""),N793,(M793+4*N793+O793)/6))</f>
        <v>0</v>
      </c>
      <c r="Q793" s="14"/>
      <c r="R793" s="14"/>
      <c r="S793" s="14"/>
      <c r="T793" s="14"/>
      <c r="U793" s="16"/>
      <c r="V793" s="13"/>
      <c r="W793" s="16"/>
      <c r="X793" s="16"/>
      <c r="Y793" s="16"/>
      <c r="Z793" s="16"/>
      <c r="AA793" s="22" t="n">
        <f aca="false">IF(F793&lt;&gt;"Y",0,((SUMIF(Products!$E$5:$E$300,A793,Products!$F$5:$F$300)+SUMIF(RM_Lots!$A$5:$A$400,A793,RM_Lots!$D$5:$D$400))+IF(W793="Y",SUMIF(Products!$E$5:$E$300,A793,Products!$G$5:$G$300),0))*(1+N(V793)))</f>
        <v>0</v>
      </c>
      <c r="AB793" s="22" t="n">
        <f aca="false">IF(F793&lt;&gt;"Y",0,((SUMIF(Products!$E$5:$E$300,A793,Products!$K$5:$K$300)+SUMIF(RM_Lots!$A$5:$A$400,A793,RM_Lots!$F$5:$F$400))+IF(W793="Y",SUMIF(Products!$E$5:$E$300,A793,Products!$L$5:$L$300),0))*(1+N(V793)))</f>
        <v>0</v>
      </c>
      <c r="AC793" s="17" t="n">
        <f aca="false">IF(J793="",1,MAX(1,COUNTIFS($J$5:$J$863,J793,$F$5:$F$863,"Y")))</f>
        <v>1</v>
      </c>
      <c r="AD793" s="18" t="n">
        <f aca="false">(MAX(1,N(I793))*(P793+N(S793))+MAX(1,N(I793))*N(K793)/(MAX(1,N(U793))*AC793))*Settings!$B$9</f>
        <v>0</v>
      </c>
      <c r="AE793" s="18" t="n">
        <f aca="false">(MAX(1,N(I793))*N(Q793)+MAX(1,N(I793))*N(L793)/(MAX(1,N(U793))*AC793))*Settings!$B$8</f>
        <v>0</v>
      </c>
      <c r="AF793" s="18" t="n">
        <f aca="false">MAX(1,N(I793))*N(T793)</f>
        <v>0</v>
      </c>
      <c r="AG793" s="15" t="n">
        <f aca="false">AA793*N(AD793)</f>
        <v>0</v>
      </c>
      <c r="AH793" s="15" t="n">
        <f aca="false">AA793*N(AE793)</f>
        <v>0</v>
      </c>
      <c r="AI793" s="15" t="n">
        <f aca="false">AA793*N(AF793)</f>
        <v>0</v>
      </c>
      <c r="AJ793" s="15" t="n">
        <f aca="false">AA793*N(R793)</f>
        <v>0</v>
      </c>
      <c r="AK793" s="15" t="n">
        <f aca="false">AB793*N(AD793)</f>
        <v>0</v>
      </c>
      <c r="AL793" s="15" t="n">
        <f aca="false">AB793*N(AE793)</f>
        <v>0</v>
      </c>
      <c r="AM793" s="15" t="n">
        <f aca="false">AB793*N(AF793)</f>
        <v>0</v>
      </c>
      <c r="AN793" s="15" t="n">
        <f aca="false">AB793*N(R793)</f>
        <v>0</v>
      </c>
      <c r="AO793" s="21" t="str">
        <f aca="false">IF(F793&lt;&gt;"Y","n/a",IF(AND(N793&lt;&gt;"",OR(Q793&lt;&gt;"",G793="Other / bench",G793="None"),U793&lt;&gt;""),"OK","Missing"))</f>
        <v>n/a</v>
      </c>
    </row>
    <row r="794" customFormat="false" ht="15" hidden="false" customHeight="false" outlineLevel="0" collapsed="false">
      <c r="A794" s="16"/>
      <c r="B794" s="16"/>
      <c r="C794" s="16"/>
      <c r="D794" s="16"/>
      <c r="E794" s="21" t="str">
        <f aca="false">IF(A794="","",A794&amp;"|"&amp;D794)</f>
        <v/>
      </c>
      <c r="F794" s="16"/>
      <c r="G794" s="16"/>
      <c r="H794" s="16"/>
      <c r="I794" s="16"/>
      <c r="J794" s="16"/>
      <c r="K794" s="14"/>
      <c r="L794" s="14"/>
      <c r="M794" s="14"/>
      <c r="N794" s="14"/>
      <c r="O794" s="14"/>
      <c r="P794" s="18" t="n">
        <f aca="false">IF(N794="",0,IF(OR(M794="",O794=""),N794,(M794+4*N794+O794)/6))</f>
        <v>0</v>
      </c>
      <c r="Q794" s="14"/>
      <c r="R794" s="14"/>
      <c r="S794" s="14"/>
      <c r="T794" s="14"/>
      <c r="U794" s="16"/>
      <c r="V794" s="13"/>
      <c r="W794" s="16"/>
      <c r="X794" s="16"/>
      <c r="Y794" s="16"/>
      <c r="Z794" s="16"/>
      <c r="AA794" s="22" t="n">
        <f aca="false">IF(F794&lt;&gt;"Y",0,((SUMIF(Products!$E$5:$E$300,A794,Products!$F$5:$F$300)+SUMIF(RM_Lots!$A$5:$A$400,A794,RM_Lots!$D$5:$D$400))+IF(W794="Y",SUMIF(Products!$E$5:$E$300,A794,Products!$G$5:$G$300),0))*(1+N(V794)))</f>
        <v>0</v>
      </c>
      <c r="AB794" s="22" t="n">
        <f aca="false">IF(F794&lt;&gt;"Y",0,((SUMIF(Products!$E$5:$E$300,A794,Products!$K$5:$K$300)+SUMIF(RM_Lots!$A$5:$A$400,A794,RM_Lots!$F$5:$F$400))+IF(W794="Y",SUMIF(Products!$E$5:$E$300,A794,Products!$L$5:$L$300),0))*(1+N(V794)))</f>
        <v>0</v>
      </c>
      <c r="AC794" s="17" t="n">
        <f aca="false">IF(J794="",1,MAX(1,COUNTIFS($J$5:$J$863,J794,$F$5:$F$863,"Y")))</f>
        <v>1</v>
      </c>
      <c r="AD794" s="18" t="n">
        <f aca="false">(MAX(1,N(I794))*(P794+N(S794))+MAX(1,N(I794))*N(K794)/(MAX(1,N(U794))*AC794))*Settings!$B$9</f>
        <v>0</v>
      </c>
      <c r="AE794" s="18" t="n">
        <f aca="false">(MAX(1,N(I794))*N(Q794)+MAX(1,N(I794))*N(L794)/(MAX(1,N(U794))*AC794))*Settings!$B$8</f>
        <v>0</v>
      </c>
      <c r="AF794" s="18" t="n">
        <f aca="false">MAX(1,N(I794))*N(T794)</f>
        <v>0</v>
      </c>
      <c r="AG794" s="15" t="n">
        <f aca="false">AA794*N(AD794)</f>
        <v>0</v>
      </c>
      <c r="AH794" s="15" t="n">
        <f aca="false">AA794*N(AE794)</f>
        <v>0</v>
      </c>
      <c r="AI794" s="15" t="n">
        <f aca="false">AA794*N(AF794)</f>
        <v>0</v>
      </c>
      <c r="AJ794" s="15" t="n">
        <f aca="false">AA794*N(R794)</f>
        <v>0</v>
      </c>
      <c r="AK794" s="15" t="n">
        <f aca="false">AB794*N(AD794)</f>
        <v>0</v>
      </c>
      <c r="AL794" s="15" t="n">
        <f aca="false">AB794*N(AE794)</f>
        <v>0</v>
      </c>
      <c r="AM794" s="15" t="n">
        <f aca="false">AB794*N(AF794)</f>
        <v>0</v>
      </c>
      <c r="AN794" s="15" t="n">
        <f aca="false">AB794*N(R794)</f>
        <v>0</v>
      </c>
      <c r="AO794" s="21" t="str">
        <f aca="false">IF(F794&lt;&gt;"Y","n/a",IF(AND(N794&lt;&gt;"",OR(Q794&lt;&gt;"",G794="Other / bench",G794="None"),U794&lt;&gt;""),"OK","Missing"))</f>
        <v>n/a</v>
      </c>
    </row>
    <row r="795" customFormat="false" ht="15" hidden="false" customHeight="false" outlineLevel="0" collapsed="false">
      <c r="A795" s="16"/>
      <c r="B795" s="16"/>
      <c r="C795" s="16"/>
      <c r="D795" s="16"/>
      <c r="E795" s="21" t="str">
        <f aca="false">IF(A795="","",A795&amp;"|"&amp;D795)</f>
        <v/>
      </c>
      <c r="F795" s="16"/>
      <c r="G795" s="16"/>
      <c r="H795" s="16"/>
      <c r="I795" s="16"/>
      <c r="J795" s="16"/>
      <c r="K795" s="14"/>
      <c r="L795" s="14"/>
      <c r="M795" s="14"/>
      <c r="N795" s="14"/>
      <c r="O795" s="14"/>
      <c r="P795" s="18" t="n">
        <f aca="false">IF(N795="",0,IF(OR(M795="",O795=""),N795,(M795+4*N795+O795)/6))</f>
        <v>0</v>
      </c>
      <c r="Q795" s="14"/>
      <c r="R795" s="14"/>
      <c r="S795" s="14"/>
      <c r="T795" s="14"/>
      <c r="U795" s="16"/>
      <c r="V795" s="13"/>
      <c r="W795" s="16"/>
      <c r="X795" s="16"/>
      <c r="Y795" s="16"/>
      <c r="Z795" s="16"/>
      <c r="AA795" s="22" t="n">
        <f aca="false">IF(F795&lt;&gt;"Y",0,((SUMIF(Products!$E$5:$E$300,A795,Products!$F$5:$F$300)+SUMIF(RM_Lots!$A$5:$A$400,A795,RM_Lots!$D$5:$D$400))+IF(W795="Y",SUMIF(Products!$E$5:$E$300,A795,Products!$G$5:$G$300),0))*(1+N(V795)))</f>
        <v>0</v>
      </c>
      <c r="AB795" s="22" t="n">
        <f aca="false">IF(F795&lt;&gt;"Y",0,((SUMIF(Products!$E$5:$E$300,A795,Products!$K$5:$K$300)+SUMIF(RM_Lots!$A$5:$A$400,A795,RM_Lots!$F$5:$F$400))+IF(W795="Y",SUMIF(Products!$E$5:$E$300,A795,Products!$L$5:$L$300),0))*(1+N(V795)))</f>
        <v>0</v>
      </c>
      <c r="AC795" s="17" t="n">
        <f aca="false">IF(J795="",1,MAX(1,COUNTIFS($J$5:$J$863,J795,$F$5:$F$863,"Y")))</f>
        <v>1</v>
      </c>
      <c r="AD795" s="18" t="n">
        <f aca="false">(MAX(1,N(I795))*(P795+N(S795))+MAX(1,N(I795))*N(K795)/(MAX(1,N(U795))*AC795))*Settings!$B$9</f>
        <v>0</v>
      </c>
      <c r="AE795" s="18" t="n">
        <f aca="false">(MAX(1,N(I795))*N(Q795)+MAX(1,N(I795))*N(L795)/(MAX(1,N(U795))*AC795))*Settings!$B$8</f>
        <v>0</v>
      </c>
      <c r="AF795" s="18" t="n">
        <f aca="false">MAX(1,N(I795))*N(T795)</f>
        <v>0</v>
      </c>
      <c r="AG795" s="15" t="n">
        <f aca="false">AA795*N(AD795)</f>
        <v>0</v>
      </c>
      <c r="AH795" s="15" t="n">
        <f aca="false">AA795*N(AE795)</f>
        <v>0</v>
      </c>
      <c r="AI795" s="15" t="n">
        <f aca="false">AA795*N(AF795)</f>
        <v>0</v>
      </c>
      <c r="AJ795" s="15" t="n">
        <f aca="false">AA795*N(R795)</f>
        <v>0</v>
      </c>
      <c r="AK795" s="15" t="n">
        <f aca="false">AB795*N(AD795)</f>
        <v>0</v>
      </c>
      <c r="AL795" s="15" t="n">
        <f aca="false">AB795*N(AE795)</f>
        <v>0</v>
      </c>
      <c r="AM795" s="15" t="n">
        <f aca="false">AB795*N(AF795)</f>
        <v>0</v>
      </c>
      <c r="AN795" s="15" t="n">
        <f aca="false">AB795*N(R795)</f>
        <v>0</v>
      </c>
      <c r="AO795" s="21" t="str">
        <f aca="false">IF(F795&lt;&gt;"Y","n/a",IF(AND(N795&lt;&gt;"",OR(Q795&lt;&gt;"",G795="Other / bench",G795="None"),U795&lt;&gt;""),"OK","Missing"))</f>
        <v>n/a</v>
      </c>
    </row>
    <row r="796" customFormat="false" ht="15" hidden="false" customHeight="false" outlineLevel="0" collapsed="false">
      <c r="A796" s="16"/>
      <c r="B796" s="16"/>
      <c r="C796" s="16"/>
      <c r="D796" s="16"/>
      <c r="E796" s="21" t="str">
        <f aca="false">IF(A796="","",A796&amp;"|"&amp;D796)</f>
        <v/>
      </c>
      <c r="F796" s="16"/>
      <c r="G796" s="16"/>
      <c r="H796" s="16"/>
      <c r="I796" s="16"/>
      <c r="J796" s="16"/>
      <c r="K796" s="14"/>
      <c r="L796" s="14"/>
      <c r="M796" s="14"/>
      <c r="N796" s="14"/>
      <c r="O796" s="14"/>
      <c r="P796" s="18" t="n">
        <f aca="false">IF(N796="",0,IF(OR(M796="",O796=""),N796,(M796+4*N796+O796)/6))</f>
        <v>0</v>
      </c>
      <c r="Q796" s="14"/>
      <c r="R796" s="14"/>
      <c r="S796" s="14"/>
      <c r="T796" s="14"/>
      <c r="U796" s="16"/>
      <c r="V796" s="13"/>
      <c r="W796" s="16"/>
      <c r="X796" s="16"/>
      <c r="Y796" s="16"/>
      <c r="Z796" s="16"/>
      <c r="AA796" s="22" t="n">
        <f aca="false">IF(F796&lt;&gt;"Y",0,((SUMIF(Products!$E$5:$E$300,A796,Products!$F$5:$F$300)+SUMIF(RM_Lots!$A$5:$A$400,A796,RM_Lots!$D$5:$D$400))+IF(W796="Y",SUMIF(Products!$E$5:$E$300,A796,Products!$G$5:$G$300),0))*(1+N(V796)))</f>
        <v>0</v>
      </c>
      <c r="AB796" s="22" t="n">
        <f aca="false">IF(F796&lt;&gt;"Y",0,((SUMIF(Products!$E$5:$E$300,A796,Products!$K$5:$K$300)+SUMIF(RM_Lots!$A$5:$A$400,A796,RM_Lots!$F$5:$F$400))+IF(W796="Y",SUMIF(Products!$E$5:$E$300,A796,Products!$L$5:$L$300),0))*(1+N(V796)))</f>
        <v>0</v>
      </c>
      <c r="AC796" s="17" t="n">
        <f aca="false">IF(J796="",1,MAX(1,COUNTIFS($J$5:$J$863,J796,$F$5:$F$863,"Y")))</f>
        <v>1</v>
      </c>
      <c r="AD796" s="18" t="n">
        <f aca="false">(MAX(1,N(I796))*(P796+N(S796))+MAX(1,N(I796))*N(K796)/(MAX(1,N(U796))*AC796))*Settings!$B$9</f>
        <v>0</v>
      </c>
      <c r="AE796" s="18" t="n">
        <f aca="false">(MAX(1,N(I796))*N(Q796)+MAX(1,N(I796))*N(L796)/(MAX(1,N(U796))*AC796))*Settings!$B$8</f>
        <v>0</v>
      </c>
      <c r="AF796" s="18" t="n">
        <f aca="false">MAX(1,N(I796))*N(T796)</f>
        <v>0</v>
      </c>
      <c r="AG796" s="15" t="n">
        <f aca="false">AA796*N(AD796)</f>
        <v>0</v>
      </c>
      <c r="AH796" s="15" t="n">
        <f aca="false">AA796*N(AE796)</f>
        <v>0</v>
      </c>
      <c r="AI796" s="15" t="n">
        <f aca="false">AA796*N(AF796)</f>
        <v>0</v>
      </c>
      <c r="AJ796" s="15" t="n">
        <f aca="false">AA796*N(R796)</f>
        <v>0</v>
      </c>
      <c r="AK796" s="15" t="n">
        <f aca="false">AB796*N(AD796)</f>
        <v>0</v>
      </c>
      <c r="AL796" s="15" t="n">
        <f aca="false">AB796*N(AE796)</f>
        <v>0</v>
      </c>
      <c r="AM796" s="15" t="n">
        <f aca="false">AB796*N(AF796)</f>
        <v>0</v>
      </c>
      <c r="AN796" s="15" t="n">
        <f aca="false">AB796*N(R796)</f>
        <v>0</v>
      </c>
      <c r="AO796" s="21" t="str">
        <f aca="false">IF(F796&lt;&gt;"Y","n/a",IF(AND(N796&lt;&gt;"",OR(Q796&lt;&gt;"",G796="Other / bench",G796="None"),U796&lt;&gt;""),"OK","Missing"))</f>
        <v>n/a</v>
      </c>
    </row>
    <row r="797" customFormat="false" ht="15" hidden="false" customHeight="false" outlineLevel="0" collapsed="false">
      <c r="A797" s="16"/>
      <c r="B797" s="16"/>
      <c r="C797" s="16"/>
      <c r="D797" s="16"/>
      <c r="E797" s="21" t="str">
        <f aca="false">IF(A797="","",A797&amp;"|"&amp;D797)</f>
        <v/>
      </c>
      <c r="F797" s="16"/>
      <c r="G797" s="16"/>
      <c r="H797" s="16"/>
      <c r="I797" s="16"/>
      <c r="J797" s="16"/>
      <c r="K797" s="14"/>
      <c r="L797" s="14"/>
      <c r="M797" s="14"/>
      <c r="N797" s="14"/>
      <c r="O797" s="14"/>
      <c r="P797" s="18" t="n">
        <f aca="false">IF(N797="",0,IF(OR(M797="",O797=""),N797,(M797+4*N797+O797)/6))</f>
        <v>0</v>
      </c>
      <c r="Q797" s="14"/>
      <c r="R797" s="14"/>
      <c r="S797" s="14"/>
      <c r="T797" s="14"/>
      <c r="U797" s="16"/>
      <c r="V797" s="13"/>
      <c r="W797" s="16"/>
      <c r="X797" s="16"/>
      <c r="Y797" s="16"/>
      <c r="Z797" s="16"/>
      <c r="AA797" s="22" t="n">
        <f aca="false">IF(F797&lt;&gt;"Y",0,((SUMIF(Products!$E$5:$E$300,A797,Products!$F$5:$F$300)+SUMIF(RM_Lots!$A$5:$A$400,A797,RM_Lots!$D$5:$D$400))+IF(W797="Y",SUMIF(Products!$E$5:$E$300,A797,Products!$G$5:$G$300),0))*(1+N(V797)))</f>
        <v>0</v>
      </c>
      <c r="AB797" s="22" t="n">
        <f aca="false">IF(F797&lt;&gt;"Y",0,((SUMIF(Products!$E$5:$E$300,A797,Products!$K$5:$K$300)+SUMIF(RM_Lots!$A$5:$A$400,A797,RM_Lots!$F$5:$F$400))+IF(W797="Y",SUMIF(Products!$E$5:$E$300,A797,Products!$L$5:$L$300),0))*(1+N(V797)))</f>
        <v>0</v>
      </c>
      <c r="AC797" s="17" t="n">
        <f aca="false">IF(J797="",1,MAX(1,COUNTIFS($J$5:$J$863,J797,$F$5:$F$863,"Y")))</f>
        <v>1</v>
      </c>
      <c r="AD797" s="18" t="n">
        <f aca="false">(MAX(1,N(I797))*(P797+N(S797))+MAX(1,N(I797))*N(K797)/(MAX(1,N(U797))*AC797))*Settings!$B$9</f>
        <v>0</v>
      </c>
      <c r="AE797" s="18" t="n">
        <f aca="false">(MAX(1,N(I797))*N(Q797)+MAX(1,N(I797))*N(L797)/(MAX(1,N(U797))*AC797))*Settings!$B$8</f>
        <v>0</v>
      </c>
      <c r="AF797" s="18" t="n">
        <f aca="false">MAX(1,N(I797))*N(T797)</f>
        <v>0</v>
      </c>
      <c r="AG797" s="15" t="n">
        <f aca="false">AA797*N(AD797)</f>
        <v>0</v>
      </c>
      <c r="AH797" s="15" t="n">
        <f aca="false">AA797*N(AE797)</f>
        <v>0</v>
      </c>
      <c r="AI797" s="15" t="n">
        <f aca="false">AA797*N(AF797)</f>
        <v>0</v>
      </c>
      <c r="AJ797" s="15" t="n">
        <f aca="false">AA797*N(R797)</f>
        <v>0</v>
      </c>
      <c r="AK797" s="15" t="n">
        <f aca="false">AB797*N(AD797)</f>
        <v>0</v>
      </c>
      <c r="AL797" s="15" t="n">
        <f aca="false">AB797*N(AE797)</f>
        <v>0</v>
      </c>
      <c r="AM797" s="15" t="n">
        <f aca="false">AB797*N(AF797)</f>
        <v>0</v>
      </c>
      <c r="AN797" s="15" t="n">
        <f aca="false">AB797*N(R797)</f>
        <v>0</v>
      </c>
      <c r="AO797" s="21" t="str">
        <f aca="false">IF(F797&lt;&gt;"Y","n/a",IF(AND(N797&lt;&gt;"",OR(Q797&lt;&gt;"",G797="Other / bench",G797="None"),U797&lt;&gt;""),"OK","Missing"))</f>
        <v>n/a</v>
      </c>
    </row>
    <row r="798" customFormat="false" ht="15" hidden="false" customHeight="false" outlineLevel="0" collapsed="false">
      <c r="A798" s="16"/>
      <c r="B798" s="16"/>
      <c r="C798" s="16"/>
      <c r="D798" s="16"/>
      <c r="E798" s="21" t="str">
        <f aca="false">IF(A798="","",A798&amp;"|"&amp;D798)</f>
        <v/>
      </c>
      <c r="F798" s="16"/>
      <c r="G798" s="16"/>
      <c r="H798" s="16"/>
      <c r="I798" s="16"/>
      <c r="J798" s="16"/>
      <c r="K798" s="14"/>
      <c r="L798" s="14"/>
      <c r="M798" s="14"/>
      <c r="N798" s="14"/>
      <c r="O798" s="14"/>
      <c r="P798" s="18" t="n">
        <f aca="false">IF(N798="",0,IF(OR(M798="",O798=""),N798,(M798+4*N798+O798)/6))</f>
        <v>0</v>
      </c>
      <c r="Q798" s="14"/>
      <c r="R798" s="14"/>
      <c r="S798" s="14"/>
      <c r="T798" s="14"/>
      <c r="U798" s="16"/>
      <c r="V798" s="13"/>
      <c r="W798" s="16"/>
      <c r="X798" s="16"/>
      <c r="Y798" s="16"/>
      <c r="Z798" s="16"/>
      <c r="AA798" s="22" t="n">
        <f aca="false">IF(F798&lt;&gt;"Y",0,((SUMIF(Products!$E$5:$E$300,A798,Products!$F$5:$F$300)+SUMIF(RM_Lots!$A$5:$A$400,A798,RM_Lots!$D$5:$D$400))+IF(W798="Y",SUMIF(Products!$E$5:$E$300,A798,Products!$G$5:$G$300),0))*(1+N(V798)))</f>
        <v>0</v>
      </c>
      <c r="AB798" s="22" t="n">
        <f aca="false">IF(F798&lt;&gt;"Y",0,((SUMIF(Products!$E$5:$E$300,A798,Products!$K$5:$K$300)+SUMIF(RM_Lots!$A$5:$A$400,A798,RM_Lots!$F$5:$F$400))+IF(W798="Y",SUMIF(Products!$E$5:$E$300,A798,Products!$L$5:$L$300),0))*(1+N(V798)))</f>
        <v>0</v>
      </c>
      <c r="AC798" s="17" t="n">
        <f aca="false">IF(J798="",1,MAX(1,COUNTIFS($J$5:$J$863,J798,$F$5:$F$863,"Y")))</f>
        <v>1</v>
      </c>
      <c r="AD798" s="18" t="n">
        <f aca="false">(MAX(1,N(I798))*(P798+N(S798))+MAX(1,N(I798))*N(K798)/(MAX(1,N(U798))*AC798))*Settings!$B$9</f>
        <v>0</v>
      </c>
      <c r="AE798" s="18" t="n">
        <f aca="false">(MAX(1,N(I798))*N(Q798)+MAX(1,N(I798))*N(L798)/(MAX(1,N(U798))*AC798))*Settings!$B$8</f>
        <v>0</v>
      </c>
      <c r="AF798" s="18" t="n">
        <f aca="false">MAX(1,N(I798))*N(T798)</f>
        <v>0</v>
      </c>
      <c r="AG798" s="15" t="n">
        <f aca="false">AA798*N(AD798)</f>
        <v>0</v>
      </c>
      <c r="AH798" s="15" t="n">
        <f aca="false">AA798*N(AE798)</f>
        <v>0</v>
      </c>
      <c r="AI798" s="15" t="n">
        <f aca="false">AA798*N(AF798)</f>
        <v>0</v>
      </c>
      <c r="AJ798" s="15" t="n">
        <f aca="false">AA798*N(R798)</f>
        <v>0</v>
      </c>
      <c r="AK798" s="15" t="n">
        <f aca="false">AB798*N(AD798)</f>
        <v>0</v>
      </c>
      <c r="AL798" s="15" t="n">
        <f aca="false">AB798*N(AE798)</f>
        <v>0</v>
      </c>
      <c r="AM798" s="15" t="n">
        <f aca="false">AB798*N(AF798)</f>
        <v>0</v>
      </c>
      <c r="AN798" s="15" t="n">
        <f aca="false">AB798*N(R798)</f>
        <v>0</v>
      </c>
      <c r="AO798" s="21" t="str">
        <f aca="false">IF(F798&lt;&gt;"Y","n/a",IF(AND(N798&lt;&gt;"",OR(Q798&lt;&gt;"",G798="Other / bench",G798="None"),U798&lt;&gt;""),"OK","Missing"))</f>
        <v>n/a</v>
      </c>
    </row>
    <row r="799" customFormat="false" ht="15" hidden="false" customHeight="false" outlineLevel="0" collapsed="false">
      <c r="A799" s="16"/>
      <c r="B799" s="16"/>
      <c r="C799" s="16"/>
      <c r="D799" s="16"/>
      <c r="E799" s="21" t="str">
        <f aca="false">IF(A799="","",A799&amp;"|"&amp;D799)</f>
        <v/>
      </c>
      <c r="F799" s="16"/>
      <c r="G799" s="16"/>
      <c r="H799" s="16"/>
      <c r="I799" s="16"/>
      <c r="J799" s="16"/>
      <c r="K799" s="14"/>
      <c r="L799" s="14"/>
      <c r="M799" s="14"/>
      <c r="N799" s="14"/>
      <c r="O799" s="14"/>
      <c r="P799" s="18" t="n">
        <f aca="false">IF(N799="",0,IF(OR(M799="",O799=""),N799,(M799+4*N799+O799)/6))</f>
        <v>0</v>
      </c>
      <c r="Q799" s="14"/>
      <c r="R799" s="14"/>
      <c r="S799" s="14"/>
      <c r="T799" s="14"/>
      <c r="U799" s="16"/>
      <c r="V799" s="13"/>
      <c r="W799" s="16"/>
      <c r="X799" s="16"/>
      <c r="Y799" s="16"/>
      <c r="Z799" s="16"/>
      <c r="AA799" s="22" t="n">
        <f aca="false">IF(F799&lt;&gt;"Y",0,((SUMIF(Products!$E$5:$E$300,A799,Products!$F$5:$F$300)+SUMIF(RM_Lots!$A$5:$A$400,A799,RM_Lots!$D$5:$D$400))+IF(W799="Y",SUMIF(Products!$E$5:$E$300,A799,Products!$G$5:$G$300),0))*(1+N(V799)))</f>
        <v>0</v>
      </c>
      <c r="AB799" s="22" t="n">
        <f aca="false">IF(F799&lt;&gt;"Y",0,((SUMIF(Products!$E$5:$E$300,A799,Products!$K$5:$K$300)+SUMIF(RM_Lots!$A$5:$A$400,A799,RM_Lots!$F$5:$F$400))+IF(W799="Y",SUMIF(Products!$E$5:$E$300,A799,Products!$L$5:$L$300),0))*(1+N(V799)))</f>
        <v>0</v>
      </c>
      <c r="AC799" s="17" t="n">
        <f aca="false">IF(J799="",1,MAX(1,COUNTIFS($J$5:$J$863,J799,$F$5:$F$863,"Y")))</f>
        <v>1</v>
      </c>
      <c r="AD799" s="18" t="n">
        <f aca="false">(MAX(1,N(I799))*(P799+N(S799))+MAX(1,N(I799))*N(K799)/(MAX(1,N(U799))*AC799))*Settings!$B$9</f>
        <v>0</v>
      </c>
      <c r="AE799" s="18" t="n">
        <f aca="false">(MAX(1,N(I799))*N(Q799)+MAX(1,N(I799))*N(L799)/(MAX(1,N(U799))*AC799))*Settings!$B$8</f>
        <v>0</v>
      </c>
      <c r="AF799" s="18" t="n">
        <f aca="false">MAX(1,N(I799))*N(T799)</f>
        <v>0</v>
      </c>
      <c r="AG799" s="15" t="n">
        <f aca="false">AA799*N(AD799)</f>
        <v>0</v>
      </c>
      <c r="AH799" s="15" t="n">
        <f aca="false">AA799*N(AE799)</f>
        <v>0</v>
      </c>
      <c r="AI799" s="15" t="n">
        <f aca="false">AA799*N(AF799)</f>
        <v>0</v>
      </c>
      <c r="AJ799" s="15" t="n">
        <f aca="false">AA799*N(R799)</f>
        <v>0</v>
      </c>
      <c r="AK799" s="15" t="n">
        <f aca="false">AB799*N(AD799)</f>
        <v>0</v>
      </c>
      <c r="AL799" s="15" t="n">
        <f aca="false">AB799*N(AE799)</f>
        <v>0</v>
      </c>
      <c r="AM799" s="15" t="n">
        <f aca="false">AB799*N(AF799)</f>
        <v>0</v>
      </c>
      <c r="AN799" s="15" t="n">
        <f aca="false">AB799*N(R799)</f>
        <v>0</v>
      </c>
      <c r="AO799" s="21" t="str">
        <f aca="false">IF(F799&lt;&gt;"Y","n/a",IF(AND(N799&lt;&gt;"",OR(Q799&lt;&gt;"",G799="Other / bench",G799="None"),U799&lt;&gt;""),"OK","Missing"))</f>
        <v>n/a</v>
      </c>
    </row>
    <row r="800" customFormat="false" ht="15" hidden="false" customHeight="false" outlineLevel="0" collapsed="false">
      <c r="A800" s="16"/>
      <c r="B800" s="16"/>
      <c r="C800" s="16"/>
      <c r="D800" s="16"/>
      <c r="E800" s="21" t="str">
        <f aca="false">IF(A800="","",A800&amp;"|"&amp;D800)</f>
        <v/>
      </c>
      <c r="F800" s="16"/>
      <c r="G800" s="16"/>
      <c r="H800" s="16"/>
      <c r="I800" s="16"/>
      <c r="J800" s="16"/>
      <c r="K800" s="14"/>
      <c r="L800" s="14"/>
      <c r="M800" s="14"/>
      <c r="N800" s="14"/>
      <c r="O800" s="14"/>
      <c r="P800" s="18" t="n">
        <f aca="false">IF(N800="",0,IF(OR(M800="",O800=""),N800,(M800+4*N800+O800)/6))</f>
        <v>0</v>
      </c>
      <c r="Q800" s="14"/>
      <c r="R800" s="14"/>
      <c r="S800" s="14"/>
      <c r="T800" s="14"/>
      <c r="U800" s="16"/>
      <c r="V800" s="13"/>
      <c r="W800" s="16"/>
      <c r="X800" s="16"/>
      <c r="Y800" s="16"/>
      <c r="Z800" s="16"/>
      <c r="AA800" s="22" t="n">
        <f aca="false">IF(F800&lt;&gt;"Y",0,((SUMIF(Products!$E$5:$E$300,A800,Products!$F$5:$F$300)+SUMIF(RM_Lots!$A$5:$A$400,A800,RM_Lots!$D$5:$D$400))+IF(W800="Y",SUMIF(Products!$E$5:$E$300,A800,Products!$G$5:$G$300),0))*(1+N(V800)))</f>
        <v>0</v>
      </c>
      <c r="AB800" s="22" t="n">
        <f aca="false">IF(F800&lt;&gt;"Y",0,((SUMIF(Products!$E$5:$E$300,A800,Products!$K$5:$K$300)+SUMIF(RM_Lots!$A$5:$A$400,A800,RM_Lots!$F$5:$F$400))+IF(W800="Y",SUMIF(Products!$E$5:$E$300,A800,Products!$L$5:$L$300),0))*(1+N(V800)))</f>
        <v>0</v>
      </c>
      <c r="AC800" s="17" t="n">
        <f aca="false">IF(J800="",1,MAX(1,COUNTIFS($J$5:$J$863,J800,$F$5:$F$863,"Y")))</f>
        <v>1</v>
      </c>
      <c r="AD800" s="18" t="n">
        <f aca="false">(MAX(1,N(I800))*(P800+N(S800))+MAX(1,N(I800))*N(K800)/(MAX(1,N(U800))*AC800))*Settings!$B$9</f>
        <v>0</v>
      </c>
      <c r="AE800" s="18" t="n">
        <f aca="false">(MAX(1,N(I800))*N(Q800)+MAX(1,N(I800))*N(L800)/(MAX(1,N(U800))*AC800))*Settings!$B$8</f>
        <v>0</v>
      </c>
      <c r="AF800" s="18" t="n">
        <f aca="false">MAX(1,N(I800))*N(T800)</f>
        <v>0</v>
      </c>
      <c r="AG800" s="15" t="n">
        <f aca="false">AA800*N(AD800)</f>
        <v>0</v>
      </c>
      <c r="AH800" s="15" t="n">
        <f aca="false">AA800*N(AE800)</f>
        <v>0</v>
      </c>
      <c r="AI800" s="15" t="n">
        <f aca="false">AA800*N(AF800)</f>
        <v>0</v>
      </c>
      <c r="AJ800" s="15" t="n">
        <f aca="false">AA800*N(R800)</f>
        <v>0</v>
      </c>
      <c r="AK800" s="15" t="n">
        <f aca="false">AB800*N(AD800)</f>
        <v>0</v>
      </c>
      <c r="AL800" s="15" t="n">
        <f aca="false">AB800*N(AE800)</f>
        <v>0</v>
      </c>
      <c r="AM800" s="15" t="n">
        <f aca="false">AB800*N(AF800)</f>
        <v>0</v>
      </c>
      <c r="AN800" s="15" t="n">
        <f aca="false">AB800*N(R800)</f>
        <v>0</v>
      </c>
      <c r="AO800" s="21" t="str">
        <f aca="false">IF(F800&lt;&gt;"Y","n/a",IF(AND(N800&lt;&gt;"",OR(Q800&lt;&gt;"",G800="Other / bench",G800="None"),U800&lt;&gt;""),"OK","Missing"))</f>
        <v>n/a</v>
      </c>
    </row>
    <row r="801" customFormat="false" ht="15" hidden="false" customHeight="false" outlineLevel="0" collapsed="false">
      <c r="A801" s="16"/>
      <c r="B801" s="16"/>
      <c r="C801" s="16"/>
      <c r="D801" s="16"/>
      <c r="E801" s="21" t="str">
        <f aca="false">IF(A801="","",A801&amp;"|"&amp;D801)</f>
        <v/>
      </c>
      <c r="F801" s="16"/>
      <c r="G801" s="16"/>
      <c r="H801" s="16"/>
      <c r="I801" s="16"/>
      <c r="J801" s="16"/>
      <c r="K801" s="14"/>
      <c r="L801" s="14"/>
      <c r="M801" s="14"/>
      <c r="N801" s="14"/>
      <c r="O801" s="14"/>
      <c r="P801" s="18" t="n">
        <f aca="false">IF(N801="",0,IF(OR(M801="",O801=""),N801,(M801+4*N801+O801)/6))</f>
        <v>0</v>
      </c>
      <c r="Q801" s="14"/>
      <c r="R801" s="14"/>
      <c r="S801" s="14"/>
      <c r="T801" s="14"/>
      <c r="U801" s="16"/>
      <c r="V801" s="13"/>
      <c r="W801" s="16"/>
      <c r="X801" s="16"/>
      <c r="Y801" s="16"/>
      <c r="Z801" s="16"/>
      <c r="AA801" s="22" t="n">
        <f aca="false">IF(F801&lt;&gt;"Y",0,((SUMIF(Products!$E$5:$E$300,A801,Products!$F$5:$F$300)+SUMIF(RM_Lots!$A$5:$A$400,A801,RM_Lots!$D$5:$D$400))+IF(W801="Y",SUMIF(Products!$E$5:$E$300,A801,Products!$G$5:$G$300),0))*(1+N(V801)))</f>
        <v>0</v>
      </c>
      <c r="AB801" s="22" t="n">
        <f aca="false">IF(F801&lt;&gt;"Y",0,((SUMIF(Products!$E$5:$E$300,A801,Products!$K$5:$K$300)+SUMIF(RM_Lots!$A$5:$A$400,A801,RM_Lots!$F$5:$F$400))+IF(W801="Y",SUMIF(Products!$E$5:$E$300,A801,Products!$L$5:$L$300),0))*(1+N(V801)))</f>
        <v>0</v>
      </c>
      <c r="AC801" s="17" t="n">
        <f aca="false">IF(J801="",1,MAX(1,COUNTIFS($J$5:$J$863,J801,$F$5:$F$863,"Y")))</f>
        <v>1</v>
      </c>
      <c r="AD801" s="18" t="n">
        <f aca="false">(MAX(1,N(I801))*(P801+N(S801))+MAX(1,N(I801))*N(K801)/(MAX(1,N(U801))*AC801))*Settings!$B$9</f>
        <v>0</v>
      </c>
      <c r="AE801" s="18" t="n">
        <f aca="false">(MAX(1,N(I801))*N(Q801)+MAX(1,N(I801))*N(L801)/(MAX(1,N(U801))*AC801))*Settings!$B$8</f>
        <v>0</v>
      </c>
      <c r="AF801" s="18" t="n">
        <f aca="false">MAX(1,N(I801))*N(T801)</f>
        <v>0</v>
      </c>
      <c r="AG801" s="15" t="n">
        <f aca="false">AA801*N(AD801)</f>
        <v>0</v>
      </c>
      <c r="AH801" s="15" t="n">
        <f aca="false">AA801*N(AE801)</f>
        <v>0</v>
      </c>
      <c r="AI801" s="15" t="n">
        <f aca="false">AA801*N(AF801)</f>
        <v>0</v>
      </c>
      <c r="AJ801" s="15" t="n">
        <f aca="false">AA801*N(R801)</f>
        <v>0</v>
      </c>
      <c r="AK801" s="15" t="n">
        <f aca="false">AB801*N(AD801)</f>
        <v>0</v>
      </c>
      <c r="AL801" s="15" t="n">
        <f aca="false">AB801*N(AE801)</f>
        <v>0</v>
      </c>
      <c r="AM801" s="15" t="n">
        <f aca="false">AB801*N(AF801)</f>
        <v>0</v>
      </c>
      <c r="AN801" s="15" t="n">
        <f aca="false">AB801*N(R801)</f>
        <v>0</v>
      </c>
      <c r="AO801" s="21" t="str">
        <f aca="false">IF(F801&lt;&gt;"Y","n/a",IF(AND(N801&lt;&gt;"",OR(Q801&lt;&gt;"",G801="Other / bench",G801="None"),U801&lt;&gt;""),"OK","Missing"))</f>
        <v>n/a</v>
      </c>
    </row>
    <row r="802" customFormat="false" ht="15" hidden="false" customHeight="false" outlineLevel="0" collapsed="false">
      <c r="A802" s="16"/>
      <c r="B802" s="16"/>
      <c r="C802" s="16"/>
      <c r="D802" s="16"/>
      <c r="E802" s="21" t="str">
        <f aca="false">IF(A802="","",A802&amp;"|"&amp;D802)</f>
        <v/>
      </c>
      <c r="F802" s="16"/>
      <c r="G802" s="16"/>
      <c r="H802" s="16"/>
      <c r="I802" s="16"/>
      <c r="J802" s="16"/>
      <c r="K802" s="14"/>
      <c r="L802" s="14"/>
      <c r="M802" s="14"/>
      <c r="N802" s="14"/>
      <c r="O802" s="14"/>
      <c r="P802" s="18" t="n">
        <f aca="false">IF(N802="",0,IF(OR(M802="",O802=""),N802,(M802+4*N802+O802)/6))</f>
        <v>0</v>
      </c>
      <c r="Q802" s="14"/>
      <c r="R802" s="14"/>
      <c r="S802" s="14"/>
      <c r="T802" s="14"/>
      <c r="U802" s="16"/>
      <c r="V802" s="13"/>
      <c r="W802" s="16"/>
      <c r="X802" s="16"/>
      <c r="Y802" s="16"/>
      <c r="Z802" s="16"/>
      <c r="AA802" s="22" t="n">
        <f aca="false">IF(F802&lt;&gt;"Y",0,((SUMIF(Products!$E$5:$E$300,A802,Products!$F$5:$F$300)+SUMIF(RM_Lots!$A$5:$A$400,A802,RM_Lots!$D$5:$D$400))+IF(W802="Y",SUMIF(Products!$E$5:$E$300,A802,Products!$G$5:$G$300),0))*(1+N(V802)))</f>
        <v>0</v>
      </c>
      <c r="AB802" s="22" t="n">
        <f aca="false">IF(F802&lt;&gt;"Y",0,((SUMIF(Products!$E$5:$E$300,A802,Products!$K$5:$K$300)+SUMIF(RM_Lots!$A$5:$A$400,A802,RM_Lots!$F$5:$F$400))+IF(W802="Y",SUMIF(Products!$E$5:$E$300,A802,Products!$L$5:$L$300),0))*(1+N(V802)))</f>
        <v>0</v>
      </c>
      <c r="AC802" s="17" t="n">
        <f aca="false">IF(J802="",1,MAX(1,COUNTIFS($J$5:$J$863,J802,$F$5:$F$863,"Y")))</f>
        <v>1</v>
      </c>
      <c r="AD802" s="18" t="n">
        <f aca="false">(MAX(1,N(I802))*(P802+N(S802))+MAX(1,N(I802))*N(K802)/(MAX(1,N(U802))*AC802))*Settings!$B$9</f>
        <v>0</v>
      </c>
      <c r="AE802" s="18" t="n">
        <f aca="false">(MAX(1,N(I802))*N(Q802)+MAX(1,N(I802))*N(L802)/(MAX(1,N(U802))*AC802))*Settings!$B$8</f>
        <v>0</v>
      </c>
      <c r="AF802" s="18" t="n">
        <f aca="false">MAX(1,N(I802))*N(T802)</f>
        <v>0</v>
      </c>
      <c r="AG802" s="15" t="n">
        <f aca="false">AA802*N(AD802)</f>
        <v>0</v>
      </c>
      <c r="AH802" s="15" t="n">
        <f aca="false">AA802*N(AE802)</f>
        <v>0</v>
      </c>
      <c r="AI802" s="15" t="n">
        <f aca="false">AA802*N(AF802)</f>
        <v>0</v>
      </c>
      <c r="AJ802" s="15" t="n">
        <f aca="false">AA802*N(R802)</f>
        <v>0</v>
      </c>
      <c r="AK802" s="15" t="n">
        <f aca="false">AB802*N(AD802)</f>
        <v>0</v>
      </c>
      <c r="AL802" s="15" t="n">
        <f aca="false">AB802*N(AE802)</f>
        <v>0</v>
      </c>
      <c r="AM802" s="15" t="n">
        <f aca="false">AB802*N(AF802)</f>
        <v>0</v>
      </c>
      <c r="AN802" s="15" t="n">
        <f aca="false">AB802*N(R802)</f>
        <v>0</v>
      </c>
      <c r="AO802" s="21" t="str">
        <f aca="false">IF(F802&lt;&gt;"Y","n/a",IF(AND(N802&lt;&gt;"",OR(Q802&lt;&gt;"",G802="Other / bench",G802="None"),U802&lt;&gt;""),"OK","Missing"))</f>
        <v>n/a</v>
      </c>
    </row>
    <row r="803" customFormat="false" ht="15" hidden="false" customHeight="false" outlineLevel="0" collapsed="false">
      <c r="A803" s="16"/>
      <c r="B803" s="16"/>
      <c r="C803" s="16"/>
      <c r="D803" s="16"/>
      <c r="E803" s="21" t="str">
        <f aca="false">IF(A803="","",A803&amp;"|"&amp;D803)</f>
        <v/>
      </c>
      <c r="F803" s="16"/>
      <c r="G803" s="16"/>
      <c r="H803" s="16"/>
      <c r="I803" s="16"/>
      <c r="J803" s="16"/>
      <c r="K803" s="14"/>
      <c r="L803" s="14"/>
      <c r="M803" s="14"/>
      <c r="N803" s="14"/>
      <c r="O803" s="14"/>
      <c r="P803" s="18" t="n">
        <f aca="false">IF(N803="",0,IF(OR(M803="",O803=""),N803,(M803+4*N803+O803)/6))</f>
        <v>0</v>
      </c>
      <c r="Q803" s="14"/>
      <c r="R803" s="14"/>
      <c r="S803" s="14"/>
      <c r="T803" s="14"/>
      <c r="U803" s="16"/>
      <c r="V803" s="13"/>
      <c r="W803" s="16"/>
      <c r="X803" s="16"/>
      <c r="Y803" s="16"/>
      <c r="Z803" s="16"/>
      <c r="AA803" s="22" t="n">
        <f aca="false">IF(F803&lt;&gt;"Y",0,((SUMIF(Products!$E$5:$E$300,A803,Products!$F$5:$F$300)+SUMIF(RM_Lots!$A$5:$A$400,A803,RM_Lots!$D$5:$D$400))+IF(W803="Y",SUMIF(Products!$E$5:$E$300,A803,Products!$G$5:$G$300),0))*(1+N(V803)))</f>
        <v>0</v>
      </c>
      <c r="AB803" s="22" t="n">
        <f aca="false">IF(F803&lt;&gt;"Y",0,((SUMIF(Products!$E$5:$E$300,A803,Products!$K$5:$K$300)+SUMIF(RM_Lots!$A$5:$A$400,A803,RM_Lots!$F$5:$F$400))+IF(W803="Y",SUMIF(Products!$E$5:$E$300,A803,Products!$L$5:$L$300),0))*(1+N(V803)))</f>
        <v>0</v>
      </c>
      <c r="AC803" s="17" t="n">
        <f aca="false">IF(J803="",1,MAX(1,COUNTIFS($J$5:$J$863,J803,$F$5:$F$863,"Y")))</f>
        <v>1</v>
      </c>
      <c r="AD803" s="18" t="n">
        <f aca="false">(MAX(1,N(I803))*(P803+N(S803))+MAX(1,N(I803))*N(K803)/(MAX(1,N(U803))*AC803))*Settings!$B$9</f>
        <v>0</v>
      </c>
      <c r="AE803" s="18" t="n">
        <f aca="false">(MAX(1,N(I803))*N(Q803)+MAX(1,N(I803))*N(L803)/(MAX(1,N(U803))*AC803))*Settings!$B$8</f>
        <v>0</v>
      </c>
      <c r="AF803" s="18" t="n">
        <f aca="false">MAX(1,N(I803))*N(T803)</f>
        <v>0</v>
      </c>
      <c r="AG803" s="15" t="n">
        <f aca="false">AA803*N(AD803)</f>
        <v>0</v>
      </c>
      <c r="AH803" s="15" t="n">
        <f aca="false">AA803*N(AE803)</f>
        <v>0</v>
      </c>
      <c r="AI803" s="15" t="n">
        <f aca="false">AA803*N(AF803)</f>
        <v>0</v>
      </c>
      <c r="AJ803" s="15" t="n">
        <f aca="false">AA803*N(R803)</f>
        <v>0</v>
      </c>
      <c r="AK803" s="15" t="n">
        <f aca="false">AB803*N(AD803)</f>
        <v>0</v>
      </c>
      <c r="AL803" s="15" t="n">
        <f aca="false">AB803*N(AE803)</f>
        <v>0</v>
      </c>
      <c r="AM803" s="15" t="n">
        <f aca="false">AB803*N(AF803)</f>
        <v>0</v>
      </c>
      <c r="AN803" s="15" t="n">
        <f aca="false">AB803*N(R803)</f>
        <v>0</v>
      </c>
      <c r="AO803" s="21" t="str">
        <f aca="false">IF(F803&lt;&gt;"Y","n/a",IF(AND(N803&lt;&gt;"",OR(Q803&lt;&gt;"",G803="Other / bench",G803="None"),U803&lt;&gt;""),"OK","Missing"))</f>
        <v>n/a</v>
      </c>
    </row>
    <row r="804" customFormat="false" ht="15" hidden="false" customHeight="false" outlineLevel="0" collapsed="false">
      <c r="A804" s="16"/>
      <c r="B804" s="16"/>
      <c r="C804" s="16"/>
      <c r="D804" s="16"/>
      <c r="E804" s="21" t="str">
        <f aca="false">IF(A804="","",A804&amp;"|"&amp;D804)</f>
        <v/>
      </c>
      <c r="F804" s="16"/>
      <c r="G804" s="16"/>
      <c r="H804" s="16"/>
      <c r="I804" s="16"/>
      <c r="J804" s="16"/>
      <c r="K804" s="14"/>
      <c r="L804" s="14"/>
      <c r="M804" s="14"/>
      <c r="N804" s="14"/>
      <c r="O804" s="14"/>
      <c r="P804" s="18" t="n">
        <f aca="false">IF(N804="",0,IF(OR(M804="",O804=""),N804,(M804+4*N804+O804)/6))</f>
        <v>0</v>
      </c>
      <c r="Q804" s="14"/>
      <c r="R804" s="14"/>
      <c r="S804" s="14"/>
      <c r="T804" s="14"/>
      <c r="U804" s="16"/>
      <c r="V804" s="13"/>
      <c r="W804" s="16"/>
      <c r="X804" s="16"/>
      <c r="Y804" s="16"/>
      <c r="Z804" s="16"/>
      <c r="AA804" s="22" t="n">
        <f aca="false">IF(F804&lt;&gt;"Y",0,((SUMIF(Products!$E$5:$E$300,A804,Products!$F$5:$F$300)+SUMIF(RM_Lots!$A$5:$A$400,A804,RM_Lots!$D$5:$D$400))+IF(W804="Y",SUMIF(Products!$E$5:$E$300,A804,Products!$G$5:$G$300),0))*(1+N(V804)))</f>
        <v>0</v>
      </c>
      <c r="AB804" s="22" t="n">
        <f aca="false">IF(F804&lt;&gt;"Y",0,((SUMIF(Products!$E$5:$E$300,A804,Products!$K$5:$K$300)+SUMIF(RM_Lots!$A$5:$A$400,A804,RM_Lots!$F$5:$F$400))+IF(W804="Y",SUMIF(Products!$E$5:$E$300,A804,Products!$L$5:$L$300),0))*(1+N(V804)))</f>
        <v>0</v>
      </c>
      <c r="AC804" s="17" t="n">
        <f aca="false">IF(J804="",1,MAX(1,COUNTIFS($J$5:$J$863,J804,$F$5:$F$863,"Y")))</f>
        <v>1</v>
      </c>
      <c r="AD804" s="18" t="n">
        <f aca="false">(MAX(1,N(I804))*(P804+N(S804))+MAX(1,N(I804))*N(K804)/(MAX(1,N(U804))*AC804))*Settings!$B$9</f>
        <v>0</v>
      </c>
      <c r="AE804" s="18" t="n">
        <f aca="false">(MAX(1,N(I804))*N(Q804)+MAX(1,N(I804))*N(L804)/(MAX(1,N(U804))*AC804))*Settings!$B$8</f>
        <v>0</v>
      </c>
      <c r="AF804" s="18" t="n">
        <f aca="false">MAX(1,N(I804))*N(T804)</f>
        <v>0</v>
      </c>
      <c r="AG804" s="15" t="n">
        <f aca="false">AA804*N(AD804)</f>
        <v>0</v>
      </c>
      <c r="AH804" s="15" t="n">
        <f aca="false">AA804*N(AE804)</f>
        <v>0</v>
      </c>
      <c r="AI804" s="15" t="n">
        <f aca="false">AA804*N(AF804)</f>
        <v>0</v>
      </c>
      <c r="AJ804" s="15" t="n">
        <f aca="false">AA804*N(R804)</f>
        <v>0</v>
      </c>
      <c r="AK804" s="15" t="n">
        <f aca="false">AB804*N(AD804)</f>
        <v>0</v>
      </c>
      <c r="AL804" s="15" t="n">
        <f aca="false">AB804*N(AE804)</f>
        <v>0</v>
      </c>
      <c r="AM804" s="15" t="n">
        <f aca="false">AB804*N(AF804)</f>
        <v>0</v>
      </c>
      <c r="AN804" s="15" t="n">
        <f aca="false">AB804*N(R804)</f>
        <v>0</v>
      </c>
      <c r="AO804" s="21" t="str">
        <f aca="false">IF(F804&lt;&gt;"Y","n/a",IF(AND(N804&lt;&gt;"",OR(Q804&lt;&gt;"",G804="Other / bench",G804="None"),U804&lt;&gt;""),"OK","Missing"))</f>
        <v>n/a</v>
      </c>
    </row>
    <row r="805" customFormat="false" ht="15" hidden="false" customHeight="false" outlineLevel="0" collapsed="false">
      <c r="A805" s="16"/>
      <c r="B805" s="16"/>
      <c r="C805" s="16"/>
      <c r="D805" s="16"/>
      <c r="E805" s="21" t="str">
        <f aca="false">IF(A805="","",A805&amp;"|"&amp;D805)</f>
        <v/>
      </c>
      <c r="F805" s="16"/>
      <c r="G805" s="16"/>
      <c r="H805" s="16"/>
      <c r="I805" s="16"/>
      <c r="J805" s="16"/>
      <c r="K805" s="14"/>
      <c r="L805" s="14"/>
      <c r="M805" s="14"/>
      <c r="N805" s="14"/>
      <c r="O805" s="14"/>
      <c r="P805" s="18" t="n">
        <f aca="false">IF(N805="",0,IF(OR(M805="",O805=""),N805,(M805+4*N805+O805)/6))</f>
        <v>0</v>
      </c>
      <c r="Q805" s="14"/>
      <c r="R805" s="14"/>
      <c r="S805" s="14"/>
      <c r="T805" s="14"/>
      <c r="U805" s="16"/>
      <c r="V805" s="13"/>
      <c r="W805" s="16"/>
      <c r="X805" s="16"/>
      <c r="Y805" s="16"/>
      <c r="Z805" s="16"/>
      <c r="AA805" s="22" t="n">
        <f aca="false">IF(F805&lt;&gt;"Y",0,((SUMIF(Products!$E$5:$E$300,A805,Products!$F$5:$F$300)+SUMIF(RM_Lots!$A$5:$A$400,A805,RM_Lots!$D$5:$D$400))+IF(W805="Y",SUMIF(Products!$E$5:$E$300,A805,Products!$G$5:$G$300),0))*(1+N(V805)))</f>
        <v>0</v>
      </c>
      <c r="AB805" s="22" t="n">
        <f aca="false">IF(F805&lt;&gt;"Y",0,((SUMIF(Products!$E$5:$E$300,A805,Products!$K$5:$K$300)+SUMIF(RM_Lots!$A$5:$A$400,A805,RM_Lots!$F$5:$F$400))+IF(W805="Y",SUMIF(Products!$E$5:$E$300,A805,Products!$L$5:$L$300),0))*(1+N(V805)))</f>
        <v>0</v>
      </c>
      <c r="AC805" s="17" t="n">
        <f aca="false">IF(J805="",1,MAX(1,COUNTIFS($J$5:$J$863,J805,$F$5:$F$863,"Y")))</f>
        <v>1</v>
      </c>
      <c r="AD805" s="18" t="n">
        <f aca="false">(MAX(1,N(I805))*(P805+N(S805))+MAX(1,N(I805))*N(K805)/(MAX(1,N(U805))*AC805))*Settings!$B$9</f>
        <v>0</v>
      </c>
      <c r="AE805" s="18" t="n">
        <f aca="false">(MAX(1,N(I805))*N(Q805)+MAX(1,N(I805))*N(L805)/(MAX(1,N(U805))*AC805))*Settings!$B$8</f>
        <v>0</v>
      </c>
      <c r="AF805" s="18" t="n">
        <f aca="false">MAX(1,N(I805))*N(T805)</f>
        <v>0</v>
      </c>
      <c r="AG805" s="15" t="n">
        <f aca="false">AA805*N(AD805)</f>
        <v>0</v>
      </c>
      <c r="AH805" s="15" t="n">
        <f aca="false">AA805*N(AE805)</f>
        <v>0</v>
      </c>
      <c r="AI805" s="15" t="n">
        <f aca="false">AA805*N(AF805)</f>
        <v>0</v>
      </c>
      <c r="AJ805" s="15" t="n">
        <f aca="false">AA805*N(R805)</f>
        <v>0</v>
      </c>
      <c r="AK805" s="15" t="n">
        <f aca="false">AB805*N(AD805)</f>
        <v>0</v>
      </c>
      <c r="AL805" s="15" t="n">
        <f aca="false">AB805*N(AE805)</f>
        <v>0</v>
      </c>
      <c r="AM805" s="15" t="n">
        <f aca="false">AB805*N(AF805)</f>
        <v>0</v>
      </c>
      <c r="AN805" s="15" t="n">
        <f aca="false">AB805*N(R805)</f>
        <v>0</v>
      </c>
      <c r="AO805" s="21" t="str">
        <f aca="false">IF(F805&lt;&gt;"Y","n/a",IF(AND(N805&lt;&gt;"",OR(Q805&lt;&gt;"",G805="Other / bench",G805="None"),U805&lt;&gt;""),"OK","Missing"))</f>
        <v>n/a</v>
      </c>
    </row>
    <row r="806" customFormat="false" ht="15" hidden="false" customHeight="false" outlineLevel="0" collapsed="false">
      <c r="A806" s="16"/>
      <c r="B806" s="16"/>
      <c r="C806" s="16"/>
      <c r="D806" s="16"/>
      <c r="E806" s="21" t="str">
        <f aca="false">IF(A806="","",A806&amp;"|"&amp;D806)</f>
        <v/>
      </c>
      <c r="F806" s="16"/>
      <c r="G806" s="16"/>
      <c r="H806" s="16"/>
      <c r="I806" s="16"/>
      <c r="J806" s="16"/>
      <c r="K806" s="14"/>
      <c r="L806" s="14"/>
      <c r="M806" s="14"/>
      <c r="N806" s="14"/>
      <c r="O806" s="14"/>
      <c r="P806" s="18" t="n">
        <f aca="false">IF(N806="",0,IF(OR(M806="",O806=""),N806,(M806+4*N806+O806)/6))</f>
        <v>0</v>
      </c>
      <c r="Q806" s="14"/>
      <c r="R806" s="14"/>
      <c r="S806" s="14"/>
      <c r="T806" s="14"/>
      <c r="U806" s="16"/>
      <c r="V806" s="13"/>
      <c r="W806" s="16"/>
      <c r="X806" s="16"/>
      <c r="Y806" s="16"/>
      <c r="Z806" s="16"/>
      <c r="AA806" s="22" t="n">
        <f aca="false">IF(F806&lt;&gt;"Y",0,((SUMIF(Products!$E$5:$E$300,A806,Products!$F$5:$F$300)+SUMIF(RM_Lots!$A$5:$A$400,A806,RM_Lots!$D$5:$D$400))+IF(W806="Y",SUMIF(Products!$E$5:$E$300,A806,Products!$G$5:$G$300),0))*(1+N(V806)))</f>
        <v>0</v>
      </c>
      <c r="AB806" s="22" t="n">
        <f aca="false">IF(F806&lt;&gt;"Y",0,((SUMIF(Products!$E$5:$E$300,A806,Products!$K$5:$K$300)+SUMIF(RM_Lots!$A$5:$A$400,A806,RM_Lots!$F$5:$F$400))+IF(W806="Y",SUMIF(Products!$E$5:$E$300,A806,Products!$L$5:$L$300),0))*(1+N(V806)))</f>
        <v>0</v>
      </c>
      <c r="AC806" s="17" t="n">
        <f aca="false">IF(J806="",1,MAX(1,COUNTIFS($J$5:$J$863,J806,$F$5:$F$863,"Y")))</f>
        <v>1</v>
      </c>
      <c r="AD806" s="18" t="n">
        <f aca="false">(MAX(1,N(I806))*(P806+N(S806))+MAX(1,N(I806))*N(K806)/(MAX(1,N(U806))*AC806))*Settings!$B$9</f>
        <v>0</v>
      </c>
      <c r="AE806" s="18" t="n">
        <f aca="false">(MAX(1,N(I806))*N(Q806)+MAX(1,N(I806))*N(L806)/(MAX(1,N(U806))*AC806))*Settings!$B$8</f>
        <v>0</v>
      </c>
      <c r="AF806" s="18" t="n">
        <f aca="false">MAX(1,N(I806))*N(T806)</f>
        <v>0</v>
      </c>
      <c r="AG806" s="15" t="n">
        <f aca="false">AA806*N(AD806)</f>
        <v>0</v>
      </c>
      <c r="AH806" s="15" t="n">
        <f aca="false">AA806*N(AE806)</f>
        <v>0</v>
      </c>
      <c r="AI806" s="15" t="n">
        <f aca="false">AA806*N(AF806)</f>
        <v>0</v>
      </c>
      <c r="AJ806" s="15" t="n">
        <f aca="false">AA806*N(R806)</f>
        <v>0</v>
      </c>
      <c r="AK806" s="15" t="n">
        <f aca="false">AB806*N(AD806)</f>
        <v>0</v>
      </c>
      <c r="AL806" s="15" t="n">
        <f aca="false">AB806*N(AE806)</f>
        <v>0</v>
      </c>
      <c r="AM806" s="15" t="n">
        <f aca="false">AB806*N(AF806)</f>
        <v>0</v>
      </c>
      <c r="AN806" s="15" t="n">
        <f aca="false">AB806*N(R806)</f>
        <v>0</v>
      </c>
      <c r="AO806" s="21" t="str">
        <f aca="false">IF(F806&lt;&gt;"Y","n/a",IF(AND(N806&lt;&gt;"",OR(Q806&lt;&gt;"",G806="Other / bench",G806="None"),U806&lt;&gt;""),"OK","Missing"))</f>
        <v>n/a</v>
      </c>
    </row>
    <row r="807" customFormat="false" ht="15" hidden="false" customHeight="false" outlineLevel="0" collapsed="false">
      <c r="A807" s="16"/>
      <c r="B807" s="16"/>
      <c r="C807" s="16"/>
      <c r="D807" s="16"/>
      <c r="E807" s="21" t="str">
        <f aca="false">IF(A807="","",A807&amp;"|"&amp;D807)</f>
        <v/>
      </c>
      <c r="F807" s="16"/>
      <c r="G807" s="16"/>
      <c r="H807" s="16"/>
      <c r="I807" s="16"/>
      <c r="J807" s="16"/>
      <c r="K807" s="14"/>
      <c r="L807" s="14"/>
      <c r="M807" s="14"/>
      <c r="N807" s="14"/>
      <c r="O807" s="14"/>
      <c r="P807" s="18" t="n">
        <f aca="false">IF(N807="",0,IF(OR(M807="",O807=""),N807,(M807+4*N807+O807)/6))</f>
        <v>0</v>
      </c>
      <c r="Q807" s="14"/>
      <c r="R807" s="14"/>
      <c r="S807" s="14"/>
      <c r="T807" s="14"/>
      <c r="U807" s="16"/>
      <c r="V807" s="13"/>
      <c r="W807" s="16"/>
      <c r="X807" s="16"/>
      <c r="Y807" s="16"/>
      <c r="Z807" s="16"/>
      <c r="AA807" s="22" t="n">
        <f aca="false">IF(F807&lt;&gt;"Y",0,((SUMIF(Products!$E$5:$E$300,A807,Products!$F$5:$F$300)+SUMIF(RM_Lots!$A$5:$A$400,A807,RM_Lots!$D$5:$D$400))+IF(W807="Y",SUMIF(Products!$E$5:$E$300,A807,Products!$G$5:$G$300),0))*(1+N(V807)))</f>
        <v>0</v>
      </c>
      <c r="AB807" s="22" t="n">
        <f aca="false">IF(F807&lt;&gt;"Y",0,((SUMIF(Products!$E$5:$E$300,A807,Products!$K$5:$K$300)+SUMIF(RM_Lots!$A$5:$A$400,A807,RM_Lots!$F$5:$F$400))+IF(W807="Y",SUMIF(Products!$E$5:$E$300,A807,Products!$L$5:$L$300),0))*(1+N(V807)))</f>
        <v>0</v>
      </c>
      <c r="AC807" s="17" t="n">
        <f aca="false">IF(J807="",1,MAX(1,COUNTIFS($J$5:$J$863,J807,$F$5:$F$863,"Y")))</f>
        <v>1</v>
      </c>
      <c r="AD807" s="18" t="n">
        <f aca="false">(MAX(1,N(I807))*(P807+N(S807))+MAX(1,N(I807))*N(K807)/(MAX(1,N(U807))*AC807))*Settings!$B$9</f>
        <v>0</v>
      </c>
      <c r="AE807" s="18" t="n">
        <f aca="false">(MAX(1,N(I807))*N(Q807)+MAX(1,N(I807))*N(L807)/(MAX(1,N(U807))*AC807))*Settings!$B$8</f>
        <v>0</v>
      </c>
      <c r="AF807" s="18" t="n">
        <f aca="false">MAX(1,N(I807))*N(T807)</f>
        <v>0</v>
      </c>
      <c r="AG807" s="15" t="n">
        <f aca="false">AA807*N(AD807)</f>
        <v>0</v>
      </c>
      <c r="AH807" s="15" t="n">
        <f aca="false">AA807*N(AE807)</f>
        <v>0</v>
      </c>
      <c r="AI807" s="15" t="n">
        <f aca="false">AA807*N(AF807)</f>
        <v>0</v>
      </c>
      <c r="AJ807" s="15" t="n">
        <f aca="false">AA807*N(R807)</f>
        <v>0</v>
      </c>
      <c r="AK807" s="15" t="n">
        <f aca="false">AB807*N(AD807)</f>
        <v>0</v>
      </c>
      <c r="AL807" s="15" t="n">
        <f aca="false">AB807*N(AE807)</f>
        <v>0</v>
      </c>
      <c r="AM807" s="15" t="n">
        <f aca="false">AB807*N(AF807)</f>
        <v>0</v>
      </c>
      <c r="AN807" s="15" t="n">
        <f aca="false">AB807*N(R807)</f>
        <v>0</v>
      </c>
      <c r="AO807" s="21" t="str">
        <f aca="false">IF(F807&lt;&gt;"Y","n/a",IF(AND(N807&lt;&gt;"",OR(Q807&lt;&gt;"",G807="Other / bench",G807="None"),U807&lt;&gt;""),"OK","Missing"))</f>
        <v>n/a</v>
      </c>
    </row>
    <row r="808" customFormat="false" ht="15" hidden="false" customHeight="false" outlineLevel="0" collapsed="false">
      <c r="A808" s="16"/>
      <c r="B808" s="16"/>
      <c r="C808" s="16"/>
      <c r="D808" s="16"/>
      <c r="E808" s="21" t="str">
        <f aca="false">IF(A808="","",A808&amp;"|"&amp;D808)</f>
        <v/>
      </c>
      <c r="F808" s="16"/>
      <c r="G808" s="16"/>
      <c r="H808" s="16"/>
      <c r="I808" s="16"/>
      <c r="J808" s="16"/>
      <c r="K808" s="14"/>
      <c r="L808" s="14"/>
      <c r="M808" s="14"/>
      <c r="N808" s="14"/>
      <c r="O808" s="14"/>
      <c r="P808" s="18" t="n">
        <f aca="false">IF(N808="",0,IF(OR(M808="",O808=""),N808,(M808+4*N808+O808)/6))</f>
        <v>0</v>
      </c>
      <c r="Q808" s="14"/>
      <c r="R808" s="14"/>
      <c r="S808" s="14"/>
      <c r="T808" s="14"/>
      <c r="U808" s="16"/>
      <c r="V808" s="13"/>
      <c r="W808" s="16"/>
      <c r="X808" s="16"/>
      <c r="Y808" s="16"/>
      <c r="Z808" s="16"/>
      <c r="AA808" s="22" t="n">
        <f aca="false">IF(F808&lt;&gt;"Y",0,((SUMIF(Products!$E$5:$E$300,A808,Products!$F$5:$F$300)+SUMIF(RM_Lots!$A$5:$A$400,A808,RM_Lots!$D$5:$D$400))+IF(W808="Y",SUMIF(Products!$E$5:$E$300,A808,Products!$G$5:$G$300),0))*(1+N(V808)))</f>
        <v>0</v>
      </c>
      <c r="AB808" s="22" t="n">
        <f aca="false">IF(F808&lt;&gt;"Y",0,((SUMIF(Products!$E$5:$E$300,A808,Products!$K$5:$K$300)+SUMIF(RM_Lots!$A$5:$A$400,A808,RM_Lots!$F$5:$F$400))+IF(W808="Y",SUMIF(Products!$E$5:$E$300,A808,Products!$L$5:$L$300),0))*(1+N(V808)))</f>
        <v>0</v>
      </c>
      <c r="AC808" s="17" t="n">
        <f aca="false">IF(J808="",1,MAX(1,COUNTIFS($J$5:$J$863,J808,$F$5:$F$863,"Y")))</f>
        <v>1</v>
      </c>
      <c r="AD808" s="18" t="n">
        <f aca="false">(MAX(1,N(I808))*(P808+N(S808))+MAX(1,N(I808))*N(K808)/(MAX(1,N(U808))*AC808))*Settings!$B$9</f>
        <v>0</v>
      </c>
      <c r="AE808" s="18" t="n">
        <f aca="false">(MAX(1,N(I808))*N(Q808)+MAX(1,N(I808))*N(L808)/(MAX(1,N(U808))*AC808))*Settings!$B$8</f>
        <v>0</v>
      </c>
      <c r="AF808" s="18" t="n">
        <f aca="false">MAX(1,N(I808))*N(T808)</f>
        <v>0</v>
      </c>
      <c r="AG808" s="15" t="n">
        <f aca="false">AA808*N(AD808)</f>
        <v>0</v>
      </c>
      <c r="AH808" s="15" t="n">
        <f aca="false">AA808*N(AE808)</f>
        <v>0</v>
      </c>
      <c r="AI808" s="15" t="n">
        <f aca="false">AA808*N(AF808)</f>
        <v>0</v>
      </c>
      <c r="AJ808" s="15" t="n">
        <f aca="false">AA808*N(R808)</f>
        <v>0</v>
      </c>
      <c r="AK808" s="15" t="n">
        <f aca="false">AB808*N(AD808)</f>
        <v>0</v>
      </c>
      <c r="AL808" s="15" t="n">
        <f aca="false">AB808*N(AE808)</f>
        <v>0</v>
      </c>
      <c r="AM808" s="15" t="n">
        <f aca="false">AB808*N(AF808)</f>
        <v>0</v>
      </c>
      <c r="AN808" s="15" t="n">
        <f aca="false">AB808*N(R808)</f>
        <v>0</v>
      </c>
      <c r="AO808" s="21" t="str">
        <f aca="false">IF(F808&lt;&gt;"Y","n/a",IF(AND(N808&lt;&gt;"",OR(Q808&lt;&gt;"",G808="Other / bench",G808="None"),U808&lt;&gt;""),"OK","Missing"))</f>
        <v>n/a</v>
      </c>
    </row>
    <row r="809" customFormat="false" ht="15" hidden="false" customHeight="false" outlineLevel="0" collapsed="false">
      <c r="A809" s="16"/>
      <c r="B809" s="16"/>
      <c r="C809" s="16"/>
      <c r="D809" s="16"/>
      <c r="E809" s="21" t="str">
        <f aca="false">IF(A809="","",A809&amp;"|"&amp;D809)</f>
        <v/>
      </c>
      <c r="F809" s="16"/>
      <c r="G809" s="16"/>
      <c r="H809" s="16"/>
      <c r="I809" s="16"/>
      <c r="J809" s="16"/>
      <c r="K809" s="14"/>
      <c r="L809" s="14"/>
      <c r="M809" s="14"/>
      <c r="N809" s="14"/>
      <c r="O809" s="14"/>
      <c r="P809" s="18" t="n">
        <f aca="false">IF(N809="",0,IF(OR(M809="",O809=""),N809,(M809+4*N809+O809)/6))</f>
        <v>0</v>
      </c>
      <c r="Q809" s="14"/>
      <c r="R809" s="14"/>
      <c r="S809" s="14"/>
      <c r="T809" s="14"/>
      <c r="U809" s="16"/>
      <c r="V809" s="13"/>
      <c r="W809" s="16"/>
      <c r="X809" s="16"/>
      <c r="Y809" s="16"/>
      <c r="Z809" s="16"/>
      <c r="AA809" s="22" t="n">
        <f aca="false">IF(F809&lt;&gt;"Y",0,((SUMIF(Products!$E$5:$E$300,A809,Products!$F$5:$F$300)+SUMIF(RM_Lots!$A$5:$A$400,A809,RM_Lots!$D$5:$D$400))+IF(W809="Y",SUMIF(Products!$E$5:$E$300,A809,Products!$G$5:$G$300),0))*(1+N(V809)))</f>
        <v>0</v>
      </c>
      <c r="AB809" s="22" t="n">
        <f aca="false">IF(F809&lt;&gt;"Y",0,((SUMIF(Products!$E$5:$E$300,A809,Products!$K$5:$K$300)+SUMIF(RM_Lots!$A$5:$A$400,A809,RM_Lots!$F$5:$F$400))+IF(W809="Y",SUMIF(Products!$E$5:$E$300,A809,Products!$L$5:$L$300),0))*(1+N(V809)))</f>
        <v>0</v>
      </c>
      <c r="AC809" s="17" t="n">
        <f aca="false">IF(J809="",1,MAX(1,COUNTIFS($J$5:$J$863,J809,$F$5:$F$863,"Y")))</f>
        <v>1</v>
      </c>
      <c r="AD809" s="18" t="n">
        <f aca="false">(MAX(1,N(I809))*(P809+N(S809))+MAX(1,N(I809))*N(K809)/(MAX(1,N(U809))*AC809))*Settings!$B$9</f>
        <v>0</v>
      </c>
      <c r="AE809" s="18" t="n">
        <f aca="false">(MAX(1,N(I809))*N(Q809)+MAX(1,N(I809))*N(L809)/(MAX(1,N(U809))*AC809))*Settings!$B$8</f>
        <v>0</v>
      </c>
      <c r="AF809" s="18" t="n">
        <f aca="false">MAX(1,N(I809))*N(T809)</f>
        <v>0</v>
      </c>
      <c r="AG809" s="15" t="n">
        <f aca="false">AA809*N(AD809)</f>
        <v>0</v>
      </c>
      <c r="AH809" s="15" t="n">
        <f aca="false">AA809*N(AE809)</f>
        <v>0</v>
      </c>
      <c r="AI809" s="15" t="n">
        <f aca="false">AA809*N(AF809)</f>
        <v>0</v>
      </c>
      <c r="AJ809" s="15" t="n">
        <f aca="false">AA809*N(R809)</f>
        <v>0</v>
      </c>
      <c r="AK809" s="15" t="n">
        <f aca="false">AB809*N(AD809)</f>
        <v>0</v>
      </c>
      <c r="AL809" s="15" t="n">
        <f aca="false">AB809*N(AE809)</f>
        <v>0</v>
      </c>
      <c r="AM809" s="15" t="n">
        <f aca="false">AB809*N(AF809)</f>
        <v>0</v>
      </c>
      <c r="AN809" s="15" t="n">
        <f aca="false">AB809*N(R809)</f>
        <v>0</v>
      </c>
      <c r="AO809" s="21" t="str">
        <f aca="false">IF(F809&lt;&gt;"Y","n/a",IF(AND(N809&lt;&gt;"",OR(Q809&lt;&gt;"",G809="Other / bench",G809="None"),U809&lt;&gt;""),"OK","Missing"))</f>
        <v>n/a</v>
      </c>
    </row>
    <row r="810" customFormat="false" ht="15" hidden="false" customHeight="false" outlineLevel="0" collapsed="false">
      <c r="A810" s="16"/>
      <c r="B810" s="16"/>
      <c r="C810" s="16"/>
      <c r="D810" s="16"/>
      <c r="E810" s="21" t="str">
        <f aca="false">IF(A810="","",A810&amp;"|"&amp;D810)</f>
        <v/>
      </c>
      <c r="F810" s="16"/>
      <c r="G810" s="16"/>
      <c r="H810" s="16"/>
      <c r="I810" s="16"/>
      <c r="J810" s="16"/>
      <c r="K810" s="14"/>
      <c r="L810" s="14"/>
      <c r="M810" s="14"/>
      <c r="N810" s="14"/>
      <c r="O810" s="14"/>
      <c r="P810" s="18" t="n">
        <f aca="false">IF(N810="",0,IF(OR(M810="",O810=""),N810,(M810+4*N810+O810)/6))</f>
        <v>0</v>
      </c>
      <c r="Q810" s="14"/>
      <c r="R810" s="14"/>
      <c r="S810" s="14"/>
      <c r="T810" s="14"/>
      <c r="U810" s="16"/>
      <c r="V810" s="13"/>
      <c r="W810" s="16"/>
      <c r="X810" s="16"/>
      <c r="Y810" s="16"/>
      <c r="Z810" s="16"/>
      <c r="AA810" s="22" t="n">
        <f aca="false">IF(F810&lt;&gt;"Y",0,((SUMIF(Products!$E$5:$E$300,A810,Products!$F$5:$F$300)+SUMIF(RM_Lots!$A$5:$A$400,A810,RM_Lots!$D$5:$D$400))+IF(W810="Y",SUMIF(Products!$E$5:$E$300,A810,Products!$G$5:$G$300),0))*(1+N(V810)))</f>
        <v>0</v>
      </c>
      <c r="AB810" s="22" t="n">
        <f aca="false">IF(F810&lt;&gt;"Y",0,((SUMIF(Products!$E$5:$E$300,A810,Products!$K$5:$K$300)+SUMIF(RM_Lots!$A$5:$A$400,A810,RM_Lots!$F$5:$F$400))+IF(W810="Y",SUMIF(Products!$E$5:$E$300,A810,Products!$L$5:$L$300),0))*(1+N(V810)))</f>
        <v>0</v>
      </c>
      <c r="AC810" s="17" t="n">
        <f aca="false">IF(J810="",1,MAX(1,COUNTIFS($J$5:$J$863,J810,$F$5:$F$863,"Y")))</f>
        <v>1</v>
      </c>
      <c r="AD810" s="18" t="n">
        <f aca="false">(MAX(1,N(I810))*(P810+N(S810))+MAX(1,N(I810))*N(K810)/(MAX(1,N(U810))*AC810))*Settings!$B$9</f>
        <v>0</v>
      </c>
      <c r="AE810" s="18" t="n">
        <f aca="false">(MAX(1,N(I810))*N(Q810)+MAX(1,N(I810))*N(L810)/(MAX(1,N(U810))*AC810))*Settings!$B$8</f>
        <v>0</v>
      </c>
      <c r="AF810" s="18" t="n">
        <f aca="false">MAX(1,N(I810))*N(T810)</f>
        <v>0</v>
      </c>
      <c r="AG810" s="15" t="n">
        <f aca="false">AA810*N(AD810)</f>
        <v>0</v>
      </c>
      <c r="AH810" s="15" t="n">
        <f aca="false">AA810*N(AE810)</f>
        <v>0</v>
      </c>
      <c r="AI810" s="15" t="n">
        <f aca="false">AA810*N(AF810)</f>
        <v>0</v>
      </c>
      <c r="AJ810" s="15" t="n">
        <f aca="false">AA810*N(R810)</f>
        <v>0</v>
      </c>
      <c r="AK810" s="15" t="n">
        <f aca="false">AB810*N(AD810)</f>
        <v>0</v>
      </c>
      <c r="AL810" s="15" t="n">
        <f aca="false">AB810*N(AE810)</f>
        <v>0</v>
      </c>
      <c r="AM810" s="15" t="n">
        <f aca="false">AB810*N(AF810)</f>
        <v>0</v>
      </c>
      <c r="AN810" s="15" t="n">
        <f aca="false">AB810*N(R810)</f>
        <v>0</v>
      </c>
      <c r="AO810" s="21" t="str">
        <f aca="false">IF(F810&lt;&gt;"Y","n/a",IF(AND(N810&lt;&gt;"",OR(Q810&lt;&gt;"",G810="Other / bench",G810="None"),U810&lt;&gt;""),"OK","Missing"))</f>
        <v>n/a</v>
      </c>
    </row>
    <row r="811" customFormat="false" ht="15" hidden="false" customHeight="false" outlineLevel="0" collapsed="false">
      <c r="A811" s="16"/>
      <c r="B811" s="16"/>
      <c r="C811" s="16"/>
      <c r="D811" s="16"/>
      <c r="E811" s="21" t="str">
        <f aca="false">IF(A811="","",A811&amp;"|"&amp;D811)</f>
        <v/>
      </c>
      <c r="F811" s="16"/>
      <c r="G811" s="16"/>
      <c r="H811" s="16"/>
      <c r="I811" s="16"/>
      <c r="J811" s="16"/>
      <c r="K811" s="14"/>
      <c r="L811" s="14"/>
      <c r="M811" s="14"/>
      <c r="N811" s="14"/>
      <c r="O811" s="14"/>
      <c r="P811" s="18" t="n">
        <f aca="false">IF(N811="",0,IF(OR(M811="",O811=""),N811,(M811+4*N811+O811)/6))</f>
        <v>0</v>
      </c>
      <c r="Q811" s="14"/>
      <c r="R811" s="14"/>
      <c r="S811" s="14"/>
      <c r="T811" s="14"/>
      <c r="U811" s="16"/>
      <c r="V811" s="13"/>
      <c r="W811" s="16"/>
      <c r="X811" s="16"/>
      <c r="Y811" s="16"/>
      <c r="Z811" s="16"/>
      <c r="AA811" s="22" t="n">
        <f aca="false">IF(F811&lt;&gt;"Y",0,((SUMIF(Products!$E$5:$E$300,A811,Products!$F$5:$F$300)+SUMIF(RM_Lots!$A$5:$A$400,A811,RM_Lots!$D$5:$D$400))+IF(W811="Y",SUMIF(Products!$E$5:$E$300,A811,Products!$G$5:$G$300),0))*(1+N(V811)))</f>
        <v>0</v>
      </c>
      <c r="AB811" s="22" t="n">
        <f aca="false">IF(F811&lt;&gt;"Y",0,((SUMIF(Products!$E$5:$E$300,A811,Products!$K$5:$K$300)+SUMIF(RM_Lots!$A$5:$A$400,A811,RM_Lots!$F$5:$F$400))+IF(W811="Y",SUMIF(Products!$E$5:$E$300,A811,Products!$L$5:$L$300),0))*(1+N(V811)))</f>
        <v>0</v>
      </c>
      <c r="AC811" s="17" t="n">
        <f aca="false">IF(J811="",1,MAX(1,COUNTIFS($J$5:$J$863,J811,$F$5:$F$863,"Y")))</f>
        <v>1</v>
      </c>
      <c r="AD811" s="18" t="n">
        <f aca="false">(MAX(1,N(I811))*(P811+N(S811))+MAX(1,N(I811))*N(K811)/(MAX(1,N(U811))*AC811))*Settings!$B$9</f>
        <v>0</v>
      </c>
      <c r="AE811" s="18" t="n">
        <f aca="false">(MAX(1,N(I811))*N(Q811)+MAX(1,N(I811))*N(L811)/(MAX(1,N(U811))*AC811))*Settings!$B$8</f>
        <v>0</v>
      </c>
      <c r="AF811" s="18" t="n">
        <f aca="false">MAX(1,N(I811))*N(T811)</f>
        <v>0</v>
      </c>
      <c r="AG811" s="15" t="n">
        <f aca="false">AA811*N(AD811)</f>
        <v>0</v>
      </c>
      <c r="AH811" s="15" t="n">
        <f aca="false">AA811*N(AE811)</f>
        <v>0</v>
      </c>
      <c r="AI811" s="15" t="n">
        <f aca="false">AA811*N(AF811)</f>
        <v>0</v>
      </c>
      <c r="AJ811" s="15" t="n">
        <f aca="false">AA811*N(R811)</f>
        <v>0</v>
      </c>
      <c r="AK811" s="15" t="n">
        <f aca="false">AB811*N(AD811)</f>
        <v>0</v>
      </c>
      <c r="AL811" s="15" t="n">
        <f aca="false">AB811*N(AE811)</f>
        <v>0</v>
      </c>
      <c r="AM811" s="15" t="n">
        <f aca="false">AB811*N(AF811)</f>
        <v>0</v>
      </c>
      <c r="AN811" s="15" t="n">
        <f aca="false">AB811*N(R811)</f>
        <v>0</v>
      </c>
      <c r="AO811" s="21" t="str">
        <f aca="false">IF(F811&lt;&gt;"Y","n/a",IF(AND(N811&lt;&gt;"",OR(Q811&lt;&gt;"",G811="Other / bench",G811="None"),U811&lt;&gt;""),"OK","Missing"))</f>
        <v>n/a</v>
      </c>
    </row>
    <row r="812" customFormat="false" ht="15" hidden="false" customHeight="false" outlineLevel="0" collapsed="false">
      <c r="A812" s="16"/>
      <c r="B812" s="16"/>
      <c r="C812" s="16"/>
      <c r="D812" s="16"/>
      <c r="E812" s="21" t="str">
        <f aca="false">IF(A812="","",A812&amp;"|"&amp;D812)</f>
        <v/>
      </c>
      <c r="F812" s="16"/>
      <c r="G812" s="16"/>
      <c r="H812" s="16"/>
      <c r="I812" s="16"/>
      <c r="J812" s="16"/>
      <c r="K812" s="14"/>
      <c r="L812" s="14"/>
      <c r="M812" s="14"/>
      <c r="N812" s="14"/>
      <c r="O812" s="14"/>
      <c r="P812" s="18" t="n">
        <f aca="false">IF(N812="",0,IF(OR(M812="",O812=""),N812,(M812+4*N812+O812)/6))</f>
        <v>0</v>
      </c>
      <c r="Q812" s="14"/>
      <c r="R812" s="14"/>
      <c r="S812" s="14"/>
      <c r="T812" s="14"/>
      <c r="U812" s="16"/>
      <c r="V812" s="13"/>
      <c r="W812" s="16"/>
      <c r="X812" s="16"/>
      <c r="Y812" s="16"/>
      <c r="Z812" s="16"/>
      <c r="AA812" s="22" t="n">
        <f aca="false">IF(F812&lt;&gt;"Y",0,((SUMIF(Products!$E$5:$E$300,A812,Products!$F$5:$F$300)+SUMIF(RM_Lots!$A$5:$A$400,A812,RM_Lots!$D$5:$D$400))+IF(W812="Y",SUMIF(Products!$E$5:$E$300,A812,Products!$G$5:$G$300),0))*(1+N(V812)))</f>
        <v>0</v>
      </c>
      <c r="AB812" s="22" t="n">
        <f aca="false">IF(F812&lt;&gt;"Y",0,((SUMIF(Products!$E$5:$E$300,A812,Products!$K$5:$K$300)+SUMIF(RM_Lots!$A$5:$A$400,A812,RM_Lots!$F$5:$F$400))+IF(W812="Y",SUMIF(Products!$E$5:$E$300,A812,Products!$L$5:$L$300),0))*(1+N(V812)))</f>
        <v>0</v>
      </c>
      <c r="AC812" s="17" t="n">
        <f aca="false">IF(J812="",1,MAX(1,COUNTIFS($J$5:$J$863,J812,$F$5:$F$863,"Y")))</f>
        <v>1</v>
      </c>
      <c r="AD812" s="18" t="n">
        <f aca="false">(MAX(1,N(I812))*(P812+N(S812))+MAX(1,N(I812))*N(K812)/(MAX(1,N(U812))*AC812))*Settings!$B$9</f>
        <v>0</v>
      </c>
      <c r="AE812" s="18" t="n">
        <f aca="false">(MAX(1,N(I812))*N(Q812)+MAX(1,N(I812))*N(L812)/(MAX(1,N(U812))*AC812))*Settings!$B$8</f>
        <v>0</v>
      </c>
      <c r="AF812" s="18" t="n">
        <f aca="false">MAX(1,N(I812))*N(T812)</f>
        <v>0</v>
      </c>
      <c r="AG812" s="15" t="n">
        <f aca="false">AA812*N(AD812)</f>
        <v>0</v>
      </c>
      <c r="AH812" s="15" t="n">
        <f aca="false">AA812*N(AE812)</f>
        <v>0</v>
      </c>
      <c r="AI812" s="15" t="n">
        <f aca="false">AA812*N(AF812)</f>
        <v>0</v>
      </c>
      <c r="AJ812" s="15" t="n">
        <f aca="false">AA812*N(R812)</f>
        <v>0</v>
      </c>
      <c r="AK812" s="15" t="n">
        <f aca="false">AB812*N(AD812)</f>
        <v>0</v>
      </c>
      <c r="AL812" s="15" t="n">
        <f aca="false">AB812*N(AE812)</f>
        <v>0</v>
      </c>
      <c r="AM812" s="15" t="n">
        <f aca="false">AB812*N(AF812)</f>
        <v>0</v>
      </c>
      <c r="AN812" s="15" t="n">
        <f aca="false">AB812*N(R812)</f>
        <v>0</v>
      </c>
      <c r="AO812" s="21" t="str">
        <f aca="false">IF(F812&lt;&gt;"Y","n/a",IF(AND(N812&lt;&gt;"",OR(Q812&lt;&gt;"",G812="Other / bench",G812="None"),U812&lt;&gt;""),"OK","Missing"))</f>
        <v>n/a</v>
      </c>
    </row>
    <row r="813" customFormat="false" ht="15" hidden="false" customHeight="false" outlineLevel="0" collapsed="false">
      <c r="A813" s="16"/>
      <c r="B813" s="16"/>
      <c r="C813" s="16"/>
      <c r="D813" s="16"/>
      <c r="E813" s="21" t="str">
        <f aca="false">IF(A813="","",A813&amp;"|"&amp;D813)</f>
        <v/>
      </c>
      <c r="F813" s="16"/>
      <c r="G813" s="16"/>
      <c r="H813" s="16"/>
      <c r="I813" s="16"/>
      <c r="J813" s="16"/>
      <c r="K813" s="14"/>
      <c r="L813" s="14"/>
      <c r="M813" s="14"/>
      <c r="N813" s="14"/>
      <c r="O813" s="14"/>
      <c r="P813" s="18" t="n">
        <f aca="false">IF(N813="",0,IF(OR(M813="",O813=""),N813,(M813+4*N813+O813)/6))</f>
        <v>0</v>
      </c>
      <c r="Q813" s="14"/>
      <c r="R813" s="14"/>
      <c r="S813" s="14"/>
      <c r="T813" s="14"/>
      <c r="U813" s="16"/>
      <c r="V813" s="13"/>
      <c r="W813" s="16"/>
      <c r="X813" s="16"/>
      <c r="Y813" s="16"/>
      <c r="Z813" s="16"/>
      <c r="AA813" s="22" t="n">
        <f aca="false">IF(F813&lt;&gt;"Y",0,((SUMIF(Products!$E$5:$E$300,A813,Products!$F$5:$F$300)+SUMIF(RM_Lots!$A$5:$A$400,A813,RM_Lots!$D$5:$D$400))+IF(W813="Y",SUMIF(Products!$E$5:$E$300,A813,Products!$G$5:$G$300),0))*(1+N(V813)))</f>
        <v>0</v>
      </c>
      <c r="AB813" s="22" t="n">
        <f aca="false">IF(F813&lt;&gt;"Y",0,((SUMIF(Products!$E$5:$E$300,A813,Products!$K$5:$K$300)+SUMIF(RM_Lots!$A$5:$A$400,A813,RM_Lots!$F$5:$F$400))+IF(W813="Y",SUMIF(Products!$E$5:$E$300,A813,Products!$L$5:$L$300),0))*(1+N(V813)))</f>
        <v>0</v>
      </c>
      <c r="AC813" s="17" t="n">
        <f aca="false">IF(J813="",1,MAX(1,COUNTIFS($J$5:$J$863,J813,$F$5:$F$863,"Y")))</f>
        <v>1</v>
      </c>
      <c r="AD813" s="18" t="n">
        <f aca="false">(MAX(1,N(I813))*(P813+N(S813))+MAX(1,N(I813))*N(K813)/(MAX(1,N(U813))*AC813))*Settings!$B$9</f>
        <v>0</v>
      </c>
      <c r="AE813" s="18" t="n">
        <f aca="false">(MAX(1,N(I813))*N(Q813)+MAX(1,N(I813))*N(L813)/(MAX(1,N(U813))*AC813))*Settings!$B$8</f>
        <v>0</v>
      </c>
      <c r="AF813" s="18" t="n">
        <f aca="false">MAX(1,N(I813))*N(T813)</f>
        <v>0</v>
      </c>
      <c r="AG813" s="15" t="n">
        <f aca="false">AA813*N(AD813)</f>
        <v>0</v>
      </c>
      <c r="AH813" s="15" t="n">
        <f aca="false">AA813*N(AE813)</f>
        <v>0</v>
      </c>
      <c r="AI813" s="15" t="n">
        <f aca="false">AA813*N(AF813)</f>
        <v>0</v>
      </c>
      <c r="AJ813" s="15" t="n">
        <f aca="false">AA813*N(R813)</f>
        <v>0</v>
      </c>
      <c r="AK813" s="15" t="n">
        <f aca="false">AB813*N(AD813)</f>
        <v>0</v>
      </c>
      <c r="AL813" s="15" t="n">
        <f aca="false">AB813*N(AE813)</f>
        <v>0</v>
      </c>
      <c r="AM813" s="15" t="n">
        <f aca="false">AB813*N(AF813)</f>
        <v>0</v>
      </c>
      <c r="AN813" s="15" t="n">
        <f aca="false">AB813*N(R813)</f>
        <v>0</v>
      </c>
      <c r="AO813" s="21" t="str">
        <f aca="false">IF(F813&lt;&gt;"Y","n/a",IF(AND(N813&lt;&gt;"",OR(Q813&lt;&gt;"",G813="Other / bench",G813="None"),U813&lt;&gt;""),"OK","Missing"))</f>
        <v>n/a</v>
      </c>
    </row>
    <row r="814" customFormat="false" ht="15" hidden="false" customHeight="false" outlineLevel="0" collapsed="false">
      <c r="A814" s="16"/>
      <c r="B814" s="16"/>
      <c r="C814" s="16"/>
      <c r="D814" s="16"/>
      <c r="E814" s="21" t="str">
        <f aca="false">IF(A814="","",A814&amp;"|"&amp;D814)</f>
        <v/>
      </c>
      <c r="F814" s="16"/>
      <c r="G814" s="16"/>
      <c r="H814" s="16"/>
      <c r="I814" s="16"/>
      <c r="J814" s="16"/>
      <c r="K814" s="14"/>
      <c r="L814" s="14"/>
      <c r="M814" s="14"/>
      <c r="N814" s="14"/>
      <c r="O814" s="14"/>
      <c r="P814" s="18" t="n">
        <f aca="false">IF(N814="",0,IF(OR(M814="",O814=""),N814,(M814+4*N814+O814)/6))</f>
        <v>0</v>
      </c>
      <c r="Q814" s="14"/>
      <c r="R814" s="14"/>
      <c r="S814" s="14"/>
      <c r="T814" s="14"/>
      <c r="U814" s="16"/>
      <c r="V814" s="13"/>
      <c r="W814" s="16"/>
      <c r="X814" s="16"/>
      <c r="Y814" s="16"/>
      <c r="Z814" s="16"/>
      <c r="AA814" s="22" t="n">
        <f aca="false">IF(F814&lt;&gt;"Y",0,((SUMIF(Products!$E$5:$E$300,A814,Products!$F$5:$F$300)+SUMIF(RM_Lots!$A$5:$A$400,A814,RM_Lots!$D$5:$D$400))+IF(W814="Y",SUMIF(Products!$E$5:$E$300,A814,Products!$G$5:$G$300),0))*(1+N(V814)))</f>
        <v>0</v>
      </c>
      <c r="AB814" s="22" t="n">
        <f aca="false">IF(F814&lt;&gt;"Y",0,((SUMIF(Products!$E$5:$E$300,A814,Products!$K$5:$K$300)+SUMIF(RM_Lots!$A$5:$A$400,A814,RM_Lots!$F$5:$F$400))+IF(W814="Y",SUMIF(Products!$E$5:$E$300,A814,Products!$L$5:$L$300),0))*(1+N(V814)))</f>
        <v>0</v>
      </c>
      <c r="AC814" s="17" t="n">
        <f aca="false">IF(J814="",1,MAX(1,COUNTIFS($J$5:$J$863,J814,$F$5:$F$863,"Y")))</f>
        <v>1</v>
      </c>
      <c r="AD814" s="18" t="n">
        <f aca="false">(MAX(1,N(I814))*(P814+N(S814))+MAX(1,N(I814))*N(K814)/(MAX(1,N(U814))*AC814))*Settings!$B$9</f>
        <v>0</v>
      </c>
      <c r="AE814" s="18" t="n">
        <f aca="false">(MAX(1,N(I814))*N(Q814)+MAX(1,N(I814))*N(L814)/(MAX(1,N(U814))*AC814))*Settings!$B$8</f>
        <v>0</v>
      </c>
      <c r="AF814" s="18" t="n">
        <f aca="false">MAX(1,N(I814))*N(T814)</f>
        <v>0</v>
      </c>
      <c r="AG814" s="15" t="n">
        <f aca="false">AA814*N(AD814)</f>
        <v>0</v>
      </c>
      <c r="AH814" s="15" t="n">
        <f aca="false">AA814*N(AE814)</f>
        <v>0</v>
      </c>
      <c r="AI814" s="15" t="n">
        <f aca="false">AA814*N(AF814)</f>
        <v>0</v>
      </c>
      <c r="AJ814" s="15" t="n">
        <f aca="false">AA814*N(R814)</f>
        <v>0</v>
      </c>
      <c r="AK814" s="15" t="n">
        <f aca="false">AB814*N(AD814)</f>
        <v>0</v>
      </c>
      <c r="AL814" s="15" t="n">
        <f aca="false">AB814*N(AE814)</f>
        <v>0</v>
      </c>
      <c r="AM814" s="15" t="n">
        <f aca="false">AB814*N(AF814)</f>
        <v>0</v>
      </c>
      <c r="AN814" s="15" t="n">
        <f aca="false">AB814*N(R814)</f>
        <v>0</v>
      </c>
      <c r="AO814" s="21" t="str">
        <f aca="false">IF(F814&lt;&gt;"Y","n/a",IF(AND(N814&lt;&gt;"",OR(Q814&lt;&gt;"",G814="Other / bench",G814="None"),U814&lt;&gt;""),"OK","Missing"))</f>
        <v>n/a</v>
      </c>
    </row>
    <row r="815" customFormat="false" ht="15" hidden="false" customHeight="false" outlineLevel="0" collapsed="false">
      <c r="A815" s="16"/>
      <c r="B815" s="16"/>
      <c r="C815" s="16"/>
      <c r="D815" s="16"/>
      <c r="E815" s="21" t="str">
        <f aca="false">IF(A815="","",A815&amp;"|"&amp;D815)</f>
        <v/>
      </c>
      <c r="F815" s="16"/>
      <c r="G815" s="16"/>
      <c r="H815" s="16"/>
      <c r="I815" s="16"/>
      <c r="J815" s="16"/>
      <c r="K815" s="14"/>
      <c r="L815" s="14"/>
      <c r="M815" s="14"/>
      <c r="N815" s="14"/>
      <c r="O815" s="14"/>
      <c r="P815" s="18" t="n">
        <f aca="false">IF(N815="",0,IF(OR(M815="",O815=""),N815,(M815+4*N815+O815)/6))</f>
        <v>0</v>
      </c>
      <c r="Q815" s="14"/>
      <c r="R815" s="14"/>
      <c r="S815" s="14"/>
      <c r="T815" s="14"/>
      <c r="U815" s="16"/>
      <c r="V815" s="13"/>
      <c r="W815" s="16"/>
      <c r="X815" s="16"/>
      <c r="Y815" s="16"/>
      <c r="Z815" s="16"/>
      <c r="AA815" s="22" t="n">
        <f aca="false">IF(F815&lt;&gt;"Y",0,((SUMIF(Products!$E$5:$E$300,A815,Products!$F$5:$F$300)+SUMIF(RM_Lots!$A$5:$A$400,A815,RM_Lots!$D$5:$D$400))+IF(W815="Y",SUMIF(Products!$E$5:$E$300,A815,Products!$G$5:$G$300),0))*(1+N(V815)))</f>
        <v>0</v>
      </c>
      <c r="AB815" s="22" t="n">
        <f aca="false">IF(F815&lt;&gt;"Y",0,((SUMIF(Products!$E$5:$E$300,A815,Products!$K$5:$K$300)+SUMIF(RM_Lots!$A$5:$A$400,A815,RM_Lots!$F$5:$F$400))+IF(W815="Y",SUMIF(Products!$E$5:$E$300,A815,Products!$L$5:$L$300),0))*(1+N(V815)))</f>
        <v>0</v>
      </c>
      <c r="AC815" s="17" t="n">
        <f aca="false">IF(J815="",1,MAX(1,COUNTIFS($J$5:$J$863,J815,$F$5:$F$863,"Y")))</f>
        <v>1</v>
      </c>
      <c r="AD815" s="18" t="n">
        <f aca="false">(MAX(1,N(I815))*(P815+N(S815))+MAX(1,N(I815))*N(K815)/(MAX(1,N(U815))*AC815))*Settings!$B$9</f>
        <v>0</v>
      </c>
      <c r="AE815" s="18" t="n">
        <f aca="false">(MAX(1,N(I815))*N(Q815)+MAX(1,N(I815))*N(L815)/(MAX(1,N(U815))*AC815))*Settings!$B$8</f>
        <v>0</v>
      </c>
      <c r="AF815" s="18" t="n">
        <f aca="false">MAX(1,N(I815))*N(T815)</f>
        <v>0</v>
      </c>
      <c r="AG815" s="15" t="n">
        <f aca="false">AA815*N(AD815)</f>
        <v>0</v>
      </c>
      <c r="AH815" s="15" t="n">
        <f aca="false">AA815*N(AE815)</f>
        <v>0</v>
      </c>
      <c r="AI815" s="15" t="n">
        <f aca="false">AA815*N(AF815)</f>
        <v>0</v>
      </c>
      <c r="AJ815" s="15" t="n">
        <f aca="false">AA815*N(R815)</f>
        <v>0</v>
      </c>
      <c r="AK815" s="15" t="n">
        <f aca="false">AB815*N(AD815)</f>
        <v>0</v>
      </c>
      <c r="AL815" s="15" t="n">
        <f aca="false">AB815*N(AE815)</f>
        <v>0</v>
      </c>
      <c r="AM815" s="15" t="n">
        <f aca="false">AB815*N(AF815)</f>
        <v>0</v>
      </c>
      <c r="AN815" s="15" t="n">
        <f aca="false">AB815*N(R815)</f>
        <v>0</v>
      </c>
      <c r="AO815" s="21" t="str">
        <f aca="false">IF(F815&lt;&gt;"Y","n/a",IF(AND(N815&lt;&gt;"",OR(Q815&lt;&gt;"",G815="Other / bench",G815="None"),U815&lt;&gt;""),"OK","Missing"))</f>
        <v>n/a</v>
      </c>
    </row>
    <row r="816" customFormat="false" ht="15" hidden="false" customHeight="false" outlineLevel="0" collapsed="false">
      <c r="A816" s="16"/>
      <c r="B816" s="16"/>
      <c r="C816" s="16"/>
      <c r="D816" s="16"/>
      <c r="E816" s="21" t="str">
        <f aca="false">IF(A816="","",A816&amp;"|"&amp;D816)</f>
        <v/>
      </c>
      <c r="F816" s="16"/>
      <c r="G816" s="16"/>
      <c r="H816" s="16"/>
      <c r="I816" s="16"/>
      <c r="J816" s="16"/>
      <c r="K816" s="14"/>
      <c r="L816" s="14"/>
      <c r="M816" s="14"/>
      <c r="N816" s="14"/>
      <c r="O816" s="14"/>
      <c r="P816" s="18" t="n">
        <f aca="false">IF(N816="",0,IF(OR(M816="",O816=""),N816,(M816+4*N816+O816)/6))</f>
        <v>0</v>
      </c>
      <c r="Q816" s="14"/>
      <c r="R816" s="14"/>
      <c r="S816" s="14"/>
      <c r="T816" s="14"/>
      <c r="U816" s="16"/>
      <c r="V816" s="13"/>
      <c r="W816" s="16"/>
      <c r="X816" s="16"/>
      <c r="Y816" s="16"/>
      <c r="Z816" s="16"/>
      <c r="AA816" s="22" t="n">
        <f aca="false">IF(F816&lt;&gt;"Y",0,((SUMIF(Products!$E$5:$E$300,A816,Products!$F$5:$F$300)+SUMIF(RM_Lots!$A$5:$A$400,A816,RM_Lots!$D$5:$D$400))+IF(W816="Y",SUMIF(Products!$E$5:$E$300,A816,Products!$G$5:$G$300),0))*(1+N(V816)))</f>
        <v>0</v>
      </c>
      <c r="AB816" s="22" t="n">
        <f aca="false">IF(F816&lt;&gt;"Y",0,((SUMIF(Products!$E$5:$E$300,A816,Products!$K$5:$K$300)+SUMIF(RM_Lots!$A$5:$A$400,A816,RM_Lots!$F$5:$F$400))+IF(W816="Y",SUMIF(Products!$E$5:$E$300,A816,Products!$L$5:$L$300),0))*(1+N(V816)))</f>
        <v>0</v>
      </c>
      <c r="AC816" s="17" t="n">
        <f aca="false">IF(J816="",1,MAX(1,COUNTIFS($J$5:$J$863,J816,$F$5:$F$863,"Y")))</f>
        <v>1</v>
      </c>
      <c r="AD816" s="18" t="n">
        <f aca="false">(MAX(1,N(I816))*(P816+N(S816))+MAX(1,N(I816))*N(K816)/(MAX(1,N(U816))*AC816))*Settings!$B$9</f>
        <v>0</v>
      </c>
      <c r="AE816" s="18" t="n">
        <f aca="false">(MAX(1,N(I816))*N(Q816)+MAX(1,N(I816))*N(L816)/(MAX(1,N(U816))*AC816))*Settings!$B$8</f>
        <v>0</v>
      </c>
      <c r="AF816" s="18" t="n">
        <f aca="false">MAX(1,N(I816))*N(T816)</f>
        <v>0</v>
      </c>
      <c r="AG816" s="15" t="n">
        <f aca="false">AA816*N(AD816)</f>
        <v>0</v>
      </c>
      <c r="AH816" s="15" t="n">
        <f aca="false">AA816*N(AE816)</f>
        <v>0</v>
      </c>
      <c r="AI816" s="15" t="n">
        <f aca="false">AA816*N(AF816)</f>
        <v>0</v>
      </c>
      <c r="AJ816" s="15" t="n">
        <f aca="false">AA816*N(R816)</f>
        <v>0</v>
      </c>
      <c r="AK816" s="15" t="n">
        <f aca="false">AB816*N(AD816)</f>
        <v>0</v>
      </c>
      <c r="AL816" s="15" t="n">
        <f aca="false">AB816*N(AE816)</f>
        <v>0</v>
      </c>
      <c r="AM816" s="15" t="n">
        <f aca="false">AB816*N(AF816)</f>
        <v>0</v>
      </c>
      <c r="AN816" s="15" t="n">
        <f aca="false">AB816*N(R816)</f>
        <v>0</v>
      </c>
      <c r="AO816" s="21" t="str">
        <f aca="false">IF(F816&lt;&gt;"Y","n/a",IF(AND(N816&lt;&gt;"",OR(Q816&lt;&gt;"",G816="Other / bench",G816="None"),U816&lt;&gt;""),"OK","Missing"))</f>
        <v>n/a</v>
      </c>
    </row>
    <row r="817" customFormat="false" ht="15" hidden="false" customHeight="false" outlineLevel="0" collapsed="false">
      <c r="A817" s="16"/>
      <c r="B817" s="16"/>
      <c r="C817" s="16"/>
      <c r="D817" s="16"/>
      <c r="E817" s="21" t="str">
        <f aca="false">IF(A817="","",A817&amp;"|"&amp;D817)</f>
        <v/>
      </c>
      <c r="F817" s="16"/>
      <c r="G817" s="16"/>
      <c r="H817" s="16"/>
      <c r="I817" s="16"/>
      <c r="J817" s="16"/>
      <c r="K817" s="14"/>
      <c r="L817" s="14"/>
      <c r="M817" s="14"/>
      <c r="N817" s="14"/>
      <c r="O817" s="14"/>
      <c r="P817" s="18" t="n">
        <f aca="false">IF(N817="",0,IF(OR(M817="",O817=""),N817,(M817+4*N817+O817)/6))</f>
        <v>0</v>
      </c>
      <c r="Q817" s="14"/>
      <c r="R817" s="14"/>
      <c r="S817" s="14"/>
      <c r="T817" s="14"/>
      <c r="U817" s="16"/>
      <c r="V817" s="13"/>
      <c r="W817" s="16"/>
      <c r="X817" s="16"/>
      <c r="Y817" s="16"/>
      <c r="Z817" s="16"/>
      <c r="AA817" s="22" t="n">
        <f aca="false">IF(F817&lt;&gt;"Y",0,((SUMIF(Products!$E$5:$E$300,A817,Products!$F$5:$F$300)+SUMIF(RM_Lots!$A$5:$A$400,A817,RM_Lots!$D$5:$D$400))+IF(W817="Y",SUMIF(Products!$E$5:$E$300,A817,Products!$G$5:$G$300),0))*(1+N(V817)))</f>
        <v>0</v>
      </c>
      <c r="AB817" s="22" t="n">
        <f aca="false">IF(F817&lt;&gt;"Y",0,((SUMIF(Products!$E$5:$E$300,A817,Products!$K$5:$K$300)+SUMIF(RM_Lots!$A$5:$A$400,A817,RM_Lots!$F$5:$F$400))+IF(W817="Y",SUMIF(Products!$E$5:$E$300,A817,Products!$L$5:$L$300),0))*(1+N(V817)))</f>
        <v>0</v>
      </c>
      <c r="AC817" s="17" t="n">
        <f aca="false">IF(J817="",1,MAX(1,COUNTIFS($J$5:$J$863,J817,$F$5:$F$863,"Y")))</f>
        <v>1</v>
      </c>
      <c r="AD817" s="18" t="n">
        <f aca="false">(MAX(1,N(I817))*(P817+N(S817))+MAX(1,N(I817))*N(K817)/(MAX(1,N(U817))*AC817))*Settings!$B$9</f>
        <v>0</v>
      </c>
      <c r="AE817" s="18" t="n">
        <f aca="false">(MAX(1,N(I817))*N(Q817)+MAX(1,N(I817))*N(L817)/(MAX(1,N(U817))*AC817))*Settings!$B$8</f>
        <v>0</v>
      </c>
      <c r="AF817" s="18" t="n">
        <f aca="false">MAX(1,N(I817))*N(T817)</f>
        <v>0</v>
      </c>
      <c r="AG817" s="15" t="n">
        <f aca="false">AA817*N(AD817)</f>
        <v>0</v>
      </c>
      <c r="AH817" s="15" t="n">
        <f aca="false">AA817*N(AE817)</f>
        <v>0</v>
      </c>
      <c r="AI817" s="15" t="n">
        <f aca="false">AA817*N(AF817)</f>
        <v>0</v>
      </c>
      <c r="AJ817" s="15" t="n">
        <f aca="false">AA817*N(R817)</f>
        <v>0</v>
      </c>
      <c r="AK817" s="15" t="n">
        <f aca="false">AB817*N(AD817)</f>
        <v>0</v>
      </c>
      <c r="AL817" s="15" t="n">
        <f aca="false">AB817*N(AE817)</f>
        <v>0</v>
      </c>
      <c r="AM817" s="15" t="n">
        <f aca="false">AB817*N(AF817)</f>
        <v>0</v>
      </c>
      <c r="AN817" s="15" t="n">
        <f aca="false">AB817*N(R817)</f>
        <v>0</v>
      </c>
      <c r="AO817" s="21" t="str">
        <f aca="false">IF(F817&lt;&gt;"Y","n/a",IF(AND(N817&lt;&gt;"",OR(Q817&lt;&gt;"",G817="Other / bench",G817="None"),U817&lt;&gt;""),"OK","Missing"))</f>
        <v>n/a</v>
      </c>
    </row>
    <row r="818" customFormat="false" ht="15" hidden="false" customHeight="false" outlineLevel="0" collapsed="false">
      <c r="A818" s="16"/>
      <c r="B818" s="16"/>
      <c r="C818" s="16"/>
      <c r="D818" s="16"/>
      <c r="E818" s="21" t="str">
        <f aca="false">IF(A818="","",A818&amp;"|"&amp;D818)</f>
        <v/>
      </c>
      <c r="F818" s="16"/>
      <c r="G818" s="16"/>
      <c r="H818" s="16"/>
      <c r="I818" s="16"/>
      <c r="J818" s="16"/>
      <c r="K818" s="14"/>
      <c r="L818" s="14"/>
      <c r="M818" s="14"/>
      <c r="N818" s="14"/>
      <c r="O818" s="14"/>
      <c r="P818" s="18" t="n">
        <f aca="false">IF(N818="",0,IF(OR(M818="",O818=""),N818,(M818+4*N818+O818)/6))</f>
        <v>0</v>
      </c>
      <c r="Q818" s="14"/>
      <c r="R818" s="14"/>
      <c r="S818" s="14"/>
      <c r="T818" s="14"/>
      <c r="U818" s="16"/>
      <c r="V818" s="13"/>
      <c r="W818" s="16"/>
      <c r="X818" s="16"/>
      <c r="Y818" s="16"/>
      <c r="Z818" s="16"/>
      <c r="AA818" s="22" t="n">
        <f aca="false">IF(F818&lt;&gt;"Y",0,((SUMIF(Products!$E$5:$E$300,A818,Products!$F$5:$F$300)+SUMIF(RM_Lots!$A$5:$A$400,A818,RM_Lots!$D$5:$D$400))+IF(W818="Y",SUMIF(Products!$E$5:$E$300,A818,Products!$G$5:$G$300),0))*(1+N(V818)))</f>
        <v>0</v>
      </c>
      <c r="AB818" s="22" t="n">
        <f aca="false">IF(F818&lt;&gt;"Y",0,((SUMIF(Products!$E$5:$E$300,A818,Products!$K$5:$K$300)+SUMIF(RM_Lots!$A$5:$A$400,A818,RM_Lots!$F$5:$F$400))+IF(W818="Y",SUMIF(Products!$E$5:$E$300,A818,Products!$L$5:$L$300),0))*(1+N(V818)))</f>
        <v>0</v>
      </c>
      <c r="AC818" s="17" t="n">
        <f aca="false">IF(J818="",1,MAX(1,COUNTIFS($J$5:$J$863,J818,$F$5:$F$863,"Y")))</f>
        <v>1</v>
      </c>
      <c r="AD818" s="18" t="n">
        <f aca="false">(MAX(1,N(I818))*(P818+N(S818))+MAX(1,N(I818))*N(K818)/(MAX(1,N(U818))*AC818))*Settings!$B$9</f>
        <v>0</v>
      </c>
      <c r="AE818" s="18" t="n">
        <f aca="false">(MAX(1,N(I818))*N(Q818)+MAX(1,N(I818))*N(L818)/(MAX(1,N(U818))*AC818))*Settings!$B$8</f>
        <v>0</v>
      </c>
      <c r="AF818" s="18" t="n">
        <f aca="false">MAX(1,N(I818))*N(T818)</f>
        <v>0</v>
      </c>
      <c r="AG818" s="15" t="n">
        <f aca="false">AA818*N(AD818)</f>
        <v>0</v>
      </c>
      <c r="AH818" s="15" t="n">
        <f aca="false">AA818*N(AE818)</f>
        <v>0</v>
      </c>
      <c r="AI818" s="15" t="n">
        <f aca="false">AA818*N(AF818)</f>
        <v>0</v>
      </c>
      <c r="AJ818" s="15" t="n">
        <f aca="false">AA818*N(R818)</f>
        <v>0</v>
      </c>
      <c r="AK818" s="15" t="n">
        <f aca="false">AB818*N(AD818)</f>
        <v>0</v>
      </c>
      <c r="AL818" s="15" t="n">
        <f aca="false">AB818*N(AE818)</f>
        <v>0</v>
      </c>
      <c r="AM818" s="15" t="n">
        <f aca="false">AB818*N(AF818)</f>
        <v>0</v>
      </c>
      <c r="AN818" s="15" t="n">
        <f aca="false">AB818*N(R818)</f>
        <v>0</v>
      </c>
      <c r="AO818" s="21" t="str">
        <f aca="false">IF(F818&lt;&gt;"Y","n/a",IF(AND(N818&lt;&gt;"",OR(Q818&lt;&gt;"",G818="Other / bench",G818="None"),U818&lt;&gt;""),"OK","Missing"))</f>
        <v>n/a</v>
      </c>
    </row>
    <row r="819" customFormat="false" ht="15" hidden="false" customHeight="false" outlineLevel="0" collapsed="false">
      <c r="A819" s="16"/>
      <c r="B819" s="16"/>
      <c r="C819" s="16"/>
      <c r="D819" s="16"/>
      <c r="E819" s="21" t="str">
        <f aca="false">IF(A819="","",A819&amp;"|"&amp;D819)</f>
        <v/>
      </c>
      <c r="F819" s="16"/>
      <c r="G819" s="16"/>
      <c r="H819" s="16"/>
      <c r="I819" s="16"/>
      <c r="J819" s="16"/>
      <c r="K819" s="14"/>
      <c r="L819" s="14"/>
      <c r="M819" s="14"/>
      <c r="N819" s="14"/>
      <c r="O819" s="14"/>
      <c r="P819" s="18" t="n">
        <f aca="false">IF(N819="",0,IF(OR(M819="",O819=""),N819,(M819+4*N819+O819)/6))</f>
        <v>0</v>
      </c>
      <c r="Q819" s="14"/>
      <c r="R819" s="14"/>
      <c r="S819" s="14"/>
      <c r="T819" s="14"/>
      <c r="U819" s="16"/>
      <c r="V819" s="13"/>
      <c r="W819" s="16"/>
      <c r="X819" s="16"/>
      <c r="Y819" s="16"/>
      <c r="Z819" s="16"/>
      <c r="AA819" s="22" t="n">
        <f aca="false">IF(F819&lt;&gt;"Y",0,((SUMIF(Products!$E$5:$E$300,A819,Products!$F$5:$F$300)+SUMIF(RM_Lots!$A$5:$A$400,A819,RM_Lots!$D$5:$D$400))+IF(W819="Y",SUMIF(Products!$E$5:$E$300,A819,Products!$G$5:$G$300),0))*(1+N(V819)))</f>
        <v>0</v>
      </c>
      <c r="AB819" s="22" t="n">
        <f aca="false">IF(F819&lt;&gt;"Y",0,((SUMIF(Products!$E$5:$E$300,A819,Products!$K$5:$K$300)+SUMIF(RM_Lots!$A$5:$A$400,A819,RM_Lots!$F$5:$F$400))+IF(W819="Y",SUMIF(Products!$E$5:$E$300,A819,Products!$L$5:$L$300),0))*(1+N(V819)))</f>
        <v>0</v>
      </c>
      <c r="AC819" s="17" t="n">
        <f aca="false">IF(J819="",1,MAX(1,COUNTIFS($J$5:$J$863,J819,$F$5:$F$863,"Y")))</f>
        <v>1</v>
      </c>
      <c r="AD819" s="18" t="n">
        <f aca="false">(MAX(1,N(I819))*(P819+N(S819))+MAX(1,N(I819))*N(K819)/(MAX(1,N(U819))*AC819))*Settings!$B$9</f>
        <v>0</v>
      </c>
      <c r="AE819" s="18" t="n">
        <f aca="false">(MAX(1,N(I819))*N(Q819)+MAX(1,N(I819))*N(L819)/(MAX(1,N(U819))*AC819))*Settings!$B$8</f>
        <v>0</v>
      </c>
      <c r="AF819" s="18" t="n">
        <f aca="false">MAX(1,N(I819))*N(T819)</f>
        <v>0</v>
      </c>
      <c r="AG819" s="15" t="n">
        <f aca="false">AA819*N(AD819)</f>
        <v>0</v>
      </c>
      <c r="AH819" s="15" t="n">
        <f aca="false">AA819*N(AE819)</f>
        <v>0</v>
      </c>
      <c r="AI819" s="15" t="n">
        <f aca="false">AA819*N(AF819)</f>
        <v>0</v>
      </c>
      <c r="AJ819" s="15" t="n">
        <f aca="false">AA819*N(R819)</f>
        <v>0</v>
      </c>
      <c r="AK819" s="15" t="n">
        <f aca="false">AB819*N(AD819)</f>
        <v>0</v>
      </c>
      <c r="AL819" s="15" t="n">
        <f aca="false">AB819*N(AE819)</f>
        <v>0</v>
      </c>
      <c r="AM819" s="15" t="n">
        <f aca="false">AB819*N(AF819)</f>
        <v>0</v>
      </c>
      <c r="AN819" s="15" t="n">
        <f aca="false">AB819*N(R819)</f>
        <v>0</v>
      </c>
      <c r="AO819" s="21" t="str">
        <f aca="false">IF(F819&lt;&gt;"Y","n/a",IF(AND(N819&lt;&gt;"",OR(Q819&lt;&gt;"",G819="Other / bench",G819="None"),U819&lt;&gt;""),"OK","Missing"))</f>
        <v>n/a</v>
      </c>
    </row>
    <row r="820" customFormat="false" ht="15" hidden="false" customHeight="false" outlineLevel="0" collapsed="false">
      <c r="A820" s="16"/>
      <c r="B820" s="16"/>
      <c r="C820" s="16"/>
      <c r="D820" s="16"/>
      <c r="E820" s="21" t="str">
        <f aca="false">IF(A820="","",A820&amp;"|"&amp;D820)</f>
        <v/>
      </c>
      <c r="F820" s="16"/>
      <c r="G820" s="16"/>
      <c r="H820" s="16"/>
      <c r="I820" s="16"/>
      <c r="J820" s="16"/>
      <c r="K820" s="14"/>
      <c r="L820" s="14"/>
      <c r="M820" s="14"/>
      <c r="N820" s="14"/>
      <c r="O820" s="14"/>
      <c r="P820" s="18" t="n">
        <f aca="false">IF(N820="",0,IF(OR(M820="",O820=""),N820,(M820+4*N820+O820)/6))</f>
        <v>0</v>
      </c>
      <c r="Q820" s="14"/>
      <c r="R820" s="14"/>
      <c r="S820" s="14"/>
      <c r="T820" s="14"/>
      <c r="U820" s="16"/>
      <c r="V820" s="13"/>
      <c r="W820" s="16"/>
      <c r="X820" s="16"/>
      <c r="Y820" s="16"/>
      <c r="Z820" s="16"/>
      <c r="AA820" s="22" t="n">
        <f aca="false">IF(F820&lt;&gt;"Y",0,((SUMIF(Products!$E$5:$E$300,A820,Products!$F$5:$F$300)+SUMIF(RM_Lots!$A$5:$A$400,A820,RM_Lots!$D$5:$D$400))+IF(W820="Y",SUMIF(Products!$E$5:$E$300,A820,Products!$G$5:$G$300),0))*(1+N(V820)))</f>
        <v>0</v>
      </c>
      <c r="AB820" s="22" t="n">
        <f aca="false">IF(F820&lt;&gt;"Y",0,((SUMIF(Products!$E$5:$E$300,A820,Products!$K$5:$K$300)+SUMIF(RM_Lots!$A$5:$A$400,A820,RM_Lots!$F$5:$F$400))+IF(W820="Y",SUMIF(Products!$E$5:$E$300,A820,Products!$L$5:$L$300),0))*(1+N(V820)))</f>
        <v>0</v>
      </c>
      <c r="AC820" s="17" t="n">
        <f aca="false">IF(J820="",1,MAX(1,COUNTIFS($J$5:$J$863,J820,$F$5:$F$863,"Y")))</f>
        <v>1</v>
      </c>
      <c r="AD820" s="18" t="n">
        <f aca="false">(MAX(1,N(I820))*(P820+N(S820))+MAX(1,N(I820))*N(K820)/(MAX(1,N(U820))*AC820))*Settings!$B$9</f>
        <v>0</v>
      </c>
      <c r="AE820" s="18" t="n">
        <f aca="false">(MAX(1,N(I820))*N(Q820)+MAX(1,N(I820))*N(L820)/(MAX(1,N(U820))*AC820))*Settings!$B$8</f>
        <v>0</v>
      </c>
      <c r="AF820" s="18" t="n">
        <f aca="false">MAX(1,N(I820))*N(T820)</f>
        <v>0</v>
      </c>
      <c r="AG820" s="15" t="n">
        <f aca="false">AA820*N(AD820)</f>
        <v>0</v>
      </c>
      <c r="AH820" s="15" t="n">
        <f aca="false">AA820*N(AE820)</f>
        <v>0</v>
      </c>
      <c r="AI820" s="15" t="n">
        <f aca="false">AA820*N(AF820)</f>
        <v>0</v>
      </c>
      <c r="AJ820" s="15" t="n">
        <f aca="false">AA820*N(R820)</f>
        <v>0</v>
      </c>
      <c r="AK820" s="15" t="n">
        <f aca="false">AB820*N(AD820)</f>
        <v>0</v>
      </c>
      <c r="AL820" s="15" t="n">
        <f aca="false">AB820*N(AE820)</f>
        <v>0</v>
      </c>
      <c r="AM820" s="15" t="n">
        <f aca="false">AB820*N(AF820)</f>
        <v>0</v>
      </c>
      <c r="AN820" s="15" t="n">
        <f aca="false">AB820*N(R820)</f>
        <v>0</v>
      </c>
      <c r="AO820" s="21" t="str">
        <f aca="false">IF(F820&lt;&gt;"Y","n/a",IF(AND(N820&lt;&gt;"",OR(Q820&lt;&gt;"",G820="Other / bench",G820="None"),U820&lt;&gt;""),"OK","Missing"))</f>
        <v>n/a</v>
      </c>
    </row>
    <row r="821" customFormat="false" ht="15" hidden="false" customHeight="false" outlineLevel="0" collapsed="false">
      <c r="A821" s="16"/>
      <c r="B821" s="16"/>
      <c r="C821" s="16"/>
      <c r="D821" s="16"/>
      <c r="E821" s="21" t="str">
        <f aca="false">IF(A821="","",A821&amp;"|"&amp;D821)</f>
        <v/>
      </c>
      <c r="F821" s="16"/>
      <c r="G821" s="16"/>
      <c r="H821" s="16"/>
      <c r="I821" s="16"/>
      <c r="J821" s="16"/>
      <c r="K821" s="14"/>
      <c r="L821" s="14"/>
      <c r="M821" s="14"/>
      <c r="N821" s="14"/>
      <c r="O821" s="14"/>
      <c r="P821" s="18" t="n">
        <f aca="false">IF(N821="",0,IF(OR(M821="",O821=""),N821,(M821+4*N821+O821)/6))</f>
        <v>0</v>
      </c>
      <c r="Q821" s="14"/>
      <c r="R821" s="14"/>
      <c r="S821" s="14"/>
      <c r="T821" s="14"/>
      <c r="U821" s="16"/>
      <c r="V821" s="13"/>
      <c r="W821" s="16"/>
      <c r="X821" s="16"/>
      <c r="Y821" s="16"/>
      <c r="Z821" s="16"/>
      <c r="AA821" s="22" t="n">
        <f aca="false">IF(F821&lt;&gt;"Y",0,((SUMIF(Products!$E$5:$E$300,A821,Products!$F$5:$F$300)+SUMIF(RM_Lots!$A$5:$A$400,A821,RM_Lots!$D$5:$D$400))+IF(W821="Y",SUMIF(Products!$E$5:$E$300,A821,Products!$G$5:$G$300),0))*(1+N(V821)))</f>
        <v>0</v>
      </c>
      <c r="AB821" s="22" t="n">
        <f aca="false">IF(F821&lt;&gt;"Y",0,((SUMIF(Products!$E$5:$E$300,A821,Products!$K$5:$K$300)+SUMIF(RM_Lots!$A$5:$A$400,A821,RM_Lots!$F$5:$F$400))+IF(W821="Y",SUMIF(Products!$E$5:$E$300,A821,Products!$L$5:$L$300),0))*(1+N(V821)))</f>
        <v>0</v>
      </c>
      <c r="AC821" s="17" t="n">
        <f aca="false">IF(J821="",1,MAX(1,COUNTIFS($J$5:$J$863,J821,$F$5:$F$863,"Y")))</f>
        <v>1</v>
      </c>
      <c r="AD821" s="18" t="n">
        <f aca="false">(MAX(1,N(I821))*(P821+N(S821))+MAX(1,N(I821))*N(K821)/(MAX(1,N(U821))*AC821))*Settings!$B$9</f>
        <v>0</v>
      </c>
      <c r="AE821" s="18" t="n">
        <f aca="false">(MAX(1,N(I821))*N(Q821)+MAX(1,N(I821))*N(L821)/(MAX(1,N(U821))*AC821))*Settings!$B$8</f>
        <v>0</v>
      </c>
      <c r="AF821" s="18" t="n">
        <f aca="false">MAX(1,N(I821))*N(T821)</f>
        <v>0</v>
      </c>
      <c r="AG821" s="15" t="n">
        <f aca="false">AA821*N(AD821)</f>
        <v>0</v>
      </c>
      <c r="AH821" s="15" t="n">
        <f aca="false">AA821*N(AE821)</f>
        <v>0</v>
      </c>
      <c r="AI821" s="15" t="n">
        <f aca="false">AA821*N(AF821)</f>
        <v>0</v>
      </c>
      <c r="AJ821" s="15" t="n">
        <f aca="false">AA821*N(R821)</f>
        <v>0</v>
      </c>
      <c r="AK821" s="15" t="n">
        <f aca="false">AB821*N(AD821)</f>
        <v>0</v>
      </c>
      <c r="AL821" s="15" t="n">
        <f aca="false">AB821*N(AE821)</f>
        <v>0</v>
      </c>
      <c r="AM821" s="15" t="n">
        <f aca="false">AB821*N(AF821)</f>
        <v>0</v>
      </c>
      <c r="AN821" s="15" t="n">
        <f aca="false">AB821*N(R821)</f>
        <v>0</v>
      </c>
      <c r="AO821" s="21" t="str">
        <f aca="false">IF(F821&lt;&gt;"Y","n/a",IF(AND(N821&lt;&gt;"",OR(Q821&lt;&gt;"",G821="Other / bench",G821="None"),U821&lt;&gt;""),"OK","Missing"))</f>
        <v>n/a</v>
      </c>
    </row>
    <row r="822" customFormat="false" ht="15" hidden="false" customHeight="false" outlineLevel="0" collapsed="false">
      <c r="A822" s="16"/>
      <c r="B822" s="16"/>
      <c r="C822" s="16"/>
      <c r="D822" s="16"/>
      <c r="E822" s="21" t="str">
        <f aca="false">IF(A822="","",A822&amp;"|"&amp;D822)</f>
        <v/>
      </c>
      <c r="F822" s="16"/>
      <c r="G822" s="16"/>
      <c r="H822" s="16"/>
      <c r="I822" s="16"/>
      <c r="J822" s="16"/>
      <c r="K822" s="14"/>
      <c r="L822" s="14"/>
      <c r="M822" s="14"/>
      <c r="N822" s="14"/>
      <c r="O822" s="14"/>
      <c r="P822" s="18" t="n">
        <f aca="false">IF(N822="",0,IF(OR(M822="",O822=""),N822,(M822+4*N822+O822)/6))</f>
        <v>0</v>
      </c>
      <c r="Q822" s="14"/>
      <c r="R822" s="14"/>
      <c r="S822" s="14"/>
      <c r="T822" s="14"/>
      <c r="U822" s="16"/>
      <c r="V822" s="13"/>
      <c r="W822" s="16"/>
      <c r="X822" s="16"/>
      <c r="Y822" s="16"/>
      <c r="Z822" s="16"/>
      <c r="AA822" s="22" t="n">
        <f aca="false">IF(F822&lt;&gt;"Y",0,((SUMIF(Products!$E$5:$E$300,A822,Products!$F$5:$F$300)+SUMIF(RM_Lots!$A$5:$A$400,A822,RM_Lots!$D$5:$D$400))+IF(W822="Y",SUMIF(Products!$E$5:$E$300,A822,Products!$G$5:$G$300),0))*(1+N(V822)))</f>
        <v>0</v>
      </c>
      <c r="AB822" s="22" t="n">
        <f aca="false">IF(F822&lt;&gt;"Y",0,((SUMIF(Products!$E$5:$E$300,A822,Products!$K$5:$K$300)+SUMIF(RM_Lots!$A$5:$A$400,A822,RM_Lots!$F$5:$F$400))+IF(W822="Y",SUMIF(Products!$E$5:$E$300,A822,Products!$L$5:$L$300),0))*(1+N(V822)))</f>
        <v>0</v>
      </c>
      <c r="AC822" s="17" t="n">
        <f aca="false">IF(J822="",1,MAX(1,COUNTIFS($J$5:$J$863,J822,$F$5:$F$863,"Y")))</f>
        <v>1</v>
      </c>
      <c r="AD822" s="18" t="n">
        <f aca="false">(MAX(1,N(I822))*(P822+N(S822))+MAX(1,N(I822))*N(K822)/(MAX(1,N(U822))*AC822))*Settings!$B$9</f>
        <v>0</v>
      </c>
      <c r="AE822" s="18" t="n">
        <f aca="false">(MAX(1,N(I822))*N(Q822)+MAX(1,N(I822))*N(L822)/(MAX(1,N(U822))*AC822))*Settings!$B$8</f>
        <v>0</v>
      </c>
      <c r="AF822" s="18" t="n">
        <f aca="false">MAX(1,N(I822))*N(T822)</f>
        <v>0</v>
      </c>
      <c r="AG822" s="15" t="n">
        <f aca="false">AA822*N(AD822)</f>
        <v>0</v>
      </c>
      <c r="AH822" s="15" t="n">
        <f aca="false">AA822*N(AE822)</f>
        <v>0</v>
      </c>
      <c r="AI822" s="15" t="n">
        <f aca="false">AA822*N(AF822)</f>
        <v>0</v>
      </c>
      <c r="AJ822" s="15" t="n">
        <f aca="false">AA822*N(R822)</f>
        <v>0</v>
      </c>
      <c r="AK822" s="15" t="n">
        <f aca="false">AB822*N(AD822)</f>
        <v>0</v>
      </c>
      <c r="AL822" s="15" t="n">
        <f aca="false">AB822*N(AE822)</f>
        <v>0</v>
      </c>
      <c r="AM822" s="15" t="n">
        <f aca="false">AB822*N(AF822)</f>
        <v>0</v>
      </c>
      <c r="AN822" s="15" t="n">
        <f aca="false">AB822*N(R822)</f>
        <v>0</v>
      </c>
      <c r="AO822" s="21" t="str">
        <f aca="false">IF(F822&lt;&gt;"Y","n/a",IF(AND(N822&lt;&gt;"",OR(Q822&lt;&gt;"",G822="Other / bench",G822="None"),U822&lt;&gt;""),"OK","Missing"))</f>
        <v>n/a</v>
      </c>
    </row>
    <row r="823" customFormat="false" ht="15" hidden="false" customHeight="false" outlineLevel="0" collapsed="false">
      <c r="A823" s="16"/>
      <c r="B823" s="16"/>
      <c r="C823" s="16"/>
      <c r="D823" s="16"/>
      <c r="E823" s="21" t="str">
        <f aca="false">IF(A823="","",A823&amp;"|"&amp;D823)</f>
        <v/>
      </c>
      <c r="F823" s="16"/>
      <c r="G823" s="16"/>
      <c r="H823" s="16"/>
      <c r="I823" s="16"/>
      <c r="J823" s="16"/>
      <c r="K823" s="14"/>
      <c r="L823" s="14"/>
      <c r="M823" s="14"/>
      <c r="N823" s="14"/>
      <c r="O823" s="14"/>
      <c r="P823" s="18" t="n">
        <f aca="false">IF(N823="",0,IF(OR(M823="",O823=""),N823,(M823+4*N823+O823)/6))</f>
        <v>0</v>
      </c>
      <c r="Q823" s="14"/>
      <c r="R823" s="14"/>
      <c r="S823" s="14"/>
      <c r="T823" s="14"/>
      <c r="U823" s="16"/>
      <c r="V823" s="13"/>
      <c r="W823" s="16"/>
      <c r="X823" s="16"/>
      <c r="Y823" s="16"/>
      <c r="Z823" s="16"/>
      <c r="AA823" s="22" t="n">
        <f aca="false">IF(F823&lt;&gt;"Y",0,((SUMIF(Products!$E$5:$E$300,A823,Products!$F$5:$F$300)+SUMIF(RM_Lots!$A$5:$A$400,A823,RM_Lots!$D$5:$D$400))+IF(W823="Y",SUMIF(Products!$E$5:$E$300,A823,Products!$G$5:$G$300),0))*(1+N(V823)))</f>
        <v>0</v>
      </c>
      <c r="AB823" s="22" t="n">
        <f aca="false">IF(F823&lt;&gt;"Y",0,((SUMIF(Products!$E$5:$E$300,A823,Products!$K$5:$K$300)+SUMIF(RM_Lots!$A$5:$A$400,A823,RM_Lots!$F$5:$F$400))+IF(W823="Y",SUMIF(Products!$E$5:$E$300,A823,Products!$L$5:$L$300),0))*(1+N(V823)))</f>
        <v>0</v>
      </c>
      <c r="AC823" s="17" t="n">
        <f aca="false">IF(J823="",1,MAX(1,COUNTIFS($J$5:$J$863,J823,$F$5:$F$863,"Y")))</f>
        <v>1</v>
      </c>
      <c r="AD823" s="18" t="n">
        <f aca="false">(MAX(1,N(I823))*(P823+N(S823))+MAX(1,N(I823))*N(K823)/(MAX(1,N(U823))*AC823))*Settings!$B$9</f>
        <v>0</v>
      </c>
      <c r="AE823" s="18" t="n">
        <f aca="false">(MAX(1,N(I823))*N(Q823)+MAX(1,N(I823))*N(L823)/(MAX(1,N(U823))*AC823))*Settings!$B$8</f>
        <v>0</v>
      </c>
      <c r="AF823" s="18" t="n">
        <f aca="false">MAX(1,N(I823))*N(T823)</f>
        <v>0</v>
      </c>
      <c r="AG823" s="15" t="n">
        <f aca="false">AA823*N(AD823)</f>
        <v>0</v>
      </c>
      <c r="AH823" s="15" t="n">
        <f aca="false">AA823*N(AE823)</f>
        <v>0</v>
      </c>
      <c r="AI823" s="15" t="n">
        <f aca="false">AA823*N(AF823)</f>
        <v>0</v>
      </c>
      <c r="AJ823" s="15" t="n">
        <f aca="false">AA823*N(R823)</f>
        <v>0</v>
      </c>
      <c r="AK823" s="15" t="n">
        <f aca="false">AB823*N(AD823)</f>
        <v>0</v>
      </c>
      <c r="AL823" s="15" t="n">
        <f aca="false">AB823*N(AE823)</f>
        <v>0</v>
      </c>
      <c r="AM823" s="15" t="n">
        <f aca="false">AB823*N(AF823)</f>
        <v>0</v>
      </c>
      <c r="AN823" s="15" t="n">
        <f aca="false">AB823*N(R823)</f>
        <v>0</v>
      </c>
      <c r="AO823" s="21" t="str">
        <f aca="false">IF(F823&lt;&gt;"Y","n/a",IF(AND(N823&lt;&gt;"",OR(Q823&lt;&gt;"",G823="Other / bench",G823="None"),U823&lt;&gt;""),"OK","Missing"))</f>
        <v>n/a</v>
      </c>
    </row>
    <row r="824" customFormat="false" ht="15" hidden="false" customHeight="false" outlineLevel="0" collapsed="false">
      <c r="A824" s="16"/>
      <c r="B824" s="16"/>
      <c r="C824" s="16"/>
      <c r="D824" s="16"/>
      <c r="E824" s="21" t="str">
        <f aca="false">IF(A824="","",A824&amp;"|"&amp;D824)</f>
        <v/>
      </c>
      <c r="F824" s="16"/>
      <c r="G824" s="16"/>
      <c r="H824" s="16"/>
      <c r="I824" s="16"/>
      <c r="J824" s="16"/>
      <c r="K824" s="14"/>
      <c r="L824" s="14"/>
      <c r="M824" s="14"/>
      <c r="N824" s="14"/>
      <c r="O824" s="14"/>
      <c r="P824" s="18" t="n">
        <f aca="false">IF(N824="",0,IF(OR(M824="",O824=""),N824,(M824+4*N824+O824)/6))</f>
        <v>0</v>
      </c>
      <c r="Q824" s="14"/>
      <c r="R824" s="14"/>
      <c r="S824" s="14"/>
      <c r="T824" s="14"/>
      <c r="U824" s="16"/>
      <c r="V824" s="13"/>
      <c r="W824" s="16"/>
      <c r="X824" s="16"/>
      <c r="Y824" s="16"/>
      <c r="Z824" s="16"/>
      <c r="AA824" s="22" t="n">
        <f aca="false">IF(F824&lt;&gt;"Y",0,((SUMIF(Products!$E$5:$E$300,A824,Products!$F$5:$F$300)+SUMIF(RM_Lots!$A$5:$A$400,A824,RM_Lots!$D$5:$D$400))+IF(W824="Y",SUMIF(Products!$E$5:$E$300,A824,Products!$G$5:$G$300),0))*(1+N(V824)))</f>
        <v>0</v>
      </c>
      <c r="AB824" s="22" t="n">
        <f aca="false">IF(F824&lt;&gt;"Y",0,((SUMIF(Products!$E$5:$E$300,A824,Products!$K$5:$K$300)+SUMIF(RM_Lots!$A$5:$A$400,A824,RM_Lots!$F$5:$F$400))+IF(W824="Y",SUMIF(Products!$E$5:$E$300,A824,Products!$L$5:$L$300),0))*(1+N(V824)))</f>
        <v>0</v>
      </c>
      <c r="AC824" s="17" t="n">
        <f aca="false">IF(J824="",1,MAX(1,COUNTIFS($J$5:$J$863,J824,$F$5:$F$863,"Y")))</f>
        <v>1</v>
      </c>
      <c r="AD824" s="18" t="n">
        <f aca="false">(MAX(1,N(I824))*(P824+N(S824))+MAX(1,N(I824))*N(K824)/(MAX(1,N(U824))*AC824))*Settings!$B$9</f>
        <v>0</v>
      </c>
      <c r="AE824" s="18" t="n">
        <f aca="false">(MAX(1,N(I824))*N(Q824)+MAX(1,N(I824))*N(L824)/(MAX(1,N(U824))*AC824))*Settings!$B$8</f>
        <v>0</v>
      </c>
      <c r="AF824" s="18" t="n">
        <f aca="false">MAX(1,N(I824))*N(T824)</f>
        <v>0</v>
      </c>
      <c r="AG824" s="15" t="n">
        <f aca="false">AA824*N(AD824)</f>
        <v>0</v>
      </c>
      <c r="AH824" s="15" t="n">
        <f aca="false">AA824*N(AE824)</f>
        <v>0</v>
      </c>
      <c r="AI824" s="15" t="n">
        <f aca="false">AA824*N(AF824)</f>
        <v>0</v>
      </c>
      <c r="AJ824" s="15" t="n">
        <f aca="false">AA824*N(R824)</f>
        <v>0</v>
      </c>
      <c r="AK824" s="15" t="n">
        <f aca="false">AB824*N(AD824)</f>
        <v>0</v>
      </c>
      <c r="AL824" s="15" t="n">
        <f aca="false">AB824*N(AE824)</f>
        <v>0</v>
      </c>
      <c r="AM824" s="15" t="n">
        <f aca="false">AB824*N(AF824)</f>
        <v>0</v>
      </c>
      <c r="AN824" s="15" t="n">
        <f aca="false">AB824*N(R824)</f>
        <v>0</v>
      </c>
      <c r="AO824" s="21" t="str">
        <f aca="false">IF(F824&lt;&gt;"Y","n/a",IF(AND(N824&lt;&gt;"",OR(Q824&lt;&gt;"",G824="Other / bench",G824="None"),U824&lt;&gt;""),"OK","Missing"))</f>
        <v>n/a</v>
      </c>
    </row>
    <row r="825" customFormat="false" ht="15" hidden="false" customHeight="false" outlineLevel="0" collapsed="false">
      <c r="A825" s="16"/>
      <c r="B825" s="16"/>
      <c r="C825" s="16"/>
      <c r="D825" s="16"/>
      <c r="E825" s="21" t="str">
        <f aca="false">IF(A825="","",A825&amp;"|"&amp;D825)</f>
        <v/>
      </c>
      <c r="F825" s="16"/>
      <c r="G825" s="16"/>
      <c r="H825" s="16"/>
      <c r="I825" s="16"/>
      <c r="J825" s="16"/>
      <c r="K825" s="14"/>
      <c r="L825" s="14"/>
      <c r="M825" s="14"/>
      <c r="N825" s="14"/>
      <c r="O825" s="14"/>
      <c r="P825" s="18" t="n">
        <f aca="false">IF(N825="",0,IF(OR(M825="",O825=""),N825,(M825+4*N825+O825)/6))</f>
        <v>0</v>
      </c>
      <c r="Q825" s="14"/>
      <c r="R825" s="14"/>
      <c r="S825" s="14"/>
      <c r="T825" s="14"/>
      <c r="U825" s="16"/>
      <c r="V825" s="13"/>
      <c r="W825" s="16"/>
      <c r="X825" s="16"/>
      <c r="Y825" s="16"/>
      <c r="Z825" s="16"/>
      <c r="AA825" s="22" t="n">
        <f aca="false">IF(F825&lt;&gt;"Y",0,((SUMIF(Products!$E$5:$E$300,A825,Products!$F$5:$F$300)+SUMIF(RM_Lots!$A$5:$A$400,A825,RM_Lots!$D$5:$D$400))+IF(W825="Y",SUMIF(Products!$E$5:$E$300,A825,Products!$G$5:$G$300),0))*(1+N(V825)))</f>
        <v>0</v>
      </c>
      <c r="AB825" s="22" t="n">
        <f aca="false">IF(F825&lt;&gt;"Y",0,((SUMIF(Products!$E$5:$E$300,A825,Products!$K$5:$K$300)+SUMIF(RM_Lots!$A$5:$A$400,A825,RM_Lots!$F$5:$F$400))+IF(W825="Y",SUMIF(Products!$E$5:$E$300,A825,Products!$L$5:$L$300),0))*(1+N(V825)))</f>
        <v>0</v>
      </c>
      <c r="AC825" s="17" t="n">
        <f aca="false">IF(J825="",1,MAX(1,COUNTIFS($J$5:$J$863,J825,$F$5:$F$863,"Y")))</f>
        <v>1</v>
      </c>
      <c r="AD825" s="18" t="n">
        <f aca="false">(MAX(1,N(I825))*(P825+N(S825))+MAX(1,N(I825))*N(K825)/(MAX(1,N(U825))*AC825))*Settings!$B$9</f>
        <v>0</v>
      </c>
      <c r="AE825" s="18" t="n">
        <f aca="false">(MAX(1,N(I825))*N(Q825)+MAX(1,N(I825))*N(L825)/(MAX(1,N(U825))*AC825))*Settings!$B$8</f>
        <v>0</v>
      </c>
      <c r="AF825" s="18" t="n">
        <f aca="false">MAX(1,N(I825))*N(T825)</f>
        <v>0</v>
      </c>
      <c r="AG825" s="15" t="n">
        <f aca="false">AA825*N(AD825)</f>
        <v>0</v>
      </c>
      <c r="AH825" s="15" t="n">
        <f aca="false">AA825*N(AE825)</f>
        <v>0</v>
      </c>
      <c r="AI825" s="15" t="n">
        <f aca="false">AA825*N(AF825)</f>
        <v>0</v>
      </c>
      <c r="AJ825" s="15" t="n">
        <f aca="false">AA825*N(R825)</f>
        <v>0</v>
      </c>
      <c r="AK825" s="15" t="n">
        <f aca="false">AB825*N(AD825)</f>
        <v>0</v>
      </c>
      <c r="AL825" s="15" t="n">
        <f aca="false">AB825*N(AE825)</f>
        <v>0</v>
      </c>
      <c r="AM825" s="15" t="n">
        <f aca="false">AB825*N(AF825)</f>
        <v>0</v>
      </c>
      <c r="AN825" s="15" t="n">
        <f aca="false">AB825*N(R825)</f>
        <v>0</v>
      </c>
      <c r="AO825" s="21" t="str">
        <f aca="false">IF(F825&lt;&gt;"Y","n/a",IF(AND(N825&lt;&gt;"",OR(Q825&lt;&gt;"",G825="Other / bench",G825="None"),U825&lt;&gt;""),"OK","Missing"))</f>
        <v>n/a</v>
      </c>
    </row>
    <row r="826" customFormat="false" ht="15" hidden="false" customHeight="false" outlineLevel="0" collapsed="false">
      <c r="A826" s="16"/>
      <c r="B826" s="16"/>
      <c r="C826" s="16"/>
      <c r="D826" s="16"/>
      <c r="E826" s="21" t="str">
        <f aca="false">IF(A826="","",A826&amp;"|"&amp;D826)</f>
        <v/>
      </c>
      <c r="F826" s="16"/>
      <c r="G826" s="16"/>
      <c r="H826" s="16"/>
      <c r="I826" s="16"/>
      <c r="J826" s="16"/>
      <c r="K826" s="14"/>
      <c r="L826" s="14"/>
      <c r="M826" s="14"/>
      <c r="N826" s="14"/>
      <c r="O826" s="14"/>
      <c r="P826" s="18" t="n">
        <f aca="false">IF(N826="",0,IF(OR(M826="",O826=""),N826,(M826+4*N826+O826)/6))</f>
        <v>0</v>
      </c>
      <c r="Q826" s="14"/>
      <c r="R826" s="14"/>
      <c r="S826" s="14"/>
      <c r="T826" s="14"/>
      <c r="U826" s="16"/>
      <c r="V826" s="13"/>
      <c r="W826" s="16"/>
      <c r="X826" s="16"/>
      <c r="Y826" s="16"/>
      <c r="Z826" s="16"/>
      <c r="AA826" s="22" t="n">
        <f aca="false">IF(F826&lt;&gt;"Y",0,((SUMIF(Products!$E$5:$E$300,A826,Products!$F$5:$F$300)+SUMIF(RM_Lots!$A$5:$A$400,A826,RM_Lots!$D$5:$D$400))+IF(W826="Y",SUMIF(Products!$E$5:$E$300,A826,Products!$G$5:$G$300),0))*(1+N(V826)))</f>
        <v>0</v>
      </c>
      <c r="AB826" s="22" t="n">
        <f aca="false">IF(F826&lt;&gt;"Y",0,((SUMIF(Products!$E$5:$E$300,A826,Products!$K$5:$K$300)+SUMIF(RM_Lots!$A$5:$A$400,A826,RM_Lots!$F$5:$F$400))+IF(W826="Y",SUMIF(Products!$E$5:$E$300,A826,Products!$L$5:$L$300),0))*(1+N(V826)))</f>
        <v>0</v>
      </c>
      <c r="AC826" s="17" t="n">
        <f aca="false">IF(J826="",1,MAX(1,COUNTIFS($J$5:$J$863,J826,$F$5:$F$863,"Y")))</f>
        <v>1</v>
      </c>
      <c r="AD826" s="18" t="n">
        <f aca="false">(MAX(1,N(I826))*(P826+N(S826))+MAX(1,N(I826))*N(K826)/(MAX(1,N(U826))*AC826))*Settings!$B$9</f>
        <v>0</v>
      </c>
      <c r="AE826" s="18" t="n">
        <f aca="false">(MAX(1,N(I826))*N(Q826)+MAX(1,N(I826))*N(L826)/(MAX(1,N(U826))*AC826))*Settings!$B$8</f>
        <v>0</v>
      </c>
      <c r="AF826" s="18" t="n">
        <f aca="false">MAX(1,N(I826))*N(T826)</f>
        <v>0</v>
      </c>
      <c r="AG826" s="15" t="n">
        <f aca="false">AA826*N(AD826)</f>
        <v>0</v>
      </c>
      <c r="AH826" s="15" t="n">
        <f aca="false">AA826*N(AE826)</f>
        <v>0</v>
      </c>
      <c r="AI826" s="15" t="n">
        <f aca="false">AA826*N(AF826)</f>
        <v>0</v>
      </c>
      <c r="AJ826" s="15" t="n">
        <f aca="false">AA826*N(R826)</f>
        <v>0</v>
      </c>
      <c r="AK826" s="15" t="n">
        <f aca="false">AB826*N(AD826)</f>
        <v>0</v>
      </c>
      <c r="AL826" s="15" t="n">
        <f aca="false">AB826*N(AE826)</f>
        <v>0</v>
      </c>
      <c r="AM826" s="15" t="n">
        <f aca="false">AB826*N(AF826)</f>
        <v>0</v>
      </c>
      <c r="AN826" s="15" t="n">
        <f aca="false">AB826*N(R826)</f>
        <v>0</v>
      </c>
      <c r="AO826" s="21" t="str">
        <f aca="false">IF(F826&lt;&gt;"Y","n/a",IF(AND(N826&lt;&gt;"",OR(Q826&lt;&gt;"",G826="Other / bench",G826="None"),U826&lt;&gt;""),"OK","Missing"))</f>
        <v>n/a</v>
      </c>
    </row>
    <row r="827" customFormat="false" ht="15" hidden="false" customHeight="false" outlineLevel="0" collapsed="false">
      <c r="A827" s="16"/>
      <c r="B827" s="16"/>
      <c r="C827" s="16"/>
      <c r="D827" s="16"/>
      <c r="E827" s="21" t="str">
        <f aca="false">IF(A827="","",A827&amp;"|"&amp;D827)</f>
        <v/>
      </c>
      <c r="F827" s="16"/>
      <c r="G827" s="16"/>
      <c r="H827" s="16"/>
      <c r="I827" s="16"/>
      <c r="J827" s="16"/>
      <c r="K827" s="14"/>
      <c r="L827" s="14"/>
      <c r="M827" s="14"/>
      <c r="N827" s="14"/>
      <c r="O827" s="14"/>
      <c r="P827" s="18" t="n">
        <f aca="false">IF(N827="",0,IF(OR(M827="",O827=""),N827,(M827+4*N827+O827)/6))</f>
        <v>0</v>
      </c>
      <c r="Q827" s="14"/>
      <c r="R827" s="14"/>
      <c r="S827" s="14"/>
      <c r="T827" s="14"/>
      <c r="U827" s="16"/>
      <c r="V827" s="13"/>
      <c r="W827" s="16"/>
      <c r="X827" s="16"/>
      <c r="Y827" s="16"/>
      <c r="Z827" s="16"/>
      <c r="AA827" s="22" t="n">
        <f aca="false">IF(F827&lt;&gt;"Y",0,((SUMIF(Products!$E$5:$E$300,A827,Products!$F$5:$F$300)+SUMIF(RM_Lots!$A$5:$A$400,A827,RM_Lots!$D$5:$D$400))+IF(W827="Y",SUMIF(Products!$E$5:$E$300,A827,Products!$G$5:$G$300),0))*(1+N(V827)))</f>
        <v>0</v>
      </c>
      <c r="AB827" s="22" t="n">
        <f aca="false">IF(F827&lt;&gt;"Y",0,((SUMIF(Products!$E$5:$E$300,A827,Products!$K$5:$K$300)+SUMIF(RM_Lots!$A$5:$A$400,A827,RM_Lots!$F$5:$F$400))+IF(W827="Y",SUMIF(Products!$E$5:$E$300,A827,Products!$L$5:$L$300),0))*(1+N(V827)))</f>
        <v>0</v>
      </c>
      <c r="AC827" s="17" t="n">
        <f aca="false">IF(J827="",1,MAX(1,COUNTIFS($J$5:$J$863,J827,$F$5:$F$863,"Y")))</f>
        <v>1</v>
      </c>
      <c r="AD827" s="18" t="n">
        <f aca="false">(MAX(1,N(I827))*(P827+N(S827))+MAX(1,N(I827))*N(K827)/(MAX(1,N(U827))*AC827))*Settings!$B$9</f>
        <v>0</v>
      </c>
      <c r="AE827" s="18" t="n">
        <f aca="false">(MAX(1,N(I827))*N(Q827)+MAX(1,N(I827))*N(L827)/(MAX(1,N(U827))*AC827))*Settings!$B$8</f>
        <v>0</v>
      </c>
      <c r="AF827" s="18" t="n">
        <f aca="false">MAX(1,N(I827))*N(T827)</f>
        <v>0</v>
      </c>
      <c r="AG827" s="15" t="n">
        <f aca="false">AA827*N(AD827)</f>
        <v>0</v>
      </c>
      <c r="AH827" s="15" t="n">
        <f aca="false">AA827*N(AE827)</f>
        <v>0</v>
      </c>
      <c r="AI827" s="15" t="n">
        <f aca="false">AA827*N(AF827)</f>
        <v>0</v>
      </c>
      <c r="AJ827" s="15" t="n">
        <f aca="false">AA827*N(R827)</f>
        <v>0</v>
      </c>
      <c r="AK827" s="15" t="n">
        <f aca="false">AB827*N(AD827)</f>
        <v>0</v>
      </c>
      <c r="AL827" s="15" t="n">
        <f aca="false">AB827*N(AE827)</f>
        <v>0</v>
      </c>
      <c r="AM827" s="15" t="n">
        <f aca="false">AB827*N(AF827)</f>
        <v>0</v>
      </c>
      <c r="AN827" s="15" t="n">
        <f aca="false">AB827*N(R827)</f>
        <v>0</v>
      </c>
      <c r="AO827" s="21" t="str">
        <f aca="false">IF(F827&lt;&gt;"Y","n/a",IF(AND(N827&lt;&gt;"",OR(Q827&lt;&gt;"",G827="Other / bench",G827="None"),U827&lt;&gt;""),"OK","Missing"))</f>
        <v>n/a</v>
      </c>
    </row>
    <row r="828" customFormat="false" ht="15" hidden="false" customHeight="false" outlineLevel="0" collapsed="false">
      <c r="A828" s="16"/>
      <c r="B828" s="16"/>
      <c r="C828" s="16"/>
      <c r="D828" s="16"/>
      <c r="E828" s="21" t="str">
        <f aca="false">IF(A828="","",A828&amp;"|"&amp;D828)</f>
        <v/>
      </c>
      <c r="F828" s="16"/>
      <c r="G828" s="16"/>
      <c r="H828" s="16"/>
      <c r="I828" s="16"/>
      <c r="J828" s="16"/>
      <c r="K828" s="14"/>
      <c r="L828" s="14"/>
      <c r="M828" s="14"/>
      <c r="N828" s="14"/>
      <c r="O828" s="14"/>
      <c r="P828" s="18" t="n">
        <f aca="false">IF(N828="",0,IF(OR(M828="",O828=""),N828,(M828+4*N828+O828)/6))</f>
        <v>0</v>
      </c>
      <c r="Q828" s="14"/>
      <c r="R828" s="14"/>
      <c r="S828" s="14"/>
      <c r="T828" s="14"/>
      <c r="U828" s="16"/>
      <c r="V828" s="13"/>
      <c r="W828" s="16"/>
      <c r="X828" s="16"/>
      <c r="Y828" s="16"/>
      <c r="Z828" s="16"/>
      <c r="AA828" s="22" t="n">
        <f aca="false">IF(F828&lt;&gt;"Y",0,((SUMIF(Products!$E$5:$E$300,A828,Products!$F$5:$F$300)+SUMIF(RM_Lots!$A$5:$A$400,A828,RM_Lots!$D$5:$D$400))+IF(W828="Y",SUMIF(Products!$E$5:$E$300,A828,Products!$G$5:$G$300),0))*(1+N(V828)))</f>
        <v>0</v>
      </c>
      <c r="AB828" s="22" t="n">
        <f aca="false">IF(F828&lt;&gt;"Y",0,((SUMIF(Products!$E$5:$E$300,A828,Products!$K$5:$K$300)+SUMIF(RM_Lots!$A$5:$A$400,A828,RM_Lots!$F$5:$F$400))+IF(W828="Y",SUMIF(Products!$E$5:$E$300,A828,Products!$L$5:$L$300),0))*(1+N(V828)))</f>
        <v>0</v>
      </c>
      <c r="AC828" s="17" t="n">
        <f aca="false">IF(J828="",1,MAX(1,COUNTIFS($J$5:$J$863,J828,$F$5:$F$863,"Y")))</f>
        <v>1</v>
      </c>
      <c r="AD828" s="18" t="n">
        <f aca="false">(MAX(1,N(I828))*(P828+N(S828))+MAX(1,N(I828))*N(K828)/(MAX(1,N(U828))*AC828))*Settings!$B$9</f>
        <v>0</v>
      </c>
      <c r="AE828" s="18" t="n">
        <f aca="false">(MAX(1,N(I828))*N(Q828)+MAX(1,N(I828))*N(L828)/(MAX(1,N(U828))*AC828))*Settings!$B$8</f>
        <v>0</v>
      </c>
      <c r="AF828" s="18" t="n">
        <f aca="false">MAX(1,N(I828))*N(T828)</f>
        <v>0</v>
      </c>
      <c r="AG828" s="15" t="n">
        <f aca="false">AA828*N(AD828)</f>
        <v>0</v>
      </c>
      <c r="AH828" s="15" t="n">
        <f aca="false">AA828*N(AE828)</f>
        <v>0</v>
      </c>
      <c r="AI828" s="15" t="n">
        <f aca="false">AA828*N(AF828)</f>
        <v>0</v>
      </c>
      <c r="AJ828" s="15" t="n">
        <f aca="false">AA828*N(R828)</f>
        <v>0</v>
      </c>
      <c r="AK828" s="15" t="n">
        <f aca="false">AB828*N(AD828)</f>
        <v>0</v>
      </c>
      <c r="AL828" s="15" t="n">
        <f aca="false">AB828*N(AE828)</f>
        <v>0</v>
      </c>
      <c r="AM828" s="15" t="n">
        <f aca="false">AB828*N(AF828)</f>
        <v>0</v>
      </c>
      <c r="AN828" s="15" t="n">
        <f aca="false">AB828*N(R828)</f>
        <v>0</v>
      </c>
      <c r="AO828" s="21" t="str">
        <f aca="false">IF(F828&lt;&gt;"Y","n/a",IF(AND(N828&lt;&gt;"",OR(Q828&lt;&gt;"",G828="Other / bench",G828="None"),U828&lt;&gt;""),"OK","Missing"))</f>
        <v>n/a</v>
      </c>
    </row>
    <row r="829" customFormat="false" ht="15" hidden="false" customHeight="false" outlineLevel="0" collapsed="false">
      <c r="A829" s="16"/>
      <c r="B829" s="16"/>
      <c r="C829" s="16"/>
      <c r="D829" s="16"/>
      <c r="E829" s="21" t="str">
        <f aca="false">IF(A829="","",A829&amp;"|"&amp;D829)</f>
        <v/>
      </c>
      <c r="F829" s="16"/>
      <c r="G829" s="16"/>
      <c r="H829" s="16"/>
      <c r="I829" s="16"/>
      <c r="J829" s="16"/>
      <c r="K829" s="14"/>
      <c r="L829" s="14"/>
      <c r="M829" s="14"/>
      <c r="N829" s="14"/>
      <c r="O829" s="14"/>
      <c r="P829" s="18" t="n">
        <f aca="false">IF(N829="",0,IF(OR(M829="",O829=""),N829,(M829+4*N829+O829)/6))</f>
        <v>0</v>
      </c>
      <c r="Q829" s="14"/>
      <c r="R829" s="14"/>
      <c r="S829" s="14"/>
      <c r="T829" s="14"/>
      <c r="U829" s="16"/>
      <c r="V829" s="13"/>
      <c r="W829" s="16"/>
      <c r="X829" s="16"/>
      <c r="Y829" s="16"/>
      <c r="Z829" s="16"/>
      <c r="AA829" s="22" t="n">
        <f aca="false">IF(F829&lt;&gt;"Y",0,((SUMIF(Products!$E$5:$E$300,A829,Products!$F$5:$F$300)+SUMIF(RM_Lots!$A$5:$A$400,A829,RM_Lots!$D$5:$D$400))+IF(W829="Y",SUMIF(Products!$E$5:$E$300,A829,Products!$G$5:$G$300),0))*(1+N(V829)))</f>
        <v>0</v>
      </c>
      <c r="AB829" s="22" t="n">
        <f aca="false">IF(F829&lt;&gt;"Y",0,((SUMIF(Products!$E$5:$E$300,A829,Products!$K$5:$K$300)+SUMIF(RM_Lots!$A$5:$A$400,A829,RM_Lots!$F$5:$F$400))+IF(W829="Y",SUMIF(Products!$E$5:$E$300,A829,Products!$L$5:$L$300),0))*(1+N(V829)))</f>
        <v>0</v>
      </c>
      <c r="AC829" s="17" t="n">
        <f aca="false">IF(J829="",1,MAX(1,COUNTIFS($J$5:$J$863,J829,$F$5:$F$863,"Y")))</f>
        <v>1</v>
      </c>
      <c r="AD829" s="18" t="n">
        <f aca="false">(MAX(1,N(I829))*(P829+N(S829))+MAX(1,N(I829))*N(K829)/(MAX(1,N(U829))*AC829))*Settings!$B$9</f>
        <v>0</v>
      </c>
      <c r="AE829" s="18" t="n">
        <f aca="false">(MAX(1,N(I829))*N(Q829)+MAX(1,N(I829))*N(L829)/(MAX(1,N(U829))*AC829))*Settings!$B$8</f>
        <v>0</v>
      </c>
      <c r="AF829" s="18" t="n">
        <f aca="false">MAX(1,N(I829))*N(T829)</f>
        <v>0</v>
      </c>
      <c r="AG829" s="15" t="n">
        <f aca="false">AA829*N(AD829)</f>
        <v>0</v>
      </c>
      <c r="AH829" s="15" t="n">
        <f aca="false">AA829*N(AE829)</f>
        <v>0</v>
      </c>
      <c r="AI829" s="15" t="n">
        <f aca="false">AA829*N(AF829)</f>
        <v>0</v>
      </c>
      <c r="AJ829" s="15" t="n">
        <f aca="false">AA829*N(R829)</f>
        <v>0</v>
      </c>
      <c r="AK829" s="15" t="n">
        <f aca="false">AB829*N(AD829)</f>
        <v>0</v>
      </c>
      <c r="AL829" s="15" t="n">
        <f aca="false">AB829*N(AE829)</f>
        <v>0</v>
      </c>
      <c r="AM829" s="15" t="n">
        <f aca="false">AB829*N(AF829)</f>
        <v>0</v>
      </c>
      <c r="AN829" s="15" t="n">
        <f aca="false">AB829*N(R829)</f>
        <v>0</v>
      </c>
      <c r="AO829" s="21" t="str">
        <f aca="false">IF(F829&lt;&gt;"Y","n/a",IF(AND(N829&lt;&gt;"",OR(Q829&lt;&gt;"",G829="Other / bench",G829="None"),U829&lt;&gt;""),"OK","Missing"))</f>
        <v>n/a</v>
      </c>
    </row>
    <row r="830" customFormat="false" ht="15" hidden="false" customHeight="false" outlineLevel="0" collapsed="false">
      <c r="A830" s="16"/>
      <c r="B830" s="16"/>
      <c r="C830" s="16"/>
      <c r="D830" s="16"/>
      <c r="E830" s="21" t="str">
        <f aca="false">IF(A830="","",A830&amp;"|"&amp;D830)</f>
        <v/>
      </c>
      <c r="F830" s="16"/>
      <c r="G830" s="16"/>
      <c r="H830" s="16"/>
      <c r="I830" s="16"/>
      <c r="J830" s="16"/>
      <c r="K830" s="14"/>
      <c r="L830" s="14"/>
      <c r="M830" s="14"/>
      <c r="N830" s="14"/>
      <c r="O830" s="14"/>
      <c r="P830" s="18" t="n">
        <f aca="false">IF(N830="",0,IF(OR(M830="",O830=""),N830,(M830+4*N830+O830)/6))</f>
        <v>0</v>
      </c>
      <c r="Q830" s="14"/>
      <c r="R830" s="14"/>
      <c r="S830" s="14"/>
      <c r="T830" s="14"/>
      <c r="U830" s="16"/>
      <c r="V830" s="13"/>
      <c r="W830" s="16"/>
      <c r="X830" s="16"/>
      <c r="Y830" s="16"/>
      <c r="Z830" s="16"/>
      <c r="AA830" s="22" t="n">
        <f aca="false">IF(F830&lt;&gt;"Y",0,((SUMIF(Products!$E$5:$E$300,A830,Products!$F$5:$F$300)+SUMIF(RM_Lots!$A$5:$A$400,A830,RM_Lots!$D$5:$D$400))+IF(W830="Y",SUMIF(Products!$E$5:$E$300,A830,Products!$G$5:$G$300),0))*(1+N(V830)))</f>
        <v>0</v>
      </c>
      <c r="AB830" s="22" t="n">
        <f aca="false">IF(F830&lt;&gt;"Y",0,((SUMIF(Products!$E$5:$E$300,A830,Products!$K$5:$K$300)+SUMIF(RM_Lots!$A$5:$A$400,A830,RM_Lots!$F$5:$F$400))+IF(W830="Y",SUMIF(Products!$E$5:$E$300,A830,Products!$L$5:$L$300),0))*(1+N(V830)))</f>
        <v>0</v>
      </c>
      <c r="AC830" s="17" t="n">
        <f aca="false">IF(J830="",1,MAX(1,COUNTIFS($J$5:$J$863,J830,$F$5:$F$863,"Y")))</f>
        <v>1</v>
      </c>
      <c r="AD830" s="18" t="n">
        <f aca="false">(MAX(1,N(I830))*(P830+N(S830))+MAX(1,N(I830))*N(K830)/(MAX(1,N(U830))*AC830))*Settings!$B$9</f>
        <v>0</v>
      </c>
      <c r="AE830" s="18" t="n">
        <f aca="false">(MAX(1,N(I830))*N(Q830)+MAX(1,N(I830))*N(L830)/(MAX(1,N(U830))*AC830))*Settings!$B$8</f>
        <v>0</v>
      </c>
      <c r="AF830" s="18" t="n">
        <f aca="false">MAX(1,N(I830))*N(T830)</f>
        <v>0</v>
      </c>
      <c r="AG830" s="15" t="n">
        <f aca="false">AA830*N(AD830)</f>
        <v>0</v>
      </c>
      <c r="AH830" s="15" t="n">
        <f aca="false">AA830*N(AE830)</f>
        <v>0</v>
      </c>
      <c r="AI830" s="15" t="n">
        <f aca="false">AA830*N(AF830)</f>
        <v>0</v>
      </c>
      <c r="AJ830" s="15" t="n">
        <f aca="false">AA830*N(R830)</f>
        <v>0</v>
      </c>
      <c r="AK830" s="15" t="n">
        <f aca="false">AB830*N(AD830)</f>
        <v>0</v>
      </c>
      <c r="AL830" s="15" t="n">
        <f aca="false">AB830*N(AE830)</f>
        <v>0</v>
      </c>
      <c r="AM830" s="15" t="n">
        <f aca="false">AB830*N(AF830)</f>
        <v>0</v>
      </c>
      <c r="AN830" s="15" t="n">
        <f aca="false">AB830*N(R830)</f>
        <v>0</v>
      </c>
      <c r="AO830" s="21" t="str">
        <f aca="false">IF(F830&lt;&gt;"Y","n/a",IF(AND(N830&lt;&gt;"",OR(Q830&lt;&gt;"",G830="Other / bench",G830="None"),U830&lt;&gt;""),"OK","Missing"))</f>
        <v>n/a</v>
      </c>
    </row>
    <row r="831" customFormat="false" ht="15" hidden="false" customHeight="false" outlineLevel="0" collapsed="false">
      <c r="A831" s="16"/>
      <c r="B831" s="16"/>
      <c r="C831" s="16"/>
      <c r="D831" s="16"/>
      <c r="E831" s="21" t="str">
        <f aca="false">IF(A831="","",A831&amp;"|"&amp;D831)</f>
        <v/>
      </c>
      <c r="F831" s="16"/>
      <c r="G831" s="16"/>
      <c r="H831" s="16"/>
      <c r="I831" s="16"/>
      <c r="J831" s="16"/>
      <c r="K831" s="14"/>
      <c r="L831" s="14"/>
      <c r="M831" s="14"/>
      <c r="N831" s="14"/>
      <c r="O831" s="14"/>
      <c r="P831" s="18" t="n">
        <f aca="false">IF(N831="",0,IF(OR(M831="",O831=""),N831,(M831+4*N831+O831)/6))</f>
        <v>0</v>
      </c>
      <c r="Q831" s="14"/>
      <c r="R831" s="14"/>
      <c r="S831" s="14"/>
      <c r="T831" s="14"/>
      <c r="U831" s="16"/>
      <c r="V831" s="13"/>
      <c r="W831" s="16"/>
      <c r="X831" s="16"/>
      <c r="Y831" s="16"/>
      <c r="Z831" s="16"/>
      <c r="AA831" s="22" t="n">
        <f aca="false">IF(F831&lt;&gt;"Y",0,((SUMIF(Products!$E$5:$E$300,A831,Products!$F$5:$F$300)+SUMIF(RM_Lots!$A$5:$A$400,A831,RM_Lots!$D$5:$D$400))+IF(W831="Y",SUMIF(Products!$E$5:$E$300,A831,Products!$G$5:$G$300),0))*(1+N(V831)))</f>
        <v>0</v>
      </c>
      <c r="AB831" s="22" t="n">
        <f aca="false">IF(F831&lt;&gt;"Y",0,((SUMIF(Products!$E$5:$E$300,A831,Products!$K$5:$K$300)+SUMIF(RM_Lots!$A$5:$A$400,A831,RM_Lots!$F$5:$F$400))+IF(W831="Y",SUMIF(Products!$E$5:$E$300,A831,Products!$L$5:$L$300),0))*(1+N(V831)))</f>
        <v>0</v>
      </c>
      <c r="AC831" s="17" t="n">
        <f aca="false">IF(J831="",1,MAX(1,COUNTIFS($J$5:$J$863,J831,$F$5:$F$863,"Y")))</f>
        <v>1</v>
      </c>
      <c r="AD831" s="18" t="n">
        <f aca="false">(MAX(1,N(I831))*(P831+N(S831))+MAX(1,N(I831))*N(K831)/(MAX(1,N(U831))*AC831))*Settings!$B$9</f>
        <v>0</v>
      </c>
      <c r="AE831" s="18" t="n">
        <f aca="false">(MAX(1,N(I831))*N(Q831)+MAX(1,N(I831))*N(L831)/(MAX(1,N(U831))*AC831))*Settings!$B$8</f>
        <v>0</v>
      </c>
      <c r="AF831" s="18" t="n">
        <f aca="false">MAX(1,N(I831))*N(T831)</f>
        <v>0</v>
      </c>
      <c r="AG831" s="15" t="n">
        <f aca="false">AA831*N(AD831)</f>
        <v>0</v>
      </c>
      <c r="AH831" s="15" t="n">
        <f aca="false">AA831*N(AE831)</f>
        <v>0</v>
      </c>
      <c r="AI831" s="15" t="n">
        <f aca="false">AA831*N(AF831)</f>
        <v>0</v>
      </c>
      <c r="AJ831" s="15" t="n">
        <f aca="false">AA831*N(R831)</f>
        <v>0</v>
      </c>
      <c r="AK831" s="15" t="n">
        <f aca="false">AB831*N(AD831)</f>
        <v>0</v>
      </c>
      <c r="AL831" s="15" t="n">
        <f aca="false">AB831*N(AE831)</f>
        <v>0</v>
      </c>
      <c r="AM831" s="15" t="n">
        <f aca="false">AB831*N(AF831)</f>
        <v>0</v>
      </c>
      <c r="AN831" s="15" t="n">
        <f aca="false">AB831*N(R831)</f>
        <v>0</v>
      </c>
      <c r="AO831" s="21" t="str">
        <f aca="false">IF(F831&lt;&gt;"Y","n/a",IF(AND(N831&lt;&gt;"",OR(Q831&lt;&gt;"",G831="Other / bench",G831="None"),U831&lt;&gt;""),"OK","Missing"))</f>
        <v>n/a</v>
      </c>
    </row>
    <row r="832" customFormat="false" ht="15" hidden="false" customHeight="false" outlineLevel="0" collapsed="false">
      <c r="A832" s="16"/>
      <c r="B832" s="16"/>
      <c r="C832" s="16"/>
      <c r="D832" s="16"/>
      <c r="E832" s="21" t="str">
        <f aca="false">IF(A832="","",A832&amp;"|"&amp;D832)</f>
        <v/>
      </c>
      <c r="F832" s="16"/>
      <c r="G832" s="16"/>
      <c r="H832" s="16"/>
      <c r="I832" s="16"/>
      <c r="J832" s="16"/>
      <c r="K832" s="14"/>
      <c r="L832" s="14"/>
      <c r="M832" s="14"/>
      <c r="N832" s="14"/>
      <c r="O832" s="14"/>
      <c r="P832" s="18" t="n">
        <f aca="false">IF(N832="",0,IF(OR(M832="",O832=""),N832,(M832+4*N832+O832)/6))</f>
        <v>0</v>
      </c>
      <c r="Q832" s="14"/>
      <c r="R832" s="14"/>
      <c r="S832" s="14"/>
      <c r="T832" s="14"/>
      <c r="U832" s="16"/>
      <c r="V832" s="13"/>
      <c r="W832" s="16"/>
      <c r="X832" s="16"/>
      <c r="Y832" s="16"/>
      <c r="Z832" s="16"/>
      <c r="AA832" s="22" t="n">
        <f aca="false">IF(F832&lt;&gt;"Y",0,((SUMIF(Products!$E$5:$E$300,A832,Products!$F$5:$F$300)+SUMIF(RM_Lots!$A$5:$A$400,A832,RM_Lots!$D$5:$D$400))+IF(W832="Y",SUMIF(Products!$E$5:$E$300,A832,Products!$G$5:$G$300),0))*(1+N(V832)))</f>
        <v>0</v>
      </c>
      <c r="AB832" s="22" t="n">
        <f aca="false">IF(F832&lt;&gt;"Y",0,((SUMIF(Products!$E$5:$E$300,A832,Products!$K$5:$K$300)+SUMIF(RM_Lots!$A$5:$A$400,A832,RM_Lots!$F$5:$F$400))+IF(W832="Y",SUMIF(Products!$E$5:$E$300,A832,Products!$L$5:$L$300),0))*(1+N(V832)))</f>
        <v>0</v>
      </c>
      <c r="AC832" s="17" t="n">
        <f aca="false">IF(J832="",1,MAX(1,COUNTIFS($J$5:$J$863,J832,$F$5:$F$863,"Y")))</f>
        <v>1</v>
      </c>
      <c r="AD832" s="18" t="n">
        <f aca="false">(MAX(1,N(I832))*(P832+N(S832))+MAX(1,N(I832))*N(K832)/(MAX(1,N(U832))*AC832))*Settings!$B$9</f>
        <v>0</v>
      </c>
      <c r="AE832" s="18" t="n">
        <f aca="false">(MAX(1,N(I832))*N(Q832)+MAX(1,N(I832))*N(L832)/(MAX(1,N(U832))*AC832))*Settings!$B$8</f>
        <v>0</v>
      </c>
      <c r="AF832" s="18" t="n">
        <f aca="false">MAX(1,N(I832))*N(T832)</f>
        <v>0</v>
      </c>
      <c r="AG832" s="15" t="n">
        <f aca="false">AA832*N(AD832)</f>
        <v>0</v>
      </c>
      <c r="AH832" s="15" t="n">
        <f aca="false">AA832*N(AE832)</f>
        <v>0</v>
      </c>
      <c r="AI832" s="15" t="n">
        <f aca="false">AA832*N(AF832)</f>
        <v>0</v>
      </c>
      <c r="AJ832" s="15" t="n">
        <f aca="false">AA832*N(R832)</f>
        <v>0</v>
      </c>
      <c r="AK832" s="15" t="n">
        <f aca="false">AB832*N(AD832)</f>
        <v>0</v>
      </c>
      <c r="AL832" s="15" t="n">
        <f aca="false">AB832*N(AE832)</f>
        <v>0</v>
      </c>
      <c r="AM832" s="15" t="n">
        <f aca="false">AB832*N(AF832)</f>
        <v>0</v>
      </c>
      <c r="AN832" s="15" t="n">
        <f aca="false">AB832*N(R832)</f>
        <v>0</v>
      </c>
      <c r="AO832" s="21" t="str">
        <f aca="false">IF(F832&lt;&gt;"Y","n/a",IF(AND(N832&lt;&gt;"",OR(Q832&lt;&gt;"",G832="Other / bench",G832="None"),U832&lt;&gt;""),"OK","Missing"))</f>
        <v>n/a</v>
      </c>
    </row>
    <row r="833" customFormat="false" ht="15" hidden="false" customHeight="false" outlineLevel="0" collapsed="false">
      <c r="A833" s="16"/>
      <c r="B833" s="16"/>
      <c r="C833" s="16"/>
      <c r="D833" s="16"/>
      <c r="E833" s="21" t="str">
        <f aca="false">IF(A833="","",A833&amp;"|"&amp;D833)</f>
        <v/>
      </c>
      <c r="F833" s="16"/>
      <c r="G833" s="16"/>
      <c r="H833" s="16"/>
      <c r="I833" s="16"/>
      <c r="J833" s="16"/>
      <c r="K833" s="14"/>
      <c r="L833" s="14"/>
      <c r="M833" s="14"/>
      <c r="N833" s="14"/>
      <c r="O833" s="14"/>
      <c r="P833" s="18" t="n">
        <f aca="false">IF(N833="",0,IF(OR(M833="",O833=""),N833,(M833+4*N833+O833)/6))</f>
        <v>0</v>
      </c>
      <c r="Q833" s="14"/>
      <c r="R833" s="14"/>
      <c r="S833" s="14"/>
      <c r="T833" s="14"/>
      <c r="U833" s="16"/>
      <c r="V833" s="13"/>
      <c r="W833" s="16"/>
      <c r="X833" s="16"/>
      <c r="Y833" s="16"/>
      <c r="Z833" s="16"/>
      <c r="AA833" s="22" t="n">
        <f aca="false">IF(F833&lt;&gt;"Y",0,((SUMIF(Products!$E$5:$E$300,A833,Products!$F$5:$F$300)+SUMIF(RM_Lots!$A$5:$A$400,A833,RM_Lots!$D$5:$D$400))+IF(W833="Y",SUMIF(Products!$E$5:$E$300,A833,Products!$G$5:$G$300),0))*(1+N(V833)))</f>
        <v>0</v>
      </c>
      <c r="AB833" s="22" t="n">
        <f aca="false">IF(F833&lt;&gt;"Y",0,((SUMIF(Products!$E$5:$E$300,A833,Products!$K$5:$K$300)+SUMIF(RM_Lots!$A$5:$A$400,A833,RM_Lots!$F$5:$F$400))+IF(W833="Y",SUMIF(Products!$E$5:$E$300,A833,Products!$L$5:$L$300),0))*(1+N(V833)))</f>
        <v>0</v>
      </c>
      <c r="AC833" s="17" t="n">
        <f aca="false">IF(J833="",1,MAX(1,COUNTIFS($J$5:$J$863,J833,$F$5:$F$863,"Y")))</f>
        <v>1</v>
      </c>
      <c r="AD833" s="18" t="n">
        <f aca="false">(MAX(1,N(I833))*(P833+N(S833))+MAX(1,N(I833))*N(K833)/(MAX(1,N(U833))*AC833))*Settings!$B$9</f>
        <v>0</v>
      </c>
      <c r="AE833" s="18" t="n">
        <f aca="false">(MAX(1,N(I833))*N(Q833)+MAX(1,N(I833))*N(L833)/(MAX(1,N(U833))*AC833))*Settings!$B$8</f>
        <v>0</v>
      </c>
      <c r="AF833" s="18" t="n">
        <f aca="false">MAX(1,N(I833))*N(T833)</f>
        <v>0</v>
      </c>
      <c r="AG833" s="15" t="n">
        <f aca="false">AA833*N(AD833)</f>
        <v>0</v>
      </c>
      <c r="AH833" s="15" t="n">
        <f aca="false">AA833*N(AE833)</f>
        <v>0</v>
      </c>
      <c r="AI833" s="15" t="n">
        <f aca="false">AA833*N(AF833)</f>
        <v>0</v>
      </c>
      <c r="AJ833" s="15" t="n">
        <f aca="false">AA833*N(R833)</f>
        <v>0</v>
      </c>
      <c r="AK833" s="15" t="n">
        <f aca="false">AB833*N(AD833)</f>
        <v>0</v>
      </c>
      <c r="AL833" s="15" t="n">
        <f aca="false">AB833*N(AE833)</f>
        <v>0</v>
      </c>
      <c r="AM833" s="15" t="n">
        <f aca="false">AB833*N(AF833)</f>
        <v>0</v>
      </c>
      <c r="AN833" s="15" t="n">
        <f aca="false">AB833*N(R833)</f>
        <v>0</v>
      </c>
      <c r="AO833" s="21" t="str">
        <f aca="false">IF(F833&lt;&gt;"Y","n/a",IF(AND(N833&lt;&gt;"",OR(Q833&lt;&gt;"",G833="Other / bench",G833="None"),U833&lt;&gt;""),"OK","Missing"))</f>
        <v>n/a</v>
      </c>
    </row>
    <row r="834" customFormat="false" ht="15" hidden="false" customHeight="false" outlineLevel="0" collapsed="false">
      <c r="A834" s="16"/>
      <c r="B834" s="16"/>
      <c r="C834" s="16"/>
      <c r="D834" s="16"/>
      <c r="E834" s="21" t="str">
        <f aca="false">IF(A834="","",A834&amp;"|"&amp;D834)</f>
        <v/>
      </c>
      <c r="F834" s="16"/>
      <c r="G834" s="16"/>
      <c r="H834" s="16"/>
      <c r="I834" s="16"/>
      <c r="J834" s="16"/>
      <c r="K834" s="14"/>
      <c r="L834" s="14"/>
      <c r="M834" s="14"/>
      <c r="N834" s="14"/>
      <c r="O834" s="14"/>
      <c r="P834" s="18" t="n">
        <f aca="false">IF(N834="",0,IF(OR(M834="",O834=""),N834,(M834+4*N834+O834)/6))</f>
        <v>0</v>
      </c>
      <c r="Q834" s="14"/>
      <c r="R834" s="14"/>
      <c r="S834" s="14"/>
      <c r="T834" s="14"/>
      <c r="U834" s="16"/>
      <c r="V834" s="13"/>
      <c r="W834" s="16"/>
      <c r="X834" s="16"/>
      <c r="Y834" s="16"/>
      <c r="Z834" s="16"/>
      <c r="AA834" s="22" t="n">
        <f aca="false">IF(F834&lt;&gt;"Y",0,((SUMIF(Products!$E$5:$E$300,A834,Products!$F$5:$F$300)+SUMIF(RM_Lots!$A$5:$A$400,A834,RM_Lots!$D$5:$D$400))+IF(W834="Y",SUMIF(Products!$E$5:$E$300,A834,Products!$G$5:$G$300),0))*(1+N(V834)))</f>
        <v>0</v>
      </c>
      <c r="AB834" s="22" t="n">
        <f aca="false">IF(F834&lt;&gt;"Y",0,((SUMIF(Products!$E$5:$E$300,A834,Products!$K$5:$K$300)+SUMIF(RM_Lots!$A$5:$A$400,A834,RM_Lots!$F$5:$F$400))+IF(W834="Y",SUMIF(Products!$E$5:$E$300,A834,Products!$L$5:$L$300),0))*(1+N(V834)))</f>
        <v>0</v>
      </c>
      <c r="AC834" s="17" t="n">
        <f aca="false">IF(J834="",1,MAX(1,COUNTIFS($J$5:$J$863,J834,$F$5:$F$863,"Y")))</f>
        <v>1</v>
      </c>
      <c r="AD834" s="18" t="n">
        <f aca="false">(MAX(1,N(I834))*(P834+N(S834))+MAX(1,N(I834))*N(K834)/(MAX(1,N(U834))*AC834))*Settings!$B$9</f>
        <v>0</v>
      </c>
      <c r="AE834" s="18" t="n">
        <f aca="false">(MAX(1,N(I834))*N(Q834)+MAX(1,N(I834))*N(L834)/(MAX(1,N(U834))*AC834))*Settings!$B$8</f>
        <v>0</v>
      </c>
      <c r="AF834" s="18" t="n">
        <f aca="false">MAX(1,N(I834))*N(T834)</f>
        <v>0</v>
      </c>
      <c r="AG834" s="15" t="n">
        <f aca="false">AA834*N(AD834)</f>
        <v>0</v>
      </c>
      <c r="AH834" s="15" t="n">
        <f aca="false">AA834*N(AE834)</f>
        <v>0</v>
      </c>
      <c r="AI834" s="15" t="n">
        <f aca="false">AA834*N(AF834)</f>
        <v>0</v>
      </c>
      <c r="AJ834" s="15" t="n">
        <f aca="false">AA834*N(R834)</f>
        <v>0</v>
      </c>
      <c r="AK834" s="15" t="n">
        <f aca="false">AB834*N(AD834)</f>
        <v>0</v>
      </c>
      <c r="AL834" s="15" t="n">
        <f aca="false">AB834*N(AE834)</f>
        <v>0</v>
      </c>
      <c r="AM834" s="15" t="n">
        <f aca="false">AB834*N(AF834)</f>
        <v>0</v>
      </c>
      <c r="AN834" s="15" t="n">
        <f aca="false">AB834*N(R834)</f>
        <v>0</v>
      </c>
      <c r="AO834" s="21" t="str">
        <f aca="false">IF(F834&lt;&gt;"Y","n/a",IF(AND(N834&lt;&gt;"",OR(Q834&lt;&gt;"",G834="Other / bench",G834="None"),U834&lt;&gt;""),"OK","Missing"))</f>
        <v>n/a</v>
      </c>
    </row>
    <row r="835" customFormat="false" ht="15" hidden="false" customHeight="false" outlineLevel="0" collapsed="false">
      <c r="A835" s="16"/>
      <c r="B835" s="16"/>
      <c r="C835" s="16"/>
      <c r="D835" s="16"/>
      <c r="E835" s="21" t="str">
        <f aca="false">IF(A835="","",A835&amp;"|"&amp;D835)</f>
        <v/>
      </c>
      <c r="F835" s="16"/>
      <c r="G835" s="16"/>
      <c r="H835" s="16"/>
      <c r="I835" s="16"/>
      <c r="J835" s="16"/>
      <c r="K835" s="14"/>
      <c r="L835" s="14"/>
      <c r="M835" s="14"/>
      <c r="N835" s="14"/>
      <c r="O835" s="14"/>
      <c r="P835" s="18" t="n">
        <f aca="false">IF(N835="",0,IF(OR(M835="",O835=""),N835,(M835+4*N835+O835)/6))</f>
        <v>0</v>
      </c>
      <c r="Q835" s="14"/>
      <c r="R835" s="14"/>
      <c r="S835" s="14"/>
      <c r="T835" s="14"/>
      <c r="U835" s="16"/>
      <c r="V835" s="13"/>
      <c r="W835" s="16"/>
      <c r="X835" s="16"/>
      <c r="Y835" s="16"/>
      <c r="Z835" s="16"/>
      <c r="AA835" s="22" t="n">
        <f aca="false">IF(F835&lt;&gt;"Y",0,((SUMIF(Products!$E$5:$E$300,A835,Products!$F$5:$F$300)+SUMIF(RM_Lots!$A$5:$A$400,A835,RM_Lots!$D$5:$D$400))+IF(W835="Y",SUMIF(Products!$E$5:$E$300,A835,Products!$G$5:$G$300),0))*(1+N(V835)))</f>
        <v>0</v>
      </c>
      <c r="AB835" s="22" t="n">
        <f aca="false">IF(F835&lt;&gt;"Y",0,((SUMIF(Products!$E$5:$E$300,A835,Products!$K$5:$K$300)+SUMIF(RM_Lots!$A$5:$A$400,A835,RM_Lots!$F$5:$F$400))+IF(W835="Y",SUMIF(Products!$E$5:$E$300,A835,Products!$L$5:$L$300),0))*(1+N(V835)))</f>
        <v>0</v>
      </c>
      <c r="AC835" s="17" t="n">
        <f aca="false">IF(J835="",1,MAX(1,COUNTIFS($J$5:$J$863,J835,$F$5:$F$863,"Y")))</f>
        <v>1</v>
      </c>
      <c r="AD835" s="18" t="n">
        <f aca="false">(MAX(1,N(I835))*(P835+N(S835))+MAX(1,N(I835))*N(K835)/(MAX(1,N(U835))*AC835))*Settings!$B$9</f>
        <v>0</v>
      </c>
      <c r="AE835" s="18" t="n">
        <f aca="false">(MAX(1,N(I835))*N(Q835)+MAX(1,N(I835))*N(L835)/(MAX(1,N(U835))*AC835))*Settings!$B$8</f>
        <v>0</v>
      </c>
      <c r="AF835" s="18" t="n">
        <f aca="false">MAX(1,N(I835))*N(T835)</f>
        <v>0</v>
      </c>
      <c r="AG835" s="15" t="n">
        <f aca="false">AA835*N(AD835)</f>
        <v>0</v>
      </c>
      <c r="AH835" s="15" t="n">
        <f aca="false">AA835*N(AE835)</f>
        <v>0</v>
      </c>
      <c r="AI835" s="15" t="n">
        <f aca="false">AA835*N(AF835)</f>
        <v>0</v>
      </c>
      <c r="AJ835" s="15" t="n">
        <f aca="false">AA835*N(R835)</f>
        <v>0</v>
      </c>
      <c r="AK835" s="15" t="n">
        <f aca="false">AB835*N(AD835)</f>
        <v>0</v>
      </c>
      <c r="AL835" s="15" t="n">
        <f aca="false">AB835*N(AE835)</f>
        <v>0</v>
      </c>
      <c r="AM835" s="15" t="n">
        <f aca="false">AB835*N(AF835)</f>
        <v>0</v>
      </c>
      <c r="AN835" s="15" t="n">
        <f aca="false">AB835*N(R835)</f>
        <v>0</v>
      </c>
      <c r="AO835" s="21" t="str">
        <f aca="false">IF(F835&lt;&gt;"Y","n/a",IF(AND(N835&lt;&gt;"",OR(Q835&lt;&gt;"",G835="Other / bench",G835="None"),U835&lt;&gt;""),"OK","Missing"))</f>
        <v>n/a</v>
      </c>
    </row>
    <row r="836" customFormat="false" ht="15" hidden="false" customHeight="false" outlineLevel="0" collapsed="false">
      <c r="A836" s="16"/>
      <c r="B836" s="16"/>
      <c r="C836" s="16"/>
      <c r="D836" s="16"/>
      <c r="E836" s="21" t="str">
        <f aca="false">IF(A836="","",A836&amp;"|"&amp;D836)</f>
        <v/>
      </c>
      <c r="F836" s="16"/>
      <c r="G836" s="16"/>
      <c r="H836" s="16"/>
      <c r="I836" s="16"/>
      <c r="J836" s="16"/>
      <c r="K836" s="14"/>
      <c r="L836" s="14"/>
      <c r="M836" s="14"/>
      <c r="N836" s="14"/>
      <c r="O836" s="14"/>
      <c r="P836" s="18" t="n">
        <f aca="false">IF(N836="",0,IF(OR(M836="",O836=""),N836,(M836+4*N836+O836)/6))</f>
        <v>0</v>
      </c>
      <c r="Q836" s="14"/>
      <c r="R836" s="14"/>
      <c r="S836" s="14"/>
      <c r="T836" s="14"/>
      <c r="U836" s="16"/>
      <c r="V836" s="13"/>
      <c r="W836" s="16"/>
      <c r="X836" s="16"/>
      <c r="Y836" s="16"/>
      <c r="Z836" s="16"/>
      <c r="AA836" s="22" t="n">
        <f aca="false">IF(F836&lt;&gt;"Y",0,((SUMIF(Products!$E$5:$E$300,A836,Products!$F$5:$F$300)+SUMIF(RM_Lots!$A$5:$A$400,A836,RM_Lots!$D$5:$D$400))+IF(W836="Y",SUMIF(Products!$E$5:$E$300,A836,Products!$G$5:$G$300),0))*(1+N(V836)))</f>
        <v>0</v>
      </c>
      <c r="AB836" s="22" t="n">
        <f aca="false">IF(F836&lt;&gt;"Y",0,((SUMIF(Products!$E$5:$E$300,A836,Products!$K$5:$K$300)+SUMIF(RM_Lots!$A$5:$A$400,A836,RM_Lots!$F$5:$F$400))+IF(W836="Y",SUMIF(Products!$E$5:$E$300,A836,Products!$L$5:$L$300),0))*(1+N(V836)))</f>
        <v>0</v>
      </c>
      <c r="AC836" s="17" t="n">
        <f aca="false">IF(J836="",1,MAX(1,COUNTIFS($J$5:$J$863,J836,$F$5:$F$863,"Y")))</f>
        <v>1</v>
      </c>
      <c r="AD836" s="18" t="n">
        <f aca="false">(MAX(1,N(I836))*(P836+N(S836))+MAX(1,N(I836))*N(K836)/(MAX(1,N(U836))*AC836))*Settings!$B$9</f>
        <v>0</v>
      </c>
      <c r="AE836" s="18" t="n">
        <f aca="false">(MAX(1,N(I836))*N(Q836)+MAX(1,N(I836))*N(L836)/(MAX(1,N(U836))*AC836))*Settings!$B$8</f>
        <v>0</v>
      </c>
      <c r="AF836" s="18" t="n">
        <f aca="false">MAX(1,N(I836))*N(T836)</f>
        <v>0</v>
      </c>
      <c r="AG836" s="15" t="n">
        <f aca="false">AA836*N(AD836)</f>
        <v>0</v>
      </c>
      <c r="AH836" s="15" t="n">
        <f aca="false">AA836*N(AE836)</f>
        <v>0</v>
      </c>
      <c r="AI836" s="15" t="n">
        <f aca="false">AA836*N(AF836)</f>
        <v>0</v>
      </c>
      <c r="AJ836" s="15" t="n">
        <f aca="false">AA836*N(R836)</f>
        <v>0</v>
      </c>
      <c r="AK836" s="15" t="n">
        <f aca="false">AB836*N(AD836)</f>
        <v>0</v>
      </c>
      <c r="AL836" s="15" t="n">
        <f aca="false">AB836*N(AE836)</f>
        <v>0</v>
      </c>
      <c r="AM836" s="15" t="n">
        <f aca="false">AB836*N(AF836)</f>
        <v>0</v>
      </c>
      <c r="AN836" s="15" t="n">
        <f aca="false">AB836*N(R836)</f>
        <v>0</v>
      </c>
      <c r="AO836" s="21" t="str">
        <f aca="false">IF(F836&lt;&gt;"Y","n/a",IF(AND(N836&lt;&gt;"",OR(Q836&lt;&gt;"",G836="Other / bench",G836="None"),U836&lt;&gt;""),"OK","Missing"))</f>
        <v>n/a</v>
      </c>
    </row>
    <row r="837" customFormat="false" ht="15" hidden="false" customHeight="false" outlineLevel="0" collapsed="false">
      <c r="A837" s="16"/>
      <c r="B837" s="16"/>
      <c r="C837" s="16"/>
      <c r="D837" s="16"/>
      <c r="E837" s="21" t="str">
        <f aca="false">IF(A837="","",A837&amp;"|"&amp;D837)</f>
        <v/>
      </c>
      <c r="F837" s="16"/>
      <c r="G837" s="16"/>
      <c r="H837" s="16"/>
      <c r="I837" s="16"/>
      <c r="J837" s="16"/>
      <c r="K837" s="14"/>
      <c r="L837" s="14"/>
      <c r="M837" s="14"/>
      <c r="N837" s="14"/>
      <c r="O837" s="14"/>
      <c r="P837" s="18" t="n">
        <f aca="false">IF(N837="",0,IF(OR(M837="",O837=""),N837,(M837+4*N837+O837)/6))</f>
        <v>0</v>
      </c>
      <c r="Q837" s="14"/>
      <c r="R837" s="14"/>
      <c r="S837" s="14"/>
      <c r="T837" s="14"/>
      <c r="U837" s="16"/>
      <c r="V837" s="13"/>
      <c r="W837" s="16"/>
      <c r="X837" s="16"/>
      <c r="Y837" s="16"/>
      <c r="Z837" s="16"/>
      <c r="AA837" s="22" t="n">
        <f aca="false">IF(F837&lt;&gt;"Y",0,((SUMIF(Products!$E$5:$E$300,A837,Products!$F$5:$F$300)+SUMIF(RM_Lots!$A$5:$A$400,A837,RM_Lots!$D$5:$D$400))+IF(W837="Y",SUMIF(Products!$E$5:$E$300,A837,Products!$G$5:$G$300),0))*(1+N(V837)))</f>
        <v>0</v>
      </c>
      <c r="AB837" s="22" t="n">
        <f aca="false">IF(F837&lt;&gt;"Y",0,((SUMIF(Products!$E$5:$E$300,A837,Products!$K$5:$K$300)+SUMIF(RM_Lots!$A$5:$A$400,A837,RM_Lots!$F$5:$F$400))+IF(W837="Y",SUMIF(Products!$E$5:$E$300,A837,Products!$L$5:$L$300),0))*(1+N(V837)))</f>
        <v>0</v>
      </c>
      <c r="AC837" s="17" t="n">
        <f aca="false">IF(J837="",1,MAX(1,COUNTIFS($J$5:$J$863,J837,$F$5:$F$863,"Y")))</f>
        <v>1</v>
      </c>
      <c r="AD837" s="18" t="n">
        <f aca="false">(MAX(1,N(I837))*(P837+N(S837))+MAX(1,N(I837))*N(K837)/(MAX(1,N(U837))*AC837))*Settings!$B$9</f>
        <v>0</v>
      </c>
      <c r="AE837" s="18" t="n">
        <f aca="false">(MAX(1,N(I837))*N(Q837)+MAX(1,N(I837))*N(L837)/(MAX(1,N(U837))*AC837))*Settings!$B$8</f>
        <v>0</v>
      </c>
      <c r="AF837" s="18" t="n">
        <f aca="false">MAX(1,N(I837))*N(T837)</f>
        <v>0</v>
      </c>
      <c r="AG837" s="15" t="n">
        <f aca="false">AA837*N(AD837)</f>
        <v>0</v>
      </c>
      <c r="AH837" s="15" t="n">
        <f aca="false">AA837*N(AE837)</f>
        <v>0</v>
      </c>
      <c r="AI837" s="15" t="n">
        <f aca="false">AA837*N(AF837)</f>
        <v>0</v>
      </c>
      <c r="AJ837" s="15" t="n">
        <f aca="false">AA837*N(R837)</f>
        <v>0</v>
      </c>
      <c r="AK837" s="15" t="n">
        <f aca="false">AB837*N(AD837)</f>
        <v>0</v>
      </c>
      <c r="AL837" s="15" t="n">
        <f aca="false">AB837*N(AE837)</f>
        <v>0</v>
      </c>
      <c r="AM837" s="15" t="n">
        <f aca="false">AB837*N(AF837)</f>
        <v>0</v>
      </c>
      <c r="AN837" s="15" t="n">
        <f aca="false">AB837*N(R837)</f>
        <v>0</v>
      </c>
      <c r="AO837" s="21" t="str">
        <f aca="false">IF(F837&lt;&gt;"Y","n/a",IF(AND(N837&lt;&gt;"",OR(Q837&lt;&gt;"",G837="Other / bench",G837="None"),U837&lt;&gt;""),"OK","Missing"))</f>
        <v>n/a</v>
      </c>
    </row>
    <row r="838" customFormat="false" ht="15" hidden="false" customHeight="false" outlineLevel="0" collapsed="false">
      <c r="A838" s="16"/>
      <c r="B838" s="16"/>
      <c r="C838" s="16"/>
      <c r="D838" s="16"/>
      <c r="E838" s="21" t="str">
        <f aca="false">IF(A838="","",A838&amp;"|"&amp;D838)</f>
        <v/>
      </c>
      <c r="F838" s="16"/>
      <c r="G838" s="16"/>
      <c r="H838" s="16"/>
      <c r="I838" s="16"/>
      <c r="J838" s="16"/>
      <c r="K838" s="14"/>
      <c r="L838" s="14"/>
      <c r="M838" s="14"/>
      <c r="N838" s="14"/>
      <c r="O838" s="14"/>
      <c r="P838" s="18" t="n">
        <f aca="false">IF(N838="",0,IF(OR(M838="",O838=""),N838,(M838+4*N838+O838)/6))</f>
        <v>0</v>
      </c>
      <c r="Q838" s="14"/>
      <c r="R838" s="14"/>
      <c r="S838" s="14"/>
      <c r="T838" s="14"/>
      <c r="U838" s="16"/>
      <c r="V838" s="13"/>
      <c r="W838" s="16"/>
      <c r="X838" s="16"/>
      <c r="Y838" s="16"/>
      <c r="Z838" s="16"/>
      <c r="AA838" s="22" t="n">
        <f aca="false">IF(F838&lt;&gt;"Y",0,((SUMIF(Products!$E$5:$E$300,A838,Products!$F$5:$F$300)+SUMIF(RM_Lots!$A$5:$A$400,A838,RM_Lots!$D$5:$D$400))+IF(W838="Y",SUMIF(Products!$E$5:$E$300,A838,Products!$G$5:$G$300),0))*(1+N(V838)))</f>
        <v>0</v>
      </c>
      <c r="AB838" s="22" t="n">
        <f aca="false">IF(F838&lt;&gt;"Y",0,((SUMIF(Products!$E$5:$E$300,A838,Products!$K$5:$K$300)+SUMIF(RM_Lots!$A$5:$A$400,A838,RM_Lots!$F$5:$F$400))+IF(W838="Y",SUMIF(Products!$E$5:$E$300,A838,Products!$L$5:$L$300),0))*(1+N(V838)))</f>
        <v>0</v>
      </c>
      <c r="AC838" s="17" t="n">
        <f aca="false">IF(J838="",1,MAX(1,COUNTIFS($J$5:$J$863,J838,$F$5:$F$863,"Y")))</f>
        <v>1</v>
      </c>
      <c r="AD838" s="18" t="n">
        <f aca="false">(MAX(1,N(I838))*(P838+N(S838))+MAX(1,N(I838))*N(K838)/(MAX(1,N(U838))*AC838))*Settings!$B$9</f>
        <v>0</v>
      </c>
      <c r="AE838" s="18" t="n">
        <f aca="false">(MAX(1,N(I838))*N(Q838)+MAX(1,N(I838))*N(L838)/(MAX(1,N(U838))*AC838))*Settings!$B$8</f>
        <v>0</v>
      </c>
      <c r="AF838" s="18" t="n">
        <f aca="false">MAX(1,N(I838))*N(T838)</f>
        <v>0</v>
      </c>
      <c r="AG838" s="15" t="n">
        <f aca="false">AA838*N(AD838)</f>
        <v>0</v>
      </c>
      <c r="AH838" s="15" t="n">
        <f aca="false">AA838*N(AE838)</f>
        <v>0</v>
      </c>
      <c r="AI838" s="15" t="n">
        <f aca="false">AA838*N(AF838)</f>
        <v>0</v>
      </c>
      <c r="AJ838" s="15" t="n">
        <f aca="false">AA838*N(R838)</f>
        <v>0</v>
      </c>
      <c r="AK838" s="15" t="n">
        <f aca="false">AB838*N(AD838)</f>
        <v>0</v>
      </c>
      <c r="AL838" s="15" t="n">
        <f aca="false">AB838*N(AE838)</f>
        <v>0</v>
      </c>
      <c r="AM838" s="15" t="n">
        <f aca="false">AB838*N(AF838)</f>
        <v>0</v>
      </c>
      <c r="AN838" s="15" t="n">
        <f aca="false">AB838*N(R838)</f>
        <v>0</v>
      </c>
      <c r="AO838" s="21" t="str">
        <f aca="false">IF(F838&lt;&gt;"Y","n/a",IF(AND(N838&lt;&gt;"",OR(Q838&lt;&gt;"",G838="Other / bench",G838="None"),U838&lt;&gt;""),"OK","Missing"))</f>
        <v>n/a</v>
      </c>
    </row>
    <row r="839" customFormat="false" ht="15" hidden="false" customHeight="false" outlineLevel="0" collapsed="false">
      <c r="A839" s="16"/>
      <c r="B839" s="16"/>
      <c r="C839" s="16"/>
      <c r="D839" s="16"/>
      <c r="E839" s="21" t="str">
        <f aca="false">IF(A839="","",A839&amp;"|"&amp;D839)</f>
        <v/>
      </c>
      <c r="F839" s="16"/>
      <c r="G839" s="16"/>
      <c r="H839" s="16"/>
      <c r="I839" s="16"/>
      <c r="J839" s="16"/>
      <c r="K839" s="14"/>
      <c r="L839" s="14"/>
      <c r="M839" s="14"/>
      <c r="N839" s="14"/>
      <c r="O839" s="14"/>
      <c r="P839" s="18" t="n">
        <f aca="false">IF(N839="",0,IF(OR(M839="",O839=""),N839,(M839+4*N839+O839)/6))</f>
        <v>0</v>
      </c>
      <c r="Q839" s="14"/>
      <c r="R839" s="14"/>
      <c r="S839" s="14"/>
      <c r="T839" s="14"/>
      <c r="U839" s="16"/>
      <c r="V839" s="13"/>
      <c r="W839" s="16"/>
      <c r="X839" s="16"/>
      <c r="Y839" s="16"/>
      <c r="Z839" s="16"/>
      <c r="AA839" s="22" t="n">
        <f aca="false">IF(F839&lt;&gt;"Y",0,((SUMIF(Products!$E$5:$E$300,A839,Products!$F$5:$F$300)+SUMIF(RM_Lots!$A$5:$A$400,A839,RM_Lots!$D$5:$D$400))+IF(W839="Y",SUMIF(Products!$E$5:$E$300,A839,Products!$G$5:$G$300),0))*(1+N(V839)))</f>
        <v>0</v>
      </c>
      <c r="AB839" s="22" t="n">
        <f aca="false">IF(F839&lt;&gt;"Y",0,((SUMIF(Products!$E$5:$E$300,A839,Products!$K$5:$K$300)+SUMIF(RM_Lots!$A$5:$A$400,A839,RM_Lots!$F$5:$F$400))+IF(W839="Y",SUMIF(Products!$E$5:$E$300,A839,Products!$L$5:$L$300),0))*(1+N(V839)))</f>
        <v>0</v>
      </c>
      <c r="AC839" s="17" t="n">
        <f aca="false">IF(J839="",1,MAX(1,COUNTIFS($J$5:$J$863,J839,$F$5:$F$863,"Y")))</f>
        <v>1</v>
      </c>
      <c r="AD839" s="18" t="n">
        <f aca="false">(MAX(1,N(I839))*(P839+N(S839))+MAX(1,N(I839))*N(K839)/(MAX(1,N(U839))*AC839))*Settings!$B$9</f>
        <v>0</v>
      </c>
      <c r="AE839" s="18" t="n">
        <f aca="false">(MAX(1,N(I839))*N(Q839)+MAX(1,N(I839))*N(L839)/(MAX(1,N(U839))*AC839))*Settings!$B$8</f>
        <v>0</v>
      </c>
      <c r="AF839" s="18" t="n">
        <f aca="false">MAX(1,N(I839))*N(T839)</f>
        <v>0</v>
      </c>
      <c r="AG839" s="15" t="n">
        <f aca="false">AA839*N(AD839)</f>
        <v>0</v>
      </c>
      <c r="AH839" s="15" t="n">
        <f aca="false">AA839*N(AE839)</f>
        <v>0</v>
      </c>
      <c r="AI839" s="15" t="n">
        <f aca="false">AA839*N(AF839)</f>
        <v>0</v>
      </c>
      <c r="AJ839" s="15" t="n">
        <f aca="false">AA839*N(R839)</f>
        <v>0</v>
      </c>
      <c r="AK839" s="15" t="n">
        <f aca="false">AB839*N(AD839)</f>
        <v>0</v>
      </c>
      <c r="AL839" s="15" t="n">
        <f aca="false">AB839*N(AE839)</f>
        <v>0</v>
      </c>
      <c r="AM839" s="15" t="n">
        <f aca="false">AB839*N(AF839)</f>
        <v>0</v>
      </c>
      <c r="AN839" s="15" t="n">
        <f aca="false">AB839*N(R839)</f>
        <v>0</v>
      </c>
      <c r="AO839" s="21" t="str">
        <f aca="false">IF(F839&lt;&gt;"Y","n/a",IF(AND(N839&lt;&gt;"",OR(Q839&lt;&gt;"",G839="Other / bench",G839="None"),U839&lt;&gt;""),"OK","Missing"))</f>
        <v>n/a</v>
      </c>
    </row>
    <row r="840" customFormat="false" ht="15" hidden="false" customHeight="false" outlineLevel="0" collapsed="false">
      <c r="A840" s="16"/>
      <c r="B840" s="16"/>
      <c r="C840" s="16"/>
      <c r="D840" s="16"/>
      <c r="E840" s="21" t="str">
        <f aca="false">IF(A840="","",A840&amp;"|"&amp;D840)</f>
        <v/>
      </c>
      <c r="F840" s="16"/>
      <c r="G840" s="16"/>
      <c r="H840" s="16"/>
      <c r="I840" s="16"/>
      <c r="J840" s="16"/>
      <c r="K840" s="14"/>
      <c r="L840" s="14"/>
      <c r="M840" s="14"/>
      <c r="N840" s="14"/>
      <c r="O840" s="14"/>
      <c r="P840" s="18" t="n">
        <f aca="false">IF(N840="",0,IF(OR(M840="",O840=""),N840,(M840+4*N840+O840)/6))</f>
        <v>0</v>
      </c>
      <c r="Q840" s="14"/>
      <c r="R840" s="14"/>
      <c r="S840" s="14"/>
      <c r="T840" s="14"/>
      <c r="U840" s="16"/>
      <c r="V840" s="13"/>
      <c r="W840" s="16"/>
      <c r="X840" s="16"/>
      <c r="Y840" s="16"/>
      <c r="Z840" s="16"/>
      <c r="AA840" s="22" t="n">
        <f aca="false">IF(F840&lt;&gt;"Y",0,((SUMIF(Products!$E$5:$E$300,A840,Products!$F$5:$F$300)+SUMIF(RM_Lots!$A$5:$A$400,A840,RM_Lots!$D$5:$D$400))+IF(W840="Y",SUMIF(Products!$E$5:$E$300,A840,Products!$G$5:$G$300),0))*(1+N(V840)))</f>
        <v>0</v>
      </c>
      <c r="AB840" s="22" t="n">
        <f aca="false">IF(F840&lt;&gt;"Y",0,((SUMIF(Products!$E$5:$E$300,A840,Products!$K$5:$K$300)+SUMIF(RM_Lots!$A$5:$A$400,A840,RM_Lots!$F$5:$F$400))+IF(W840="Y",SUMIF(Products!$E$5:$E$300,A840,Products!$L$5:$L$300),0))*(1+N(V840)))</f>
        <v>0</v>
      </c>
      <c r="AC840" s="17" t="n">
        <f aca="false">IF(J840="",1,MAX(1,COUNTIFS($J$5:$J$863,J840,$F$5:$F$863,"Y")))</f>
        <v>1</v>
      </c>
      <c r="AD840" s="18" t="n">
        <f aca="false">(MAX(1,N(I840))*(P840+N(S840))+MAX(1,N(I840))*N(K840)/(MAX(1,N(U840))*AC840))*Settings!$B$9</f>
        <v>0</v>
      </c>
      <c r="AE840" s="18" t="n">
        <f aca="false">(MAX(1,N(I840))*N(Q840)+MAX(1,N(I840))*N(L840)/(MAX(1,N(U840))*AC840))*Settings!$B$8</f>
        <v>0</v>
      </c>
      <c r="AF840" s="18" t="n">
        <f aca="false">MAX(1,N(I840))*N(T840)</f>
        <v>0</v>
      </c>
      <c r="AG840" s="15" t="n">
        <f aca="false">AA840*N(AD840)</f>
        <v>0</v>
      </c>
      <c r="AH840" s="15" t="n">
        <f aca="false">AA840*N(AE840)</f>
        <v>0</v>
      </c>
      <c r="AI840" s="15" t="n">
        <f aca="false">AA840*N(AF840)</f>
        <v>0</v>
      </c>
      <c r="AJ840" s="15" t="n">
        <f aca="false">AA840*N(R840)</f>
        <v>0</v>
      </c>
      <c r="AK840" s="15" t="n">
        <f aca="false">AB840*N(AD840)</f>
        <v>0</v>
      </c>
      <c r="AL840" s="15" t="n">
        <f aca="false">AB840*N(AE840)</f>
        <v>0</v>
      </c>
      <c r="AM840" s="15" t="n">
        <f aca="false">AB840*N(AF840)</f>
        <v>0</v>
      </c>
      <c r="AN840" s="15" t="n">
        <f aca="false">AB840*N(R840)</f>
        <v>0</v>
      </c>
      <c r="AO840" s="21" t="str">
        <f aca="false">IF(F840&lt;&gt;"Y","n/a",IF(AND(N840&lt;&gt;"",OR(Q840&lt;&gt;"",G840="Other / bench",G840="None"),U840&lt;&gt;""),"OK","Missing"))</f>
        <v>n/a</v>
      </c>
    </row>
    <row r="841" customFormat="false" ht="15" hidden="false" customHeight="false" outlineLevel="0" collapsed="false">
      <c r="A841" s="16"/>
      <c r="B841" s="16"/>
      <c r="C841" s="16"/>
      <c r="D841" s="16"/>
      <c r="E841" s="21" t="str">
        <f aca="false">IF(A841="","",A841&amp;"|"&amp;D841)</f>
        <v/>
      </c>
      <c r="F841" s="16"/>
      <c r="G841" s="16"/>
      <c r="H841" s="16"/>
      <c r="I841" s="16"/>
      <c r="J841" s="16"/>
      <c r="K841" s="14"/>
      <c r="L841" s="14"/>
      <c r="M841" s="14"/>
      <c r="N841" s="14"/>
      <c r="O841" s="14"/>
      <c r="P841" s="18" t="n">
        <f aca="false">IF(N841="",0,IF(OR(M841="",O841=""),N841,(M841+4*N841+O841)/6))</f>
        <v>0</v>
      </c>
      <c r="Q841" s="14"/>
      <c r="R841" s="14"/>
      <c r="S841" s="14"/>
      <c r="T841" s="14"/>
      <c r="U841" s="16"/>
      <c r="V841" s="13"/>
      <c r="W841" s="16"/>
      <c r="X841" s="16"/>
      <c r="Y841" s="16"/>
      <c r="Z841" s="16"/>
      <c r="AA841" s="22" t="n">
        <f aca="false">IF(F841&lt;&gt;"Y",0,((SUMIF(Products!$E$5:$E$300,A841,Products!$F$5:$F$300)+SUMIF(RM_Lots!$A$5:$A$400,A841,RM_Lots!$D$5:$D$400))+IF(W841="Y",SUMIF(Products!$E$5:$E$300,A841,Products!$G$5:$G$300),0))*(1+N(V841)))</f>
        <v>0</v>
      </c>
      <c r="AB841" s="22" t="n">
        <f aca="false">IF(F841&lt;&gt;"Y",0,((SUMIF(Products!$E$5:$E$300,A841,Products!$K$5:$K$300)+SUMIF(RM_Lots!$A$5:$A$400,A841,RM_Lots!$F$5:$F$400))+IF(W841="Y",SUMIF(Products!$E$5:$E$300,A841,Products!$L$5:$L$300),0))*(1+N(V841)))</f>
        <v>0</v>
      </c>
      <c r="AC841" s="17" t="n">
        <f aca="false">IF(J841="",1,MAX(1,COUNTIFS($J$5:$J$863,J841,$F$5:$F$863,"Y")))</f>
        <v>1</v>
      </c>
      <c r="AD841" s="18" t="n">
        <f aca="false">(MAX(1,N(I841))*(P841+N(S841))+MAX(1,N(I841))*N(K841)/(MAX(1,N(U841))*AC841))*Settings!$B$9</f>
        <v>0</v>
      </c>
      <c r="AE841" s="18" t="n">
        <f aca="false">(MAX(1,N(I841))*N(Q841)+MAX(1,N(I841))*N(L841)/(MAX(1,N(U841))*AC841))*Settings!$B$8</f>
        <v>0</v>
      </c>
      <c r="AF841" s="18" t="n">
        <f aca="false">MAX(1,N(I841))*N(T841)</f>
        <v>0</v>
      </c>
      <c r="AG841" s="15" t="n">
        <f aca="false">AA841*N(AD841)</f>
        <v>0</v>
      </c>
      <c r="AH841" s="15" t="n">
        <f aca="false">AA841*N(AE841)</f>
        <v>0</v>
      </c>
      <c r="AI841" s="15" t="n">
        <f aca="false">AA841*N(AF841)</f>
        <v>0</v>
      </c>
      <c r="AJ841" s="15" t="n">
        <f aca="false">AA841*N(R841)</f>
        <v>0</v>
      </c>
      <c r="AK841" s="15" t="n">
        <f aca="false">AB841*N(AD841)</f>
        <v>0</v>
      </c>
      <c r="AL841" s="15" t="n">
        <f aca="false">AB841*N(AE841)</f>
        <v>0</v>
      </c>
      <c r="AM841" s="15" t="n">
        <f aca="false">AB841*N(AF841)</f>
        <v>0</v>
      </c>
      <c r="AN841" s="15" t="n">
        <f aca="false">AB841*N(R841)</f>
        <v>0</v>
      </c>
      <c r="AO841" s="21" t="str">
        <f aca="false">IF(F841&lt;&gt;"Y","n/a",IF(AND(N841&lt;&gt;"",OR(Q841&lt;&gt;"",G841="Other / bench",G841="None"),U841&lt;&gt;""),"OK","Missing"))</f>
        <v>n/a</v>
      </c>
    </row>
    <row r="842" customFormat="false" ht="15" hidden="false" customHeight="false" outlineLevel="0" collapsed="false">
      <c r="A842" s="16"/>
      <c r="B842" s="16"/>
      <c r="C842" s="16"/>
      <c r="D842" s="16"/>
      <c r="E842" s="21" t="str">
        <f aca="false">IF(A842="","",A842&amp;"|"&amp;D842)</f>
        <v/>
      </c>
      <c r="F842" s="16"/>
      <c r="G842" s="16"/>
      <c r="H842" s="16"/>
      <c r="I842" s="16"/>
      <c r="J842" s="16"/>
      <c r="K842" s="14"/>
      <c r="L842" s="14"/>
      <c r="M842" s="14"/>
      <c r="N842" s="14"/>
      <c r="O842" s="14"/>
      <c r="P842" s="18" t="n">
        <f aca="false">IF(N842="",0,IF(OR(M842="",O842=""),N842,(M842+4*N842+O842)/6))</f>
        <v>0</v>
      </c>
      <c r="Q842" s="14"/>
      <c r="R842" s="14"/>
      <c r="S842" s="14"/>
      <c r="T842" s="14"/>
      <c r="U842" s="16"/>
      <c r="V842" s="13"/>
      <c r="W842" s="16"/>
      <c r="X842" s="16"/>
      <c r="Y842" s="16"/>
      <c r="Z842" s="16"/>
      <c r="AA842" s="22" t="n">
        <f aca="false">IF(F842&lt;&gt;"Y",0,((SUMIF(Products!$E$5:$E$300,A842,Products!$F$5:$F$300)+SUMIF(RM_Lots!$A$5:$A$400,A842,RM_Lots!$D$5:$D$400))+IF(W842="Y",SUMIF(Products!$E$5:$E$300,A842,Products!$G$5:$G$300),0))*(1+N(V842)))</f>
        <v>0</v>
      </c>
      <c r="AB842" s="22" t="n">
        <f aca="false">IF(F842&lt;&gt;"Y",0,((SUMIF(Products!$E$5:$E$300,A842,Products!$K$5:$K$300)+SUMIF(RM_Lots!$A$5:$A$400,A842,RM_Lots!$F$5:$F$400))+IF(W842="Y",SUMIF(Products!$E$5:$E$300,A842,Products!$L$5:$L$300),0))*(1+N(V842)))</f>
        <v>0</v>
      </c>
      <c r="AC842" s="17" t="n">
        <f aca="false">IF(J842="",1,MAX(1,COUNTIFS($J$5:$J$863,J842,$F$5:$F$863,"Y")))</f>
        <v>1</v>
      </c>
      <c r="AD842" s="18" t="n">
        <f aca="false">(MAX(1,N(I842))*(P842+N(S842))+MAX(1,N(I842))*N(K842)/(MAX(1,N(U842))*AC842))*Settings!$B$9</f>
        <v>0</v>
      </c>
      <c r="AE842" s="18" t="n">
        <f aca="false">(MAX(1,N(I842))*N(Q842)+MAX(1,N(I842))*N(L842)/(MAX(1,N(U842))*AC842))*Settings!$B$8</f>
        <v>0</v>
      </c>
      <c r="AF842" s="18" t="n">
        <f aca="false">MAX(1,N(I842))*N(T842)</f>
        <v>0</v>
      </c>
      <c r="AG842" s="15" t="n">
        <f aca="false">AA842*N(AD842)</f>
        <v>0</v>
      </c>
      <c r="AH842" s="15" t="n">
        <f aca="false">AA842*N(AE842)</f>
        <v>0</v>
      </c>
      <c r="AI842" s="15" t="n">
        <f aca="false">AA842*N(AF842)</f>
        <v>0</v>
      </c>
      <c r="AJ842" s="15" t="n">
        <f aca="false">AA842*N(R842)</f>
        <v>0</v>
      </c>
      <c r="AK842" s="15" t="n">
        <f aca="false">AB842*N(AD842)</f>
        <v>0</v>
      </c>
      <c r="AL842" s="15" t="n">
        <f aca="false">AB842*N(AE842)</f>
        <v>0</v>
      </c>
      <c r="AM842" s="15" t="n">
        <f aca="false">AB842*N(AF842)</f>
        <v>0</v>
      </c>
      <c r="AN842" s="15" t="n">
        <f aca="false">AB842*N(R842)</f>
        <v>0</v>
      </c>
      <c r="AO842" s="21" t="str">
        <f aca="false">IF(F842&lt;&gt;"Y","n/a",IF(AND(N842&lt;&gt;"",OR(Q842&lt;&gt;"",G842="Other / bench",G842="None"),U842&lt;&gt;""),"OK","Missing"))</f>
        <v>n/a</v>
      </c>
    </row>
    <row r="843" customFormat="false" ht="15" hidden="false" customHeight="false" outlineLevel="0" collapsed="false">
      <c r="A843" s="16"/>
      <c r="B843" s="16"/>
      <c r="C843" s="16"/>
      <c r="D843" s="16"/>
      <c r="E843" s="21" t="str">
        <f aca="false">IF(A843="","",A843&amp;"|"&amp;D843)</f>
        <v/>
      </c>
      <c r="F843" s="16"/>
      <c r="G843" s="16"/>
      <c r="H843" s="16"/>
      <c r="I843" s="16"/>
      <c r="J843" s="16"/>
      <c r="K843" s="14"/>
      <c r="L843" s="14"/>
      <c r="M843" s="14"/>
      <c r="N843" s="14"/>
      <c r="O843" s="14"/>
      <c r="P843" s="18" t="n">
        <f aca="false">IF(N843="",0,IF(OR(M843="",O843=""),N843,(M843+4*N843+O843)/6))</f>
        <v>0</v>
      </c>
      <c r="Q843" s="14"/>
      <c r="R843" s="14"/>
      <c r="S843" s="14"/>
      <c r="T843" s="14"/>
      <c r="U843" s="16"/>
      <c r="V843" s="13"/>
      <c r="W843" s="16"/>
      <c r="X843" s="16"/>
      <c r="Y843" s="16"/>
      <c r="Z843" s="16"/>
      <c r="AA843" s="22" t="n">
        <f aca="false">IF(F843&lt;&gt;"Y",0,((SUMIF(Products!$E$5:$E$300,A843,Products!$F$5:$F$300)+SUMIF(RM_Lots!$A$5:$A$400,A843,RM_Lots!$D$5:$D$400))+IF(W843="Y",SUMIF(Products!$E$5:$E$300,A843,Products!$G$5:$G$300),0))*(1+N(V843)))</f>
        <v>0</v>
      </c>
      <c r="AB843" s="22" t="n">
        <f aca="false">IF(F843&lt;&gt;"Y",0,((SUMIF(Products!$E$5:$E$300,A843,Products!$K$5:$K$300)+SUMIF(RM_Lots!$A$5:$A$400,A843,RM_Lots!$F$5:$F$400))+IF(W843="Y",SUMIF(Products!$E$5:$E$300,A843,Products!$L$5:$L$300),0))*(1+N(V843)))</f>
        <v>0</v>
      </c>
      <c r="AC843" s="17" t="n">
        <f aca="false">IF(J843="",1,MAX(1,COUNTIFS($J$5:$J$863,J843,$F$5:$F$863,"Y")))</f>
        <v>1</v>
      </c>
      <c r="AD843" s="18" t="n">
        <f aca="false">(MAX(1,N(I843))*(P843+N(S843))+MAX(1,N(I843))*N(K843)/(MAX(1,N(U843))*AC843))*Settings!$B$9</f>
        <v>0</v>
      </c>
      <c r="AE843" s="18" t="n">
        <f aca="false">(MAX(1,N(I843))*N(Q843)+MAX(1,N(I843))*N(L843)/(MAX(1,N(U843))*AC843))*Settings!$B$8</f>
        <v>0</v>
      </c>
      <c r="AF843" s="18" t="n">
        <f aca="false">MAX(1,N(I843))*N(T843)</f>
        <v>0</v>
      </c>
      <c r="AG843" s="15" t="n">
        <f aca="false">AA843*N(AD843)</f>
        <v>0</v>
      </c>
      <c r="AH843" s="15" t="n">
        <f aca="false">AA843*N(AE843)</f>
        <v>0</v>
      </c>
      <c r="AI843" s="15" t="n">
        <f aca="false">AA843*N(AF843)</f>
        <v>0</v>
      </c>
      <c r="AJ843" s="15" t="n">
        <f aca="false">AA843*N(R843)</f>
        <v>0</v>
      </c>
      <c r="AK843" s="15" t="n">
        <f aca="false">AB843*N(AD843)</f>
        <v>0</v>
      </c>
      <c r="AL843" s="15" t="n">
        <f aca="false">AB843*N(AE843)</f>
        <v>0</v>
      </c>
      <c r="AM843" s="15" t="n">
        <f aca="false">AB843*N(AF843)</f>
        <v>0</v>
      </c>
      <c r="AN843" s="15" t="n">
        <f aca="false">AB843*N(R843)</f>
        <v>0</v>
      </c>
      <c r="AO843" s="21" t="str">
        <f aca="false">IF(F843&lt;&gt;"Y","n/a",IF(AND(N843&lt;&gt;"",OR(Q843&lt;&gt;"",G843="Other / bench",G843="None"),U843&lt;&gt;""),"OK","Missing"))</f>
        <v>n/a</v>
      </c>
    </row>
    <row r="844" customFormat="false" ht="15" hidden="false" customHeight="false" outlineLevel="0" collapsed="false">
      <c r="A844" s="16"/>
      <c r="B844" s="16"/>
      <c r="C844" s="16"/>
      <c r="D844" s="16"/>
      <c r="E844" s="21" t="str">
        <f aca="false">IF(A844="","",A844&amp;"|"&amp;D844)</f>
        <v/>
      </c>
      <c r="F844" s="16"/>
      <c r="G844" s="16"/>
      <c r="H844" s="16"/>
      <c r="I844" s="16"/>
      <c r="J844" s="16"/>
      <c r="K844" s="14"/>
      <c r="L844" s="14"/>
      <c r="M844" s="14"/>
      <c r="N844" s="14"/>
      <c r="O844" s="14"/>
      <c r="P844" s="18" t="n">
        <f aca="false">IF(N844="",0,IF(OR(M844="",O844=""),N844,(M844+4*N844+O844)/6))</f>
        <v>0</v>
      </c>
      <c r="Q844" s="14"/>
      <c r="R844" s="14"/>
      <c r="S844" s="14"/>
      <c r="T844" s="14"/>
      <c r="U844" s="16"/>
      <c r="V844" s="13"/>
      <c r="W844" s="16"/>
      <c r="X844" s="16"/>
      <c r="Y844" s="16"/>
      <c r="Z844" s="16"/>
      <c r="AA844" s="22" t="n">
        <f aca="false">IF(F844&lt;&gt;"Y",0,((SUMIF(Products!$E$5:$E$300,A844,Products!$F$5:$F$300)+SUMIF(RM_Lots!$A$5:$A$400,A844,RM_Lots!$D$5:$D$400))+IF(W844="Y",SUMIF(Products!$E$5:$E$300,A844,Products!$G$5:$G$300),0))*(1+N(V844)))</f>
        <v>0</v>
      </c>
      <c r="AB844" s="22" t="n">
        <f aca="false">IF(F844&lt;&gt;"Y",0,((SUMIF(Products!$E$5:$E$300,A844,Products!$K$5:$K$300)+SUMIF(RM_Lots!$A$5:$A$400,A844,RM_Lots!$F$5:$F$400))+IF(W844="Y",SUMIF(Products!$E$5:$E$300,A844,Products!$L$5:$L$300),0))*(1+N(V844)))</f>
        <v>0</v>
      </c>
      <c r="AC844" s="17" t="n">
        <f aca="false">IF(J844="",1,MAX(1,COUNTIFS($J$5:$J$863,J844,$F$5:$F$863,"Y")))</f>
        <v>1</v>
      </c>
      <c r="AD844" s="18" t="n">
        <f aca="false">(MAX(1,N(I844))*(P844+N(S844))+MAX(1,N(I844))*N(K844)/(MAX(1,N(U844))*AC844))*Settings!$B$9</f>
        <v>0</v>
      </c>
      <c r="AE844" s="18" t="n">
        <f aca="false">(MAX(1,N(I844))*N(Q844)+MAX(1,N(I844))*N(L844)/(MAX(1,N(U844))*AC844))*Settings!$B$8</f>
        <v>0</v>
      </c>
      <c r="AF844" s="18" t="n">
        <f aca="false">MAX(1,N(I844))*N(T844)</f>
        <v>0</v>
      </c>
      <c r="AG844" s="15" t="n">
        <f aca="false">AA844*N(AD844)</f>
        <v>0</v>
      </c>
      <c r="AH844" s="15" t="n">
        <f aca="false">AA844*N(AE844)</f>
        <v>0</v>
      </c>
      <c r="AI844" s="15" t="n">
        <f aca="false">AA844*N(AF844)</f>
        <v>0</v>
      </c>
      <c r="AJ844" s="15" t="n">
        <f aca="false">AA844*N(R844)</f>
        <v>0</v>
      </c>
      <c r="AK844" s="15" t="n">
        <f aca="false">AB844*N(AD844)</f>
        <v>0</v>
      </c>
      <c r="AL844" s="15" t="n">
        <f aca="false">AB844*N(AE844)</f>
        <v>0</v>
      </c>
      <c r="AM844" s="15" t="n">
        <f aca="false">AB844*N(AF844)</f>
        <v>0</v>
      </c>
      <c r="AN844" s="15" t="n">
        <f aca="false">AB844*N(R844)</f>
        <v>0</v>
      </c>
      <c r="AO844" s="21" t="str">
        <f aca="false">IF(F844&lt;&gt;"Y","n/a",IF(AND(N844&lt;&gt;"",OR(Q844&lt;&gt;"",G844="Other / bench",G844="None"),U844&lt;&gt;""),"OK","Missing"))</f>
        <v>n/a</v>
      </c>
    </row>
    <row r="845" customFormat="false" ht="15" hidden="false" customHeight="false" outlineLevel="0" collapsed="false">
      <c r="A845" s="16"/>
      <c r="B845" s="16"/>
      <c r="C845" s="16"/>
      <c r="D845" s="16"/>
      <c r="E845" s="21" t="str">
        <f aca="false">IF(A845="","",A845&amp;"|"&amp;D845)</f>
        <v/>
      </c>
      <c r="F845" s="16"/>
      <c r="G845" s="16"/>
      <c r="H845" s="16"/>
      <c r="I845" s="16"/>
      <c r="J845" s="16"/>
      <c r="K845" s="14"/>
      <c r="L845" s="14"/>
      <c r="M845" s="14"/>
      <c r="N845" s="14"/>
      <c r="O845" s="14"/>
      <c r="P845" s="18" t="n">
        <f aca="false">IF(N845="",0,IF(OR(M845="",O845=""),N845,(M845+4*N845+O845)/6))</f>
        <v>0</v>
      </c>
      <c r="Q845" s="14"/>
      <c r="R845" s="14"/>
      <c r="S845" s="14"/>
      <c r="T845" s="14"/>
      <c r="U845" s="16"/>
      <c r="V845" s="13"/>
      <c r="W845" s="16"/>
      <c r="X845" s="16"/>
      <c r="Y845" s="16"/>
      <c r="Z845" s="16"/>
      <c r="AA845" s="22" t="n">
        <f aca="false">IF(F845&lt;&gt;"Y",0,((SUMIF(Products!$E$5:$E$300,A845,Products!$F$5:$F$300)+SUMIF(RM_Lots!$A$5:$A$400,A845,RM_Lots!$D$5:$D$400))+IF(W845="Y",SUMIF(Products!$E$5:$E$300,A845,Products!$G$5:$G$300),0))*(1+N(V845)))</f>
        <v>0</v>
      </c>
      <c r="AB845" s="22" t="n">
        <f aca="false">IF(F845&lt;&gt;"Y",0,((SUMIF(Products!$E$5:$E$300,A845,Products!$K$5:$K$300)+SUMIF(RM_Lots!$A$5:$A$400,A845,RM_Lots!$F$5:$F$400))+IF(W845="Y",SUMIF(Products!$E$5:$E$300,A845,Products!$L$5:$L$300),0))*(1+N(V845)))</f>
        <v>0</v>
      </c>
      <c r="AC845" s="17" t="n">
        <f aca="false">IF(J845="",1,MAX(1,COUNTIFS($J$5:$J$863,J845,$F$5:$F$863,"Y")))</f>
        <v>1</v>
      </c>
      <c r="AD845" s="18" t="n">
        <f aca="false">(MAX(1,N(I845))*(P845+N(S845))+MAX(1,N(I845))*N(K845)/(MAX(1,N(U845))*AC845))*Settings!$B$9</f>
        <v>0</v>
      </c>
      <c r="AE845" s="18" t="n">
        <f aca="false">(MAX(1,N(I845))*N(Q845)+MAX(1,N(I845))*N(L845)/(MAX(1,N(U845))*AC845))*Settings!$B$8</f>
        <v>0</v>
      </c>
      <c r="AF845" s="18" t="n">
        <f aca="false">MAX(1,N(I845))*N(T845)</f>
        <v>0</v>
      </c>
      <c r="AG845" s="15" t="n">
        <f aca="false">AA845*N(AD845)</f>
        <v>0</v>
      </c>
      <c r="AH845" s="15" t="n">
        <f aca="false">AA845*N(AE845)</f>
        <v>0</v>
      </c>
      <c r="AI845" s="15" t="n">
        <f aca="false">AA845*N(AF845)</f>
        <v>0</v>
      </c>
      <c r="AJ845" s="15" t="n">
        <f aca="false">AA845*N(R845)</f>
        <v>0</v>
      </c>
      <c r="AK845" s="15" t="n">
        <f aca="false">AB845*N(AD845)</f>
        <v>0</v>
      </c>
      <c r="AL845" s="15" t="n">
        <f aca="false">AB845*N(AE845)</f>
        <v>0</v>
      </c>
      <c r="AM845" s="15" t="n">
        <f aca="false">AB845*N(AF845)</f>
        <v>0</v>
      </c>
      <c r="AN845" s="15" t="n">
        <f aca="false">AB845*N(R845)</f>
        <v>0</v>
      </c>
      <c r="AO845" s="21" t="str">
        <f aca="false">IF(F845&lt;&gt;"Y","n/a",IF(AND(N845&lt;&gt;"",OR(Q845&lt;&gt;"",G845="Other / bench",G845="None"),U845&lt;&gt;""),"OK","Missing"))</f>
        <v>n/a</v>
      </c>
    </row>
    <row r="846" customFormat="false" ht="15" hidden="false" customHeight="false" outlineLevel="0" collapsed="false">
      <c r="A846" s="16"/>
      <c r="B846" s="16"/>
      <c r="C846" s="16"/>
      <c r="D846" s="16"/>
      <c r="E846" s="21" t="str">
        <f aca="false">IF(A846="","",A846&amp;"|"&amp;D846)</f>
        <v/>
      </c>
      <c r="F846" s="16"/>
      <c r="G846" s="16"/>
      <c r="H846" s="16"/>
      <c r="I846" s="16"/>
      <c r="J846" s="16"/>
      <c r="K846" s="14"/>
      <c r="L846" s="14"/>
      <c r="M846" s="14"/>
      <c r="N846" s="14"/>
      <c r="O846" s="14"/>
      <c r="P846" s="18" t="n">
        <f aca="false">IF(N846="",0,IF(OR(M846="",O846=""),N846,(M846+4*N846+O846)/6))</f>
        <v>0</v>
      </c>
      <c r="Q846" s="14"/>
      <c r="R846" s="14"/>
      <c r="S846" s="14"/>
      <c r="T846" s="14"/>
      <c r="U846" s="16"/>
      <c r="V846" s="13"/>
      <c r="W846" s="16"/>
      <c r="X846" s="16"/>
      <c r="Y846" s="16"/>
      <c r="Z846" s="16"/>
      <c r="AA846" s="22" t="n">
        <f aca="false">IF(F846&lt;&gt;"Y",0,((SUMIF(Products!$E$5:$E$300,A846,Products!$F$5:$F$300)+SUMIF(RM_Lots!$A$5:$A$400,A846,RM_Lots!$D$5:$D$400))+IF(W846="Y",SUMIF(Products!$E$5:$E$300,A846,Products!$G$5:$G$300),0))*(1+N(V846)))</f>
        <v>0</v>
      </c>
      <c r="AB846" s="22" t="n">
        <f aca="false">IF(F846&lt;&gt;"Y",0,((SUMIF(Products!$E$5:$E$300,A846,Products!$K$5:$K$300)+SUMIF(RM_Lots!$A$5:$A$400,A846,RM_Lots!$F$5:$F$400))+IF(W846="Y",SUMIF(Products!$E$5:$E$300,A846,Products!$L$5:$L$300),0))*(1+N(V846)))</f>
        <v>0</v>
      </c>
      <c r="AC846" s="17" t="n">
        <f aca="false">IF(J846="",1,MAX(1,COUNTIFS($J$5:$J$863,J846,$F$5:$F$863,"Y")))</f>
        <v>1</v>
      </c>
      <c r="AD846" s="18" t="n">
        <f aca="false">(MAX(1,N(I846))*(P846+N(S846))+MAX(1,N(I846))*N(K846)/(MAX(1,N(U846))*AC846))*Settings!$B$9</f>
        <v>0</v>
      </c>
      <c r="AE846" s="18" t="n">
        <f aca="false">(MAX(1,N(I846))*N(Q846)+MAX(1,N(I846))*N(L846)/(MAX(1,N(U846))*AC846))*Settings!$B$8</f>
        <v>0</v>
      </c>
      <c r="AF846" s="18" t="n">
        <f aca="false">MAX(1,N(I846))*N(T846)</f>
        <v>0</v>
      </c>
      <c r="AG846" s="15" t="n">
        <f aca="false">AA846*N(AD846)</f>
        <v>0</v>
      </c>
      <c r="AH846" s="15" t="n">
        <f aca="false">AA846*N(AE846)</f>
        <v>0</v>
      </c>
      <c r="AI846" s="15" t="n">
        <f aca="false">AA846*N(AF846)</f>
        <v>0</v>
      </c>
      <c r="AJ846" s="15" t="n">
        <f aca="false">AA846*N(R846)</f>
        <v>0</v>
      </c>
      <c r="AK846" s="15" t="n">
        <f aca="false">AB846*N(AD846)</f>
        <v>0</v>
      </c>
      <c r="AL846" s="15" t="n">
        <f aca="false">AB846*N(AE846)</f>
        <v>0</v>
      </c>
      <c r="AM846" s="15" t="n">
        <f aca="false">AB846*N(AF846)</f>
        <v>0</v>
      </c>
      <c r="AN846" s="15" t="n">
        <f aca="false">AB846*N(R846)</f>
        <v>0</v>
      </c>
      <c r="AO846" s="21" t="str">
        <f aca="false">IF(F846&lt;&gt;"Y","n/a",IF(AND(N846&lt;&gt;"",OR(Q846&lt;&gt;"",G846="Other / bench",G846="None"),U846&lt;&gt;""),"OK","Missing"))</f>
        <v>n/a</v>
      </c>
    </row>
    <row r="847" customFormat="false" ht="15" hidden="false" customHeight="false" outlineLevel="0" collapsed="false">
      <c r="A847" s="16"/>
      <c r="B847" s="16"/>
      <c r="C847" s="16"/>
      <c r="D847" s="16"/>
      <c r="E847" s="21" t="str">
        <f aca="false">IF(A847="","",A847&amp;"|"&amp;D847)</f>
        <v/>
      </c>
      <c r="F847" s="16"/>
      <c r="G847" s="16"/>
      <c r="H847" s="16"/>
      <c r="I847" s="16"/>
      <c r="J847" s="16"/>
      <c r="K847" s="14"/>
      <c r="L847" s="14"/>
      <c r="M847" s="14"/>
      <c r="N847" s="14"/>
      <c r="O847" s="14"/>
      <c r="P847" s="18" t="n">
        <f aca="false">IF(N847="",0,IF(OR(M847="",O847=""),N847,(M847+4*N847+O847)/6))</f>
        <v>0</v>
      </c>
      <c r="Q847" s="14"/>
      <c r="R847" s="14"/>
      <c r="S847" s="14"/>
      <c r="T847" s="14"/>
      <c r="U847" s="16"/>
      <c r="V847" s="13"/>
      <c r="W847" s="16"/>
      <c r="X847" s="16"/>
      <c r="Y847" s="16"/>
      <c r="Z847" s="16"/>
      <c r="AA847" s="22" t="n">
        <f aca="false">IF(F847&lt;&gt;"Y",0,((SUMIF(Products!$E$5:$E$300,A847,Products!$F$5:$F$300)+SUMIF(RM_Lots!$A$5:$A$400,A847,RM_Lots!$D$5:$D$400))+IF(W847="Y",SUMIF(Products!$E$5:$E$300,A847,Products!$G$5:$G$300),0))*(1+N(V847)))</f>
        <v>0</v>
      </c>
      <c r="AB847" s="22" t="n">
        <f aca="false">IF(F847&lt;&gt;"Y",0,((SUMIF(Products!$E$5:$E$300,A847,Products!$K$5:$K$300)+SUMIF(RM_Lots!$A$5:$A$400,A847,RM_Lots!$F$5:$F$400))+IF(W847="Y",SUMIF(Products!$E$5:$E$300,A847,Products!$L$5:$L$300),0))*(1+N(V847)))</f>
        <v>0</v>
      </c>
      <c r="AC847" s="17" t="n">
        <f aca="false">IF(J847="",1,MAX(1,COUNTIFS($J$5:$J$863,J847,$F$5:$F$863,"Y")))</f>
        <v>1</v>
      </c>
      <c r="AD847" s="18" t="n">
        <f aca="false">(MAX(1,N(I847))*(P847+N(S847))+MAX(1,N(I847))*N(K847)/(MAX(1,N(U847))*AC847))*Settings!$B$9</f>
        <v>0</v>
      </c>
      <c r="AE847" s="18" t="n">
        <f aca="false">(MAX(1,N(I847))*N(Q847)+MAX(1,N(I847))*N(L847)/(MAX(1,N(U847))*AC847))*Settings!$B$8</f>
        <v>0</v>
      </c>
      <c r="AF847" s="18" t="n">
        <f aca="false">MAX(1,N(I847))*N(T847)</f>
        <v>0</v>
      </c>
      <c r="AG847" s="15" t="n">
        <f aca="false">AA847*N(AD847)</f>
        <v>0</v>
      </c>
      <c r="AH847" s="15" t="n">
        <f aca="false">AA847*N(AE847)</f>
        <v>0</v>
      </c>
      <c r="AI847" s="15" t="n">
        <f aca="false">AA847*N(AF847)</f>
        <v>0</v>
      </c>
      <c r="AJ847" s="15" t="n">
        <f aca="false">AA847*N(R847)</f>
        <v>0</v>
      </c>
      <c r="AK847" s="15" t="n">
        <f aca="false">AB847*N(AD847)</f>
        <v>0</v>
      </c>
      <c r="AL847" s="15" t="n">
        <f aca="false">AB847*N(AE847)</f>
        <v>0</v>
      </c>
      <c r="AM847" s="15" t="n">
        <f aca="false">AB847*N(AF847)</f>
        <v>0</v>
      </c>
      <c r="AN847" s="15" t="n">
        <f aca="false">AB847*N(R847)</f>
        <v>0</v>
      </c>
      <c r="AO847" s="21" t="str">
        <f aca="false">IF(F847&lt;&gt;"Y","n/a",IF(AND(N847&lt;&gt;"",OR(Q847&lt;&gt;"",G847="Other / bench",G847="None"),U847&lt;&gt;""),"OK","Missing"))</f>
        <v>n/a</v>
      </c>
    </row>
    <row r="848" customFormat="false" ht="15" hidden="false" customHeight="false" outlineLevel="0" collapsed="false">
      <c r="A848" s="16"/>
      <c r="B848" s="16"/>
      <c r="C848" s="16"/>
      <c r="D848" s="16"/>
      <c r="E848" s="21" t="str">
        <f aca="false">IF(A848="","",A848&amp;"|"&amp;D848)</f>
        <v/>
      </c>
      <c r="F848" s="16"/>
      <c r="G848" s="16"/>
      <c r="H848" s="16"/>
      <c r="I848" s="16"/>
      <c r="J848" s="16"/>
      <c r="K848" s="14"/>
      <c r="L848" s="14"/>
      <c r="M848" s="14"/>
      <c r="N848" s="14"/>
      <c r="O848" s="14"/>
      <c r="P848" s="18" t="n">
        <f aca="false">IF(N848="",0,IF(OR(M848="",O848=""),N848,(M848+4*N848+O848)/6))</f>
        <v>0</v>
      </c>
      <c r="Q848" s="14"/>
      <c r="R848" s="14"/>
      <c r="S848" s="14"/>
      <c r="T848" s="14"/>
      <c r="U848" s="16"/>
      <c r="V848" s="13"/>
      <c r="W848" s="16"/>
      <c r="X848" s="16"/>
      <c r="Y848" s="16"/>
      <c r="Z848" s="16"/>
      <c r="AA848" s="22" t="n">
        <f aca="false">IF(F848&lt;&gt;"Y",0,((SUMIF(Products!$E$5:$E$300,A848,Products!$F$5:$F$300)+SUMIF(RM_Lots!$A$5:$A$400,A848,RM_Lots!$D$5:$D$400))+IF(W848="Y",SUMIF(Products!$E$5:$E$300,A848,Products!$G$5:$G$300),0))*(1+N(V848)))</f>
        <v>0</v>
      </c>
      <c r="AB848" s="22" t="n">
        <f aca="false">IF(F848&lt;&gt;"Y",0,((SUMIF(Products!$E$5:$E$300,A848,Products!$K$5:$K$300)+SUMIF(RM_Lots!$A$5:$A$400,A848,RM_Lots!$F$5:$F$400))+IF(W848="Y",SUMIF(Products!$E$5:$E$300,A848,Products!$L$5:$L$300),0))*(1+N(V848)))</f>
        <v>0</v>
      </c>
      <c r="AC848" s="17" t="n">
        <f aca="false">IF(J848="",1,MAX(1,COUNTIFS($J$5:$J$863,J848,$F$5:$F$863,"Y")))</f>
        <v>1</v>
      </c>
      <c r="AD848" s="18" t="n">
        <f aca="false">(MAX(1,N(I848))*(P848+N(S848))+MAX(1,N(I848))*N(K848)/(MAX(1,N(U848))*AC848))*Settings!$B$9</f>
        <v>0</v>
      </c>
      <c r="AE848" s="18" t="n">
        <f aca="false">(MAX(1,N(I848))*N(Q848)+MAX(1,N(I848))*N(L848)/(MAX(1,N(U848))*AC848))*Settings!$B$8</f>
        <v>0</v>
      </c>
      <c r="AF848" s="18" t="n">
        <f aca="false">MAX(1,N(I848))*N(T848)</f>
        <v>0</v>
      </c>
      <c r="AG848" s="15" t="n">
        <f aca="false">AA848*N(AD848)</f>
        <v>0</v>
      </c>
      <c r="AH848" s="15" t="n">
        <f aca="false">AA848*N(AE848)</f>
        <v>0</v>
      </c>
      <c r="AI848" s="15" t="n">
        <f aca="false">AA848*N(AF848)</f>
        <v>0</v>
      </c>
      <c r="AJ848" s="15" t="n">
        <f aca="false">AA848*N(R848)</f>
        <v>0</v>
      </c>
      <c r="AK848" s="15" t="n">
        <f aca="false">AB848*N(AD848)</f>
        <v>0</v>
      </c>
      <c r="AL848" s="15" t="n">
        <f aca="false">AB848*N(AE848)</f>
        <v>0</v>
      </c>
      <c r="AM848" s="15" t="n">
        <f aca="false">AB848*N(AF848)</f>
        <v>0</v>
      </c>
      <c r="AN848" s="15" t="n">
        <f aca="false">AB848*N(R848)</f>
        <v>0</v>
      </c>
      <c r="AO848" s="21" t="str">
        <f aca="false">IF(F848&lt;&gt;"Y","n/a",IF(AND(N848&lt;&gt;"",OR(Q848&lt;&gt;"",G848="Other / bench",G848="None"),U848&lt;&gt;""),"OK","Missing"))</f>
        <v>n/a</v>
      </c>
    </row>
    <row r="849" customFormat="false" ht="15" hidden="false" customHeight="false" outlineLevel="0" collapsed="false">
      <c r="A849" s="16"/>
      <c r="B849" s="16"/>
      <c r="C849" s="16"/>
      <c r="D849" s="16"/>
      <c r="E849" s="21" t="str">
        <f aca="false">IF(A849="","",A849&amp;"|"&amp;D849)</f>
        <v/>
      </c>
      <c r="F849" s="16"/>
      <c r="G849" s="16"/>
      <c r="H849" s="16"/>
      <c r="I849" s="16"/>
      <c r="J849" s="16"/>
      <c r="K849" s="14"/>
      <c r="L849" s="14"/>
      <c r="M849" s="14"/>
      <c r="N849" s="14"/>
      <c r="O849" s="14"/>
      <c r="P849" s="18" t="n">
        <f aca="false">IF(N849="",0,IF(OR(M849="",O849=""),N849,(M849+4*N849+O849)/6))</f>
        <v>0</v>
      </c>
      <c r="Q849" s="14"/>
      <c r="R849" s="14"/>
      <c r="S849" s="14"/>
      <c r="T849" s="14"/>
      <c r="U849" s="16"/>
      <c r="V849" s="13"/>
      <c r="W849" s="16"/>
      <c r="X849" s="16"/>
      <c r="Y849" s="16"/>
      <c r="Z849" s="16"/>
      <c r="AA849" s="22" t="n">
        <f aca="false">IF(F849&lt;&gt;"Y",0,((SUMIF(Products!$E$5:$E$300,A849,Products!$F$5:$F$300)+SUMIF(RM_Lots!$A$5:$A$400,A849,RM_Lots!$D$5:$D$400))+IF(W849="Y",SUMIF(Products!$E$5:$E$300,A849,Products!$G$5:$G$300),0))*(1+N(V849)))</f>
        <v>0</v>
      </c>
      <c r="AB849" s="22" t="n">
        <f aca="false">IF(F849&lt;&gt;"Y",0,((SUMIF(Products!$E$5:$E$300,A849,Products!$K$5:$K$300)+SUMIF(RM_Lots!$A$5:$A$400,A849,RM_Lots!$F$5:$F$400))+IF(W849="Y",SUMIF(Products!$E$5:$E$300,A849,Products!$L$5:$L$300),0))*(1+N(V849)))</f>
        <v>0</v>
      </c>
      <c r="AC849" s="17" t="n">
        <f aca="false">IF(J849="",1,MAX(1,COUNTIFS($J$5:$J$863,J849,$F$5:$F$863,"Y")))</f>
        <v>1</v>
      </c>
      <c r="AD849" s="18" t="n">
        <f aca="false">(MAX(1,N(I849))*(P849+N(S849))+MAX(1,N(I849))*N(K849)/(MAX(1,N(U849))*AC849))*Settings!$B$9</f>
        <v>0</v>
      </c>
      <c r="AE849" s="18" t="n">
        <f aca="false">(MAX(1,N(I849))*N(Q849)+MAX(1,N(I849))*N(L849)/(MAX(1,N(U849))*AC849))*Settings!$B$8</f>
        <v>0</v>
      </c>
      <c r="AF849" s="18" t="n">
        <f aca="false">MAX(1,N(I849))*N(T849)</f>
        <v>0</v>
      </c>
      <c r="AG849" s="15" t="n">
        <f aca="false">AA849*N(AD849)</f>
        <v>0</v>
      </c>
      <c r="AH849" s="15" t="n">
        <f aca="false">AA849*N(AE849)</f>
        <v>0</v>
      </c>
      <c r="AI849" s="15" t="n">
        <f aca="false">AA849*N(AF849)</f>
        <v>0</v>
      </c>
      <c r="AJ849" s="15" t="n">
        <f aca="false">AA849*N(R849)</f>
        <v>0</v>
      </c>
      <c r="AK849" s="15" t="n">
        <f aca="false">AB849*N(AD849)</f>
        <v>0</v>
      </c>
      <c r="AL849" s="15" t="n">
        <f aca="false">AB849*N(AE849)</f>
        <v>0</v>
      </c>
      <c r="AM849" s="15" t="n">
        <f aca="false">AB849*N(AF849)</f>
        <v>0</v>
      </c>
      <c r="AN849" s="15" t="n">
        <f aca="false">AB849*N(R849)</f>
        <v>0</v>
      </c>
      <c r="AO849" s="21" t="str">
        <f aca="false">IF(F849&lt;&gt;"Y","n/a",IF(AND(N849&lt;&gt;"",OR(Q849&lt;&gt;"",G849="Other / bench",G849="None"),U849&lt;&gt;""),"OK","Missing"))</f>
        <v>n/a</v>
      </c>
    </row>
    <row r="850" customFormat="false" ht="15" hidden="false" customHeight="false" outlineLevel="0" collapsed="false">
      <c r="A850" s="16"/>
      <c r="B850" s="16"/>
      <c r="C850" s="16"/>
      <c r="D850" s="16"/>
      <c r="E850" s="21" t="str">
        <f aca="false">IF(A850="","",A850&amp;"|"&amp;D850)</f>
        <v/>
      </c>
      <c r="F850" s="16"/>
      <c r="G850" s="16"/>
      <c r="H850" s="16"/>
      <c r="I850" s="16"/>
      <c r="J850" s="16"/>
      <c r="K850" s="14"/>
      <c r="L850" s="14"/>
      <c r="M850" s="14"/>
      <c r="N850" s="14"/>
      <c r="O850" s="14"/>
      <c r="P850" s="18" t="n">
        <f aca="false">IF(N850="",0,IF(OR(M850="",O850=""),N850,(M850+4*N850+O850)/6))</f>
        <v>0</v>
      </c>
      <c r="Q850" s="14"/>
      <c r="R850" s="14"/>
      <c r="S850" s="14"/>
      <c r="T850" s="14"/>
      <c r="U850" s="16"/>
      <c r="V850" s="13"/>
      <c r="W850" s="16"/>
      <c r="X850" s="16"/>
      <c r="Y850" s="16"/>
      <c r="Z850" s="16"/>
      <c r="AA850" s="22" t="n">
        <f aca="false">IF(F850&lt;&gt;"Y",0,((SUMIF(Products!$E$5:$E$300,A850,Products!$F$5:$F$300)+SUMIF(RM_Lots!$A$5:$A$400,A850,RM_Lots!$D$5:$D$400))+IF(W850="Y",SUMIF(Products!$E$5:$E$300,A850,Products!$G$5:$G$300),0))*(1+N(V850)))</f>
        <v>0</v>
      </c>
      <c r="AB850" s="22" t="n">
        <f aca="false">IF(F850&lt;&gt;"Y",0,((SUMIF(Products!$E$5:$E$300,A850,Products!$K$5:$K$300)+SUMIF(RM_Lots!$A$5:$A$400,A850,RM_Lots!$F$5:$F$400))+IF(W850="Y",SUMIF(Products!$E$5:$E$300,A850,Products!$L$5:$L$300),0))*(1+N(V850)))</f>
        <v>0</v>
      </c>
      <c r="AC850" s="17" t="n">
        <f aca="false">IF(J850="",1,MAX(1,COUNTIFS($J$5:$J$863,J850,$F$5:$F$863,"Y")))</f>
        <v>1</v>
      </c>
      <c r="AD850" s="18" t="n">
        <f aca="false">(MAX(1,N(I850))*(P850+N(S850))+MAX(1,N(I850))*N(K850)/(MAX(1,N(U850))*AC850))*Settings!$B$9</f>
        <v>0</v>
      </c>
      <c r="AE850" s="18" t="n">
        <f aca="false">(MAX(1,N(I850))*N(Q850)+MAX(1,N(I850))*N(L850)/(MAX(1,N(U850))*AC850))*Settings!$B$8</f>
        <v>0</v>
      </c>
      <c r="AF850" s="18" t="n">
        <f aca="false">MAX(1,N(I850))*N(T850)</f>
        <v>0</v>
      </c>
      <c r="AG850" s="15" t="n">
        <f aca="false">AA850*N(AD850)</f>
        <v>0</v>
      </c>
      <c r="AH850" s="15" t="n">
        <f aca="false">AA850*N(AE850)</f>
        <v>0</v>
      </c>
      <c r="AI850" s="15" t="n">
        <f aca="false">AA850*N(AF850)</f>
        <v>0</v>
      </c>
      <c r="AJ850" s="15" t="n">
        <f aca="false">AA850*N(R850)</f>
        <v>0</v>
      </c>
      <c r="AK850" s="15" t="n">
        <f aca="false">AB850*N(AD850)</f>
        <v>0</v>
      </c>
      <c r="AL850" s="15" t="n">
        <f aca="false">AB850*N(AE850)</f>
        <v>0</v>
      </c>
      <c r="AM850" s="15" t="n">
        <f aca="false">AB850*N(AF850)</f>
        <v>0</v>
      </c>
      <c r="AN850" s="15" t="n">
        <f aca="false">AB850*N(R850)</f>
        <v>0</v>
      </c>
      <c r="AO850" s="21" t="str">
        <f aca="false">IF(F850&lt;&gt;"Y","n/a",IF(AND(N850&lt;&gt;"",OR(Q850&lt;&gt;"",G850="Other / bench",G850="None"),U850&lt;&gt;""),"OK","Missing"))</f>
        <v>n/a</v>
      </c>
    </row>
    <row r="851" customFormat="false" ht="15" hidden="false" customHeight="false" outlineLevel="0" collapsed="false">
      <c r="A851" s="16"/>
      <c r="B851" s="16"/>
      <c r="C851" s="16"/>
      <c r="D851" s="16"/>
      <c r="E851" s="21" t="str">
        <f aca="false">IF(A851="","",A851&amp;"|"&amp;D851)</f>
        <v/>
      </c>
      <c r="F851" s="16"/>
      <c r="G851" s="16"/>
      <c r="H851" s="16"/>
      <c r="I851" s="16"/>
      <c r="J851" s="16"/>
      <c r="K851" s="14"/>
      <c r="L851" s="14"/>
      <c r="M851" s="14"/>
      <c r="N851" s="14"/>
      <c r="O851" s="14"/>
      <c r="P851" s="18" t="n">
        <f aca="false">IF(N851="",0,IF(OR(M851="",O851=""),N851,(M851+4*N851+O851)/6))</f>
        <v>0</v>
      </c>
      <c r="Q851" s="14"/>
      <c r="R851" s="14"/>
      <c r="S851" s="14"/>
      <c r="T851" s="14"/>
      <c r="U851" s="16"/>
      <c r="V851" s="13"/>
      <c r="W851" s="16"/>
      <c r="X851" s="16"/>
      <c r="Y851" s="16"/>
      <c r="Z851" s="16"/>
      <c r="AA851" s="22" t="n">
        <f aca="false">IF(F851&lt;&gt;"Y",0,((SUMIF(Products!$E$5:$E$300,A851,Products!$F$5:$F$300)+SUMIF(RM_Lots!$A$5:$A$400,A851,RM_Lots!$D$5:$D$400))+IF(W851="Y",SUMIF(Products!$E$5:$E$300,A851,Products!$G$5:$G$300),0))*(1+N(V851)))</f>
        <v>0</v>
      </c>
      <c r="AB851" s="22" t="n">
        <f aca="false">IF(F851&lt;&gt;"Y",0,((SUMIF(Products!$E$5:$E$300,A851,Products!$K$5:$K$300)+SUMIF(RM_Lots!$A$5:$A$400,A851,RM_Lots!$F$5:$F$400))+IF(W851="Y",SUMIF(Products!$E$5:$E$300,A851,Products!$L$5:$L$300),0))*(1+N(V851)))</f>
        <v>0</v>
      </c>
      <c r="AC851" s="17" t="n">
        <f aca="false">IF(J851="",1,MAX(1,COUNTIFS($J$5:$J$863,J851,$F$5:$F$863,"Y")))</f>
        <v>1</v>
      </c>
      <c r="AD851" s="18" t="n">
        <f aca="false">(MAX(1,N(I851))*(P851+N(S851))+MAX(1,N(I851))*N(K851)/(MAX(1,N(U851))*AC851))*Settings!$B$9</f>
        <v>0</v>
      </c>
      <c r="AE851" s="18" t="n">
        <f aca="false">(MAX(1,N(I851))*N(Q851)+MAX(1,N(I851))*N(L851)/(MAX(1,N(U851))*AC851))*Settings!$B$8</f>
        <v>0</v>
      </c>
      <c r="AF851" s="18" t="n">
        <f aca="false">MAX(1,N(I851))*N(T851)</f>
        <v>0</v>
      </c>
      <c r="AG851" s="15" t="n">
        <f aca="false">AA851*N(AD851)</f>
        <v>0</v>
      </c>
      <c r="AH851" s="15" t="n">
        <f aca="false">AA851*N(AE851)</f>
        <v>0</v>
      </c>
      <c r="AI851" s="15" t="n">
        <f aca="false">AA851*N(AF851)</f>
        <v>0</v>
      </c>
      <c r="AJ851" s="15" t="n">
        <f aca="false">AA851*N(R851)</f>
        <v>0</v>
      </c>
      <c r="AK851" s="15" t="n">
        <f aca="false">AB851*N(AD851)</f>
        <v>0</v>
      </c>
      <c r="AL851" s="15" t="n">
        <f aca="false">AB851*N(AE851)</f>
        <v>0</v>
      </c>
      <c r="AM851" s="15" t="n">
        <f aca="false">AB851*N(AF851)</f>
        <v>0</v>
      </c>
      <c r="AN851" s="15" t="n">
        <f aca="false">AB851*N(R851)</f>
        <v>0</v>
      </c>
      <c r="AO851" s="21" t="str">
        <f aca="false">IF(F851&lt;&gt;"Y","n/a",IF(AND(N851&lt;&gt;"",OR(Q851&lt;&gt;"",G851="Other / bench",G851="None"),U851&lt;&gt;""),"OK","Missing"))</f>
        <v>n/a</v>
      </c>
    </row>
    <row r="852" customFormat="false" ht="15" hidden="false" customHeight="false" outlineLevel="0" collapsed="false">
      <c r="A852" s="16"/>
      <c r="B852" s="16"/>
      <c r="C852" s="16"/>
      <c r="D852" s="16"/>
      <c r="E852" s="21" t="str">
        <f aca="false">IF(A852="","",A852&amp;"|"&amp;D852)</f>
        <v/>
      </c>
      <c r="F852" s="16"/>
      <c r="G852" s="16"/>
      <c r="H852" s="16"/>
      <c r="I852" s="16"/>
      <c r="J852" s="16"/>
      <c r="K852" s="14"/>
      <c r="L852" s="14"/>
      <c r="M852" s="14"/>
      <c r="N852" s="14"/>
      <c r="O852" s="14"/>
      <c r="P852" s="18" t="n">
        <f aca="false">IF(N852="",0,IF(OR(M852="",O852=""),N852,(M852+4*N852+O852)/6))</f>
        <v>0</v>
      </c>
      <c r="Q852" s="14"/>
      <c r="R852" s="14"/>
      <c r="S852" s="14"/>
      <c r="T852" s="14"/>
      <c r="U852" s="16"/>
      <c r="V852" s="13"/>
      <c r="W852" s="16"/>
      <c r="X852" s="16"/>
      <c r="Y852" s="16"/>
      <c r="Z852" s="16"/>
      <c r="AA852" s="22" t="n">
        <f aca="false">IF(F852&lt;&gt;"Y",0,((SUMIF(Products!$E$5:$E$300,A852,Products!$F$5:$F$300)+SUMIF(RM_Lots!$A$5:$A$400,A852,RM_Lots!$D$5:$D$400))+IF(W852="Y",SUMIF(Products!$E$5:$E$300,A852,Products!$G$5:$G$300),0))*(1+N(V852)))</f>
        <v>0</v>
      </c>
      <c r="AB852" s="22" t="n">
        <f aca="false">IF(F852&lt;&gt;"Y",0,((SUMIF(Products!$E$5:$E$300,A852,Products!$K$5:$K$300)+SUMIF(RM_Lots!$A$5:$A$400,A852,RM_Lots!$F$5:$F$400))+IF(W852="Y",SUMIF(Products!$E$5:$E$300,A852,Products!$L$5:$L$300),0))*(1+N(V852)))</f>
        <v>0</v>
      </c>
      <c r="AC852" s="17" t="n">
        <f aca="false">IF(J852="",1,MAX(1,COUNTIFS($J$5:$J$863,J852,$F$5:$F$863,"Y")))</f>
        <v>1</v>
      </c>
      <c r="AD852" s="18" t="n">
        <f aca="false">(MAX(1,N(I852))*(P852+N(S852))+MAX(1,N(I852))*N(K852)/(MAX(1,N(U852))*AC852))*Settings!$B$9</f>
        <v>0</v>
      </c>
      <c r="AE852" s="18" t="n">
        <f aca="false">(MAX(1,N(I852))*N(Q852)+MAX(1,N(I852))*N(L852)/(MAX(1,N(U852))*AC852))*Settings!$B$8</f>
        <v>0</v>
      </c>
      <c r="AF852" s="18" t="n">
        <f aca="false">MAX(1,N(I852))*N(T852)</f>
        <v>0</v>
      </c>
      <c r="AG852" s="15" t="n">
        <f aca="false">AA852*N(AD852)</f>
        <v>0</v>
      </c>
      <c r="AH852" s="15" t="n">
        <f aca="false">AA852*N(AE852)</f>
        <v>0</v>
      </c>
      <c r="AI852" s="15" t="n">
        <f aca="false">AA852*N(AF852)</f>
        <v>0</v>
      </c>
      <c r="AJ852" s="15" t="n">
        <f aca="false">AA852*N(R852)</f>
        <v>0</v>
      </c>
      <c r="AK852" s="15" t="n">
        <f aca="false">AB852*N(AD852)</f>
        <v>0</v>
      </c>
      <c r="AL852" s="15" t="n">
        <f aca="false">AB852*N(AE852)</f>
        <v>0</v>
      </c>
      <c r="AM852" s="15" t="n">
        <f aca="false">AB852*N(AF852)</f>
        <v>0</v>
      </c>
      <c r="AN852" s="15" t="n">
        <f aca="false">AB852*N(R852)</f>
        <v>0</v>
      </c>
      <c r="AO852" s="21" t="str">
        <f aca="false">IF(F852&lt;&gt;"Y","n/a",IF(AND(N852&lt;&gt;"",OR(Q852&lt;&gt;"",G852="Other / bench",G852="None"),U852&lt;&gt;""),"OK","Missing"))</f>
        <v>n/a</v>
      </c>
    </row>
    <row r="853" customFormat="false" ht="15" hidden="false" customHeight="false" outlineLevel="0" collapsed="false">
      <c r="A853" s="16"/>
      <c r="B853" s="16"/>
      <c r="C853" s="16"/>
      <c r="D853" s="16"/>
      <c r="E853" s="21" t="str">
        <f aca="false">IF(A853="","",A853&amp;"|"&amp;D853)</f>
        <v/>
      </c>
      <c r="F853" s="16"/>
      <c r="G853" s="16"/>
      <c r="H853" s="16"/>
      <c r="I853" s="16"/>
      <c r="J853" s="16"/>
      <c r="K853" s="14"/>
      <c r="L853" s="14"/>
      <c r="M853" s="14"/>
      <c r="N853" s="14"/>
      <c r="O853" s="14"/>
      <c r="P853" s="18" t="n">
        <f aca="false">IF(N853="",0,IF(OR(M853="",O853=""),N853,(M853+4*N853+O853)/6))</f>
        <v>0</v>
      </c>
      <c r="Q853" s="14"/>
      <c r="R853" s="14"/>
      <c r="S853" s="14"/>
      <c r="T853" s="14"/>
      <c r="U853" s="16"/>
      <c r="V853" s="13"/>
      <c r="W853" s="16"/>
      <c r="X853" s="16"/>
      <c r="Y853" s="16"/>
      <c r="Z853" s="16"/>
      <c r="AA853" s="22" t="n">
        <f aca="false">IF(F853&lt;&gt;"Y",0,((SUMIF(Products!$E$5:$E$300,A853,Products!$F$5:$F$300)+SUMIF(RM_Lots!$A$5:$A$400,A853,RM_Lots!$D$5:$D$400))+IF(W853="Y",SUMIF(Products!$E$5:$E$300,A853,Products!$G$5:$G$300),0))*(1+N(V853)))</f>
        <v>0</v>
      </c>
      <c r="AB853" s="22" t="n">
        <f aca="false">IF(F853&lt;&gt;"Y",0,((SUMIF(Products!$E$5:$E$300,A853,Products!$K$5:$K$300)+SUMIF(RM_Lots!$A$5:$A$400,A853,RM_Lots!$F$5:$F$400))+IF(W853="Y",SUMIF(Products!$E$5:$E$300,A853,Products!$L$5:$L$300),0))*(1+N(V853)))</f>
        <v>0</v>
      </c>
      <c r="AC853" s="17" t="n">
        <f aca="false">IF(J853="",1,MAX(1,COUNTIFS($J$5:$J$863,J853,$F$5:$F$863,"Y")))</f>
        <v>1</v>
      </c>
      <c r="AD853" s="18" t="n">
        <f aca="false">(MAX(1,N(I853))*(P853+N(S853))+MAX(1,N(I853))*N(K853)/(MAX(1,N(U853))*AC853))*Settings!$B$9</f>
        <v>0</v>
      </c>
      <c r="AE853" s="18" t="n">
        <f aca="false">(MAX(1,N(I853))*N(Q853)+MAX(1,N(I853))*N(L853)/(MAX(1,N(U853))*AC853))*Settings!$B$8</f>
        <v>0</v>
      </c>
      <c r="AF853" s="18" t="n">
        <f aca="false">MAX(1,N(I853))*N(T853)</f>
        <v>0</v>
      </c>
      <c r="AG853" s="15" t="n">
        <f aca="false">AA853*N(AD853)</f>
        <v>0</v>
      </c>
      <c r="AH853" s="15" t="n">
        <f aca="false">AA853*N(AE853)</f>
        <v>0</v>
      </c>
      <c r="AI853" s="15" t="n">
        <f aca="false">AA853*N(AF853)</f>
        <v>0</v>
      </c>
      <c r="AJ853" s="15" t="n">
        <f aca="false">AA853*N(R853)</f>
        <v>0</v>
      </c>
      <c r="AK853" s="15" t="n">
        <f aca="false">AB853*N(AD853)</f>
        <v>0</v>
      </c>
      <c r="AL853" s="15" t="n">
        <f aca="false">AB853*N(AE853)</f>
        <v>0</v>
      </c>
      <c r="AM853" s="15" t="n">
        <f aca="false">AB853*N(AF853)</f>
        <v>0</v>
      </c>
      <c r="AN853" s="15" t="n">
        <f aca="false">AB853*N(R853)</f>
        <v>0</v>
      </c>
      <c r="AO853" s="21" t="str">
        <f aca="false">IF(F853&lt;&gt;"Y","n/a",IF(AND(N853&lt;&gt;"",OR(Q853&lt;&gt;"",G853="Other / bench",G853="None"),U853&lt;&gt;""),"OK","Missing"))</f>
        <v>n/a</v>
      </c>
    </row>
    <row r="854" customFormat="false" ht="15" hidden="false" customHeight="false" outlineLevel="0" collapsed="false">
      <c r="A854" s="16"/>
      <c r="B854" s="16"/>
      <c r="C854" s="16"/>
      <c r="D854" s="16"/>
      <c r="E854" s="21" t="str">
        <f aca="false">IF(A854="","",A854&amp;"|"&amp;D854)</f>
        <v/>
      </c>
      <c r="F854" s="16"/>
      <c r="G854" s="16"/>
      <c r="H854" s="16"/>
      <c r="I854" s="16"/>
      <c r="J854" s="16"/>
      <c r="K854" s="14"/>
      <c r="L854" s="14"/>
      <c r="M854" s="14"/>
      <c r="N854" s="14"/>
      <c r="O854" s="14"/>
      <c r="P854" s="18" t="n">
        <f aca="false">IF(N854="",0,IF(OR(M854="",O854=""),N854,(M854+4*N854+O854)/6))</f>
        <v>0</v>
      </c>
      <c r="Q854" s="14"/>
      <c r="R854" s="14"/>
      <c r="S854" s="14"/>
      <c r="T854" s="14"/>
      <c r="U854" s="16"/>
      <c r="V854" s="13"/>
      <c r="W854" s="16"/>
      <c r="X854" s="16"/>
      <c r="Y854" s="16"/>
      <c r="Z854" s="16"/>
      <c r="AA854" s="22" t="n">
        <f aca="false">IF(F854&lt;&gt;"Y",0,((SUMIF(Products!$E$5:$E$300,A854,Products!$F$5:$F$300)+SUMIF(RM_Lots!$A$5:$A$400,A854,RM_Lots!$D$5:$D$400))+IF(W854="Y",SUMIF(Products!$E$5:$E$300,A854,Products!$G$5:$G$300),0))*(1+N(V854)))</f>
        <v>0</v>
      </c>
      <c r="AB854" s="22" t="n">
        <f aca="false">IF(F854&lt;&gt;"Y",0,((SUMIF(Products!$E$5:$E$300,A854,Products!$K$5:$K$300)+SUMIF(RM_Lots!$A$5:$A$400,A854,RM_Lots!$F$5:$F$400))+IF(W854="Y",SUMIF(Products!$E$5:$E$300,A854,Products!$L$5:$L$300),0))*(1+N(V854)))</f>
        <v>0</v>
      </c>
      <c r="AC854" s="17" t="n">
        <f aca="false">IF(J854="",1,MAX(1,COUNTIFS($J$5:$J$863,J854,$F$5:$F$863,"Y")))</f>
        <v>1</v>
      </c>
      <c r="AD854" s="18" t="n">
        <f aca="false">(MAX(1,N(I854))*(P854+N(S854))+MAX(1,N(I854))*N(K854)/(MAX(1,N(U854))*AC854))*Settings!$B$9</f>
        <v>0</v>
      </c>
      <c r="AE854" s="18" t="n">
        <f aca="false">(MAX(1,N(I854))*N(Q854)+MAX(1,N(I854))*N(L854)/(MAX(1,N(U854))*AC854))*Settings!$B$8</f>
        <v>0</v>
      </c>
      <c r="AF854" s="18" t="n">
        <f aca="false">MAX(1,N(I854))*N(T854)</f>
        <v>0</v>
      </c>
      <c r="AG854" s="15" t="n">
        <f aca="false">AA854*N(AD854)</f>
        <v>0</v>
      </c>
      <c r="AH854" s="15" t="n">
        <f aca="false">AA854*N(AE854)</f>
        <v>0</v>
      </c>
      <c r="AI854" s="15" t="n">
        <f aca="false">AA854*N(AF854)</f>
        <v>0</v>
      </c>
      <c r="AJ854" s="15" t="n">
        <f aca="false">AA854*N(R854)</f>
        <v>0</v>
      </c>
      <c r="AK854" s="15" t="n">
        <f aca="false">AB854*N(AD854)</f>
        <v>0</v>
      </c>
      <c r="AL854" s="15" t="n">
        <f aca="false">AB854*N(AE854)</f>
        <v>0</v>
      </c>
      <c r="AM854" s="15" t="n">
        <f aca="false">AB854*N(AF854)</f>
        <v>0</v>
      </c>
      <c r="AN854" s="15" t="n">
        <f aca="false">AB854*N(R854)</f>
        <v>0</v>
      </c>
      <c r="AO854" s="21" t="str">
        <f aca="false">IF(F854&lt;&gt;"Y","n/a",IF(AND(N854&lt;&gt;"",OR(Q854&lt;&gt;"",G854="Other / bench",G854="None"),U854&lt;&gt;""),"OK","Missing"))</f>
        <v>n/a</v>
      </c>
    </row>
    <row r="855" customFormat="false" ht="15" hidden="false" customHeight="false" outlineLevel="0" collapsed="false">
      <c r="A855" s="16"/>
      <c r="B855" s="16"/>
      <c r="C855" s="16"/>
      <c r="D855" s="16"/>
      <c r="E855" s="21" t="str">
        <f aca="false">IF(A855="","",A855&amp;"|"&amp;D855)</f>
        <v/>
      </c>
      <c r="F855" s="16"/>
      <c r="G855" s="16"/>
      <c r="H855" s="16"/>
      <c r="I855" s="16"/>
      <c r="J855" s="16"/>
      <c r="K855" s="14"/>
      <c r="L855" s="14"/>
      <c r="M855" s="14"/>
      <c r="N855" s="14"/>
      <c r="O855" s="14"/>
      <c r="P855" s="18" t="n">
        <f aca="false">IF(N855="",0,IF(OR(M855="",O855=""),N855,(M855+4*N855+O855)/6))</f>
        <v>0</v>
      </c>
      <c r="Q855" s="14"/>
      <c r="R855" s="14"/>
      <c r="S855" s="14"/>
      <c r="T855" s="14"/>
      <c r="U855" s="16"/>
      <c r="V855" s="13"/>
      <c r="W855" s="16"/>
      <c r="X855" s="16"/>
      <c r="Y855" s="16"/>
      <c r="Z855" s="16"/>
      <c r="AA855" s="22" t="n">
        <f aca="false">IF(F855&lt;&gt;"Y",0,((SUMIF(Products!$E$5:$E$300,A855,Products!$F$5:$F$300)+SUMIF(RM_Lots!$A$5:$A$400,A855,RM_Lots!$D$5:$D$400))+IF(W855="Y",SUMIF(Products!$E$5:$E$300,A855,Products!$G$5:$G$300),0))*(1+N(V855)))</f>
        <v>0</v>
      </c>
      <c r="AB855" s="22" t="n">
        <f aca="false">IF(F855&lt;&gt;"Y",0,((SUMIF(Products!$E$5:$E$300,A855,Products!$K$5:$K$300)+SUMIF(RM_Lots!$A$5:$A$400,A855,RM_Lots!$F$5:$F$400))+IF(W855="Y",SUMIF(Products!$E$5:$E$300,A855,Products!$L$5:$L$300),0))*(1+N(V855)))</f>
        <v>0</v>
      </c>
      <c r="AC855" s="17" t="n">
        <f aca="false">IF(J855="",1,MAX(1,COUNTIFS($J$5:$J$863,J855,$F$5:$F$863,"Y")))</f>
        <v>1</v>
      </c>
      <c r="AD855" s="18" t="n">
        <f aca="false">(MAX(1,N(I855))*(P855+N(S855))+MAX(1,N(I855))*N(K855)/(MAX(1,N(U855))*AC855))*Settings!$B$9</f>
        <v>0</v>
      </c>
      <c r="AE855" s="18" t="n">
        <f aca="false">(MAX(1,N(I855))*N(Q855)+MAX(1,N(I855))*N(L855)/(MAX(1,N(U855))*AC855))*Settings!$B$8</f>
        <v>0</v>
      </c>
      <c r="AF855" s="18" t="n">
        <f aca="false">MAX(1,N(I855))*N(T855)</f>
        <v>0</v>
      </c>
      <c r="AG855" s="15" t="n">
        <f aca="false">AA855*N(AD855)</f>
        <v>0</v>
      </c>
      <c r="AH855" s="15" t="n">
        <f aca="false">AA855*N(AE855)</f>
        <v>0</v>
      </c>
      <c r="AI855" s="15" t="n">
        <f aca="false">AA855*N(AF855)</f>
        <v>0</v>
      </c>
      <c r="AJ855" s="15" t="n">
        <f aca="false">AA855*N(R855)</f>
        <v>0</v>
      </c>
      <c r="AK855" s="15" t="n">
        <f aca="false">AB855*N(AD855)</f>
        <v>0</v>
      </c>
      <c r="AL855" s="15" t="n">
        <f aca="false">AB855*N(AE855)</f>
        <v>0</v>
      </c>
      <c r="AM855" s="15" t="n">
        <f aca="false">AB855*N(AF855)</f>
        <v>0</v>
      </c>
      <c r="AN855" s="15" t="n">
        <f aca="false">AB855*N(R855)</f>
        <v>0</v>
      </c>
      <c r="AO855" s="21" t="str">
        <f aca="false">IF(F855&lt;&gt;"Y","n/a",IF(AND(N855&lt;&gt;"",OR(Q855&lt;&gt;"",G855="Other / bench",G855="None"),U855&lt;&gt;""),"OK","Missing"))</f>
        <v>n/a</v>
      </c>
    </row>
    <row r="856" customFormat="false" ht="15" hidden="false" customHeight="false" outlineLevel="0" collapsed="false">
      <c r="A856" s="16"/>
      <c r="B856" s="16"/>
      <c r="C856" s="16"/>
      <c r="D856" s="16"/>
      <c r="E856" s="21" t="str">
        <f aca="false">IF(A856="","",A856&amp;"|"&amp;D856)</f>
        <v/>
      </c>
      <c r="F856" s="16"/>
      <c r="G856" s="16"/>
      <c r="H856" s="16"/>
      <c r="I856" s="16"/>
      <c r="J856" s="16"/>
      <c r="K856" s="14"/>
      <c r="L856" s="14"/>
      <c r="M856" s="14"/>
      <c r="N856" s="14"/>
      <c r="O856" s="14"/>
      <c r="P856" s="18" t="n">
        <f aca="false">IF(N856="",0,IF(OR(M856="",O856=""),N856,(M856+4*N856+O856)/6))</f>
        <v>0</v>
      </c>
      <c r="Q856" s="14"/>
      <c r="R856" s="14"/>
      <c r="S856" s="14"/>
      <c r="T856" s="14"/>
      <c r="U856" s="16"/>
      <c r="V856" s="13"/>
      <c r="W856" s="16"/>
      <c r="X856" s="16"/>
      <c r="Y856" s="16"/>
      <c r="Z856" s="16"/>
      <c r="AA856" s="22" t="n">
        <f aca="false">IF(F856&lt;&gt;"Y",0,((SUMIF(Products!$E$5:$E$300,A856,Products!$F$5:$F$300)+SUMIF(RM_Lots!$A$5:$A$400,A856,RM_Lots!$D$5:$D$400))+IF(W856="Y",SUMIF(Products!$E$5:$E$300,A856,Products!$G$5:$G$300),0))*(1+N(V856)))</f>
        <v>0</v>
      </c>
      <c r="AB856" s="22" t="n">
        <f aca="false">IF(F856&lt;&gt;"Y",0,((SUMIF(Products!$E$5:$E$300,A856,Products!$K$5:$K$300)+SUMIF(RM_Lots!$A$5:$A$400,A856,RM_Lots!$F$5:$F$400))+IF(W856="Y",SUMIF(Products!$E$5:$E$300,A856,Products!$L$5:$L$300),0))*(1+N(V856)))</f>
        <v>0</v>
      </c>
      <c r="AC856" s="17" t="n">
        <f aca="false">IF(J856="",1,MAX(1,COUNTIFS($J$5:$J$863,J856,$F$5:$F$863,"Y")))</f>
        <v>1</v>
      </c>
      <c r="AD856" s="18" t="n">
        <f aca="false">(MAX(1,N(I856))*(P856+N(S856))+MAX(1,N(I856))*N(K856)/(MAX(1,N(U856))*AC856))*Settings!$B$9</f>
        <v>0</v>
      </c>
      <c r="AE856" s="18" t="n">
        <f aca="false">(MAX(1,N(I856))*N(Q856)+MAX(1,N(I856))*N(L856)/(MAX(1,N(U856))*AC856))*Settings!$B$8</f>
        <v>0</v>
      </c>
      <c r="AF856" s="18" t="n">
        <f aca="false">MAX(1,N(I856))*N(T856)</f>
        <v>0</v>
      </c>
      <c r="AG856" s="15" t="n">
        <f aca="false">AA856*N(AD856)</f>
        <v>0</v>
      </c>
      <c r="AH856" s="15" t="n">
        <f aca="false">AA856*N(AE856)</f>
        <v>0</v>
      </c>
      <c r="AI856" s="15" t="n">
        <f aca="false">AA856*N(AF856)</f>
        <v>0</v>
      </c>
      <c r="AJ856" s="15" t="n">
        <f aca="false">AA856*N(R856)</f>
        <v>0</v>
      </c>
      <c r="AK856" s="15" t="n">
        <f aca="false">AB856*N(AD856)</f>
        <v>0</v>
      </c>
      <c r="AL856" s="15" t="n">
        <f aca="false">AB856*N(AE856)</f>
        <v>0</v>
      </c>
      <c r="AM856" s="15" t="n">
        <f aca="false">AB856*N(AF856)</f>
        <v>0</v>
      </c>
      <c r="AN856" s="15" t="n">
        <f aca="false">AB856*N(R856)</f>
        <v>0</v>
      </c>
      <c r="AO856" s="21" t="str">
        <f aca="false">IF(F856&lt;&gt;"Y","n/a",IF(AND(N856&lt;&gt;"",OR(Q856&lt;&gt;"",G856="Other / bench",G856="None"),U856&lt;&gt;""),"OK","Missing"))</f>
        <v>n/a</v>
      </c>
    </row>
    <row r="857" customFormat="false" ht="15" hidden="false" customHeight="false" outlineLevel="0" collapsed="false">
      <c r="A857" s="16"/>
      <c r="B857" s="16"/>
      <c r="C857" s="16"/>
      <c r="D857" s="16"/>
      <c r="E857" s="21" t="str">
        <f aca="false">IF(A857="","",A857&amp;"|"&amp;D857)</f>
        <v/>
      </c>
      <c r="F857" s="16"/>
      <c r="G857" s="16"/>
      <c r="H857" s="16"/>
      <c r="I857" s="16"/>
      <c r="J857" s="16"/>
      <c r="K857" s="14"/>
      <c r="L857" s="14"/>
      <c r="M857" s="14"/>
      <c r="N857" s="14"/>
      <c r="O857" s="14"/>
      <c r="P857" s="18" t="n">
        <f aca="false">IF(N857="",0,IF(OR(M857="",O857=""),N857,(M857+4*N857+O857)/6))</f>
        <v>0</v>
      </c>
      <c r="Q857" s="14"/>
      <c r="R857" s="14"/>
      <c r="S857" s="14"/>
      <c r="T857" s="14"/>
      <c r="U857" s="16"/>
      <c r="V857" s="13"/>
      <c r="W857" s="16"/>
      <c r="X857" s="16"/>
      <c r="Y857" s="16"/>
      <c r="Z857" s="16"/>
      <c r="AA857" s="22" t="n">
        <f aca="false">IF(F857&lt;&gt;"Y",0,((SUMIF(Products!$E$5:$E$300,A857,Products!$F$5:$F$300)+SUMIF(RM_Lots!$A$5:$A$400,A857,RM_Lots!$D$5:$D$400))+IF(W857="Y",SUMIF(Products!$E$5:$E$300,A857,Products!$G$5:$G$300),0))*(1+N(V857)))</f>
        <v>0</v>
      </c>
      <c r="AB857" s="22" t="n">
        <f aca="false">IF(F857&lt;&gt;"Y",0,((SUMIF(Products!$E$5:$E$300,A857,Products!$K$5:$K$300)+SUMIF(RM_Lots!$A$5:$A$400,A857,RM_Lots!$F$5:$F$400))+IF(W857="Y",SUMIF(Products!$E$5:$E$300,A857,Products!$L$5:$L$300),0))*(1+N(V857)))</f>
        <v>0</v>
      </c>
      <c r="AC857" s="17" t="n">
        <f aca="false">IF(J857="",1,MAX(1,COUNTIFS($J$5:$J$863,J857,$F$5:$F$863,"Y")))</f>
        <v>1</v>
      </c>
      <c r="AD857" s="18" t="n">
        <f aca="false">(MAX(1,N(I857))*(P857+N(S857))+MAX(1,N(I857))*N(K857)/(MAX(1,N(U857))*AC857))*Settings!$B$9</f>
        <v>0</v>
      </c>
      <c r="AE857" s="18" t="n">
        <f aca="false">(MAX(1,N(I857))*N(Q857)+MAX(1,N(I857))*N(L857)/(MAX(1,N(U857))*AC857))*Settings!$B$8</f>
        <v>0</v>
      </c>
      <c r="AF857" s="18" t="n">
        <f aca="false">MAX(1,N(I857))*N(T857)</f>
        <v>0</v>
      </c>
      <c r="AG857" s="15" t="n">
        <f aca="false">AA857*N(AD857)</f>
        <v>0</v>
      </c>
      <c r="AH857" s="15" t="n">
        <f aca="false">AA857*N(AE857)</f>
        <v>0</v>
      </c>
      <c r="AI857" s="15" t="n">
        <f aca="false">AA857*N(AF857)</f>
        <v>0</v>
      </c>
      <c r="AJ857" s="15" t="n">
        <f aca="false">AA857*N(R857)</f>
        <v>0</v>
      </c>
      <c r="AK857" s="15" t="n">
        <f aca="false">AB857*N(AD857)</f>
        <v>0</v>
      </c>
      <c r="AL857" s="15" t="n">
        <f aca="false">AB857*N(AE857)</f>
        <v>0</v>
      </c>
      <c r="AM857" s="15" t="n">
        <f aca="false">AB857*N(AF857)</f>
        <v>0</v>
      </c>
      <c r="AN857" s="15" t="n">
        <f aca="false">AB857*N(R857)</f>
        <v>0</v>
      </c>
      <c r="AO857" s="21" t="str">
        <f aca="false">IF(F857&lt;&gt;"Y","n/a",IF(AND(N857&lt;&gt;"",OR(Q857&lt;&gt;"",G857="Other / bench",G857="None"),U857&lt;&gt;""),"OK","Missing"))</f>
        <v>n/a</v>
      </c>
    </row>
    <row r="858" customFormat="false" ht="15" hidden="false" customHeight="false" outlineLevel="0" collapsed="false">
      <c r="A858" s="16"/>
      <c r="B858" s="16"/>
      <c r="C858" s="16"/>
      <c r="D858" s="16"/>
      <c r="E858" s="21" t="str">
        <f aca="false">IF(A858="","",A858&amp;"|"&amp;D858)</f>
        <v/>
      </c>
      <c r="F858" s="16"/>
      <c r="G858" s="16"/>
      <c r="H858" s="16"/>
      <c r="I858" s="16"/>
      <c r="J858" s="16"/>
      <c r="K858" s="14"/>
      <c r="L858" s="14"/>
      <c r="M858" s="14"/>
      <c r="N858" s="14"/>
      <c r="O858" s="14"/>
      <c r="P858" s="18" t="n">
        <f aca="false">IF(N858="",0,IF(OR(M858="",O858=""),N858,(M858+4*N858+O858)/6))</f>
        <v>0</v>
      </c>
      <c r="Q858" s="14"/>
      <c r="R858" s="14"/>
      <c r="S858" s="14"/>
      <c r="T858" s="14"/>
      <c r="U858" s="16"/>
      <c r="V858" s="13"/>
      <c r="W858" s="16"/>
      <c r="X858" s="16"/>
      <c r="Y858" s="16"/>
      <c r="Z858" s="16"/>
      <c r="AA858" s="22" t="n">
        <f aca="false">IF(F858&lt;&gt;"Y",0,((SUMIF(Products!$E$5:$E$300,A858,Products!$F$5:$F$300)+SUMIF(RM_Lots!$A$5:$A$400,A858,RM_Lots!$D$5:$D$400))+IF(W858="Y",SUMIF(Products!$E$5:$E$300,A858,Products!$G$5:$G$300),0))*(1+N(V858)))</f>
        <v>0</v>
      </c>
      <c r="AB858" s="22" t="n">
        <f aca="false">IF(F858&lt;&gt;"Y",0,((SUMIF(Products!$E$5:$E$300,A858,Products!$K$5:$K$300)+SUMIF(RM_Lots!$A$5:$A$400,A858,RM_Lots!$F$5:$F$400))+IF(W858="Y",SUMIF(Products!$E$5:$E$300,A858,Products!$L$5:$L$300),0))*(1+N(V858)))</f>
        <v>0</v>
      </c>
      <c r="AC858" s="17" t="n">
        <f aca="false">IF(J858="",1,MAX(1,COUNTIFS($J$5:$J$863,J858,$F$5:$F$863,"Y")))</f>
        <v>1</v>
      </c>
      <c r="AD858" s="18" t="n">
        <f aca="false">(MAX(1,N(I858))*(P858+N(S858))+MAX(1,N(I858))*N(K858)/(MAX(1,N(U858))*AC858))*Settings!$B$9</f>
        <v>0</v>
      </c>
      <c r="AE858" s="18" t="n">
        <f aca="false">(MAX(1,N(I858))*N(Q858)+MAX(1,N(I858))*N(L858)/(MAX(1,N(U858))*AC858))*Settings!$B$8</f>
        <v>0</v>
      </c>
      <c r="AF858" s="18" t="n">
        <f aca="false">MAX(1,N(I858))*N(T858)</f>
        <v>0</v>
      </c>
      <c r="AG858" s="15" t="n">
        <f aca="false">AA858*N(AD858)</f>
        <v>0</v>
      </c>
      <c r="AH858" s="15" t="n">
        <f aca="false">AA858*N(AE858)</f>
        <v>0</v>
      </c>
      <c r="AI858" s="15" t="n">
        <f aca="false">AA858*N(AF858)</f>
        <v>0</v>
      </c>
      <c r="AJ858" s="15" t="n">
        <f aca="false">AA858*N(R858)</f>
        <v>0</v>
      </c>
      <c r="AK858" s="15" t="n">
        <f aca="false">AB858*N(AD858)</f>
        <v>0</v>
      </c>
      <c r="AL858" s="15" t="n">
        <f aca="false">AB858*N(AE858)</f>
        <v>0</v>
      </c>
      <c r="AM858" s="15" t="n">
        <f aca="false">AB858*N(AF858)</f>
        <v>0</v>
      </c>
      <c r="AN858" s="15" t="n">
        <f aca="false">AB858*N(R858)</f>
        <v>0</v>
      </c>
      <c r="AO858" s="21" t="str">
        <f aca="false">IF(F858&lt;&gt;"Y","n/a",IF(AND(N858&lt;&gt;"",OR(Q858&lt;&gt;"",G858="Other / bench",G858="None"),U858&lt;&gt;""),"OK","Missing"))</f>
        <v>n/a</v>
      </c>
    </row>
    <row r="859" customFormat="false" ht="15" hidden="false" customHeight="false" outlineLevel="0" collapsed="false">
      <c r="A859" s="16"/>
      <c r="B859" s="16"/>
      <c r="C859" s="16"/>
      <c r="D859" s="16"/>
      <c r="E859" s="21" t="str">
        <f aca="false">IF(A859="","",A859&amp;"|"&amp;D859)</f>
        <v/>
      </c>
      <c r="F859" s="16"/>
      <c r="G859" s="16"/>
      <c r="H859" s="16"/>
      <c r="I859" s="16"/>
      <c r="J859" s="16"/>
      <c r="K859" s="14"/>
      <c r="L859" s="14"/>
      <c r="M859" s="14"/>
      <c r="N859" s="14"/>
      <c r="O859" s="14"/>
      <c r="P859" s="18" t="n">
        <f aca="false">IF(N859="",0,IF(OR(M859="",O859=""),N859,(M859+4*N859+O859)/6))</f>
        <v>0</v>
      </c>
      <c r="Q859" s="14"/>
      <c r="R859" s="14"/>
      <c r="S859" s="14"/>
      <c r="T859" s="14"/>
      <c r="U859" s="16"/>
      <c r="V859" s="13"/>
      <c r="W859" s="16"/>
      <c r="X859" s="16"/>
      <c r="Y859" s="16"/>
      <c r="Z859" s="16"/>
      <c r="AA859" s="22" t="n">
        <f aca="false">IF(F859&lt;&gt;"Y",0,((SUMIF(Products!$E$5:$E$300,A859,Products!$F$5:$F$300)+SUMIF(RM_Lots!$A$5:$A$400,A859,RM_Lots!$D$5:$D$400))+IF(W859="Y",SUMIF(Products!$E$5:$E$300,A859,Products!$G$5:$G$300),0))*(1+N(V859)))</f>
        <v>0</v>
      </c>
      <c r="AB859" s="22" t="n">
        <f aca="false">IF(F859&lt;&gt;"Y",0,((SUMIF(Products!$E$5:$E$300,A859,Products!$K$5:$K$300)+SUMIF(RM_Lots!$A$5:$A$400,A859,RM_Lots!$F$5:$F$400))+IF(W859="Y",SUMIF(Products!$E$5:$E$300,A859,Products!$L$5:$L$300),0))*(1+N(V859)))</f>
        <v>0</v>
      </c>
      <c r="AC859" s="17" t="n">
        <f aca="false">IF(J859="",1,MAX(1,COUNTIFS($J$5:$J$863,J859,$F$5:$F$863,"Y")))</f>
        <v>1</v>
      </c>
      <c r="AD859" s="18" t="n">
        <f aca="false">(MAX(1,N(I859))*(P859+N(S859))+MAX(1,N(I859))*N(K859)/(MAX(1,N(U859))*AC859))*Settings!$B$9</f>
        <v>0</v>
      </c>
      <c r="AE859" s="18" t="n">
        <f aca="false">(MAX(1,N(I859))*N(Q859)+MAX(1,N(I859))*N(L859)/(MAX(1,N(U859))*AC859))*Settings!$B$8</f>
        <v>0</v>
      </c>
      <c r="AF859" s="18" t="n">
        <f aca="false">MAX(1,N(I859))*N(T859)</f>
        <v>0</v>
      </c>
      <c r="AG859" s="15" t="n">
        <f aca="false">AA859*N(AD859)</f>
        <v>0</v>
      </c>
      <c r="AH859" s="15" t="n">
        <f aca="false">AA859*N(AE859)</f>
        <v>0</v>
      </c>
      <c r="AI859" s="15" t="n">
        <f aca="false">AA859*N(AF859)</f>
        <v>0</v>
      </c>
      <c r="AJ859" s="15" t="n">
        <f aca="false">AA859*N(R859)</f>
        <v>0</v>
      </c>
      <c r="AK859" s="15" t="n">
        <f aca="false">AB859*N(AD859)</f>
        <v>0</v>
      </c>
      <c r="AL859" s="15" t="n">
        <f aca="false">AB859*N(AE859)</f>
        <v>0</v>
      </c>
      <c r="AM859" s="15" t="n">
        <f aca="false">AB859*N(AF859)</f>
        <v>0</v>
      </c>
      <c r="AN859" s="15" t="n">
        <f aca="false">AB859*N(R859)</f>
        <v>0</v>
      </c>
      <c r="AO859" s="21" t="str">
        <f aca="false">IF(F859&lt;&gt;"Y","n/a",IF(AND(N859&lt;&gt;"",OR(Q859&lt;&gt;"",G859="Other / bench",G859="None"),U859&lt;&gt;""),"OK","Missing"))</f>
        <v>n/a</v>
      </c>
    </row>
    <row r="860" customFormat="false" ht="15" hidden="false" customHeight="false" outlineLevel="0" collapsed="false">
      <c r="A860" s="16"/>
      <c r="B860" s="16"/>
      <c r="C860" s="16"/>
      <c r="D860" s="16"/>
      <c r="E860" s="21" t="str">
        <f aca="false">IF(A860="","",A860&amp;"|"&amp;D860)</f>
        <v/>
      </c>
      <c r="F860" s="16"/>
      <c r="G860" s="16"/>
      <c r="H860" s="16"/>
      <c r="I860" s="16"/>
      <c r="J860" s="16"/>
      <c r="K860" s="14"/>
      <c r="L860" s="14"/>
      <c r="M860" s="14"/>
      <c r="N860" s="14"/>
      <c r="O860" s="14"/>
      <c r="P860" s="18" t="n">
        <f aca="false">IF(N860="",0,IF(OR(M860="",O860=""),N860,(M860+4*N860+O860)/6))</f>
        <v>0</v>
      </c>
      <c r="Q860" s="14"/>
      <c r="R860" s="14"/>
      <c r="S860" s="14"/>
      <c r="T860" s="14"/>
      <c r="U860" s="16"/>
      <c r="V860" s="13"/>
      <c r="W860" s="16"/>
      <c r="X860" s="16"/>
      <c r="Y860" s="16"/>
      <c r="Z860" s="16"/>
      <c r="AA860" s="22" t="n">
        <f aca="false">IF(F860&lt;&gt;"Y",0,((SUMIF(Products!$E$5:$E$300,A860,Products!$F$5:$F$300)+SUMIF(RM_Lots!$A$5:$A$400,A860,RM_Lots!$D$5:$D$400))+IF(W860="Y",SUMIF(Products!$E$5:$E$300,A860,Products!$G$5:$G$300),0))*(1+N(V860)))</f>
        <v>0</v>
      </c>
      <c r="AB860" s="22" t="n">
        <f aca="false">IF(F860&lt;&gt;"Y",0,((SUMIF(Products!$E$5:$E$300,A860,Products!$K$5:$K$300)+SUMIF(RM_Lots!$A$5:$A$400,A860,RM_Lots!$F$5:$F$400))+IF(W860="Y",SUMIF(Products!$E$5:$E$300,A860,Products!$L$5:$L$300),0))*(1+N(V860)))</f>
        <v>0</v>
      </c>
      <c r="AC860" s="17" t="n">
        <f aca="false">IF(J860="",1,MAX(1,COUNTIFS($J$5:$J$863,J860,$F$5:$F$863,"Y")))</f>
        <v>1</v>
      </c>
      <c r="AD860" s="18" t="n">
        <f aca="false">(MAX(1,N(I860))*(P860+N(S860))+MAX(1,N(I860))*N(K860)/(MAX(1,N(U860))*AC860))*Settings!$B$9</f>
        <v>0</v>
      </c>
      <c r="AE860" s="18" t="n">
        <f aca="false">(MAX(1,N(I860))*N(Q860)+MAX(1,N(I860))*N(L860)/(MAX(1,N(U860))*AC860))*Settings!$B$8</f>
        <v>0</v>
      </c>
      <c r="AF860" s="18" t="n">
        <f aca="false">MAX(1,N(I860))*N(T860)</f>
        <v>0</v>
      </c>
      <c r="AG860" s="15" t="n">
        <f aca="false">AA860*N(AD860)</f>
        <v>0</v>
      </c>
      <c r="AH860" s="15" t="n">
        <f aca="false">AA860*N(AE860)</f>
        <v>0</v>
      </c>
      <c r="AI860" s="15" t="n">
        <f aca="false">AA860*N(AF860)</f>
        <v>0</v>
      </c>
      <c r="AJ860" s="15" t="n">
        <f aca="false">AA860*N(R860)</f>
        <v>0</v>
      </c>
      <c r="AK860" s="15" t="n">
        <f aca="false">AB860*N(AD860)</f>
        <v>0</v>
      </c>
      <c r="AL860" s="15" t="n">
        <f aca="false">AB860*N(AE860)</f>
        <v>0</v>
      </c>
      <c r="AM860" s="15" t="n">
        <f aca="false">AB860*N(AF860)</f>
        <v>0</v>
      </c>
      <c r="AN860" s="15" t="n">
        <f aca="false">AB860*N(R860)</f>
        <v>0</v>
      </c>
      <c r="AO860" s="21" t="str">
        <f aca="false">IF(F860&lt;&gt;"Y","n/a",IF(AND(N860&lt;&gt;"",OR(Q860&lt;&gt;"",G860="Other / bench",G860="None"),U860&lt;&gt;""),"OK","Missing"))</f>
        <v>n/a</v>
      </c>
    </row>
    <row r="861" customFormat="false" ht="15" hidden="false" customHeight="false" outlineLevel="0" collapsed="false">
      <c r="A861" s="16"/>
      <c r="B861" s="16"/>
      <c r="C861" s="16"/>
      <c r="D861" s="16"/>
      <c r="E861" s="21" t="str">
        <f aca="false">IF(A861="","",A861&amp;"|"&amp;D861)</f>
        <v/>
      </c>
      <c r="F861" s="16"/>
      <c r="G861" s="16"/>
      <c r="H861" s="16"/>
      <c r="I861" s="16"/>
      <c r="J861" s="16"/>
      <c r="K861" s="14"/>
      <c r="L861" s="14"/>
      <c r="M861" s="14"/>
      <c r="N861" s="14"/>
      <c r="O861" s="14"/>
      <c r="P861" s="18" t="n">
        <f aca="false">IF(N861="",0,IF(OR(M861="",O861=""),N861,(M861+4*N861+O861)/6))</f>
        <v>0</v>
      </c>
      <c r="Q861" s="14"/>
      <c r="R861" s="14"/>
      <c r="S861" s="14"/>
      <c r="T861" s="14"/>
      <c r="U861" s="16"/>
      <c r="V861" s="13"/>
      <c r="W861" s="16"/>
      <c r="X861" s="16"/>
      <c r="Y861" s="16"/>
      <c r="Z861" s="16"/>
      <c r="AA861" s="22" t="n">
        <f aca="false">IF(F861&lt;&gt;"Y",0,((SUMIF(Products!$E$5:$E$300,A861,Products!$F$5:$F$300)+SUMIF(RM_Lots!$A$5:$A$400,A861,RM_Lots!$D$5:$D$400))+IF(W861="Y",SUMIF(Products!$E$5:$E$300,A861,Products!$G$5:$G$300),0))*(1+N(V861)))</f>
        <v>0</v>
      </c>
      <c r="AB861" s="22" t="n">
        <f aca="false">IF(F861&lt;&gt;"Y",0,((SUMIF(Products!$E$5:$E$300,A861,Products!$K$5:$K$300)+SUMIF(RM_Lots!$A$5:$A$400,A861,RM_Lots!$F$5:$F$400))+IF(W861="Y",SUMIF(Products!$E$5:$E$300,A861,Products!$L$5:$L$300),0))*(1+N(V861)))</f>
        <v>0</v>
      </c>
      <c r="AC861" s="17" t="n">
        <f aca="false">IF(J861="",1,MAX(1,COUNTIFS($J$5:$J$863,J861,$F$5:$F$863,"Y")))</f>
        <v>1</v>
      </c>
      <c r="AD861" s="18" t="n">
        <f aca="false">(MAX(1,N(I861))*(P861+N(S861))+MAX(1,N(I861))*N(K861)/(MAX(1,N(U861))*AC861))*Settings!$B$9</f>
        <v>0</v>
      </c>
      <c r="AE861" s="18" t="n">
        <f aca="false">(MAX(1,N(I861))*N(Q861)+MAX(1,N(I861))*N(L861)/(MAX(1,N(U861))*AC861))*Settings!$B$8</f>
        <v>0</v>
      </c>
      <c r="AF861" s="18" t="n">
        <f aca="false">MAX(1,N(I861))*N(T861)</f>
        <v>0</v>
      </c>
      <c r="AG861" s="15" t="n">
        <f aca="false">AA861*N(AD861)</f>
        <v>0</v>
      </c>
      <c r="AH861" s="15" t="n">
        <f aca="false">AA861*N(AE861)</f>
        <v>0</v>
      </c>
      <c r="AI861" s="15" t="n">
        <f aca="false">AA861*N(AF861)</f>
        <v>0</v>
      </c>
      <c r="AJ861" s="15" t="n">
        <f aca="false">AA861*N(R861)</f>
        <v>0</v>
      </c>
      <c r="AK861" s="15" t="n">
        <f aca="false">AB861*N(AD861)</f>
        <v>0</v>
      </c>
      <c r="AL861" s="15" t="n">
        <f aca="false">AB861*N(AE861)</f>
        <v>0</v>
      </c>
      <c r="AM861" s="15" t="n">
        <f aca="false">AB861*N(AF861)</f>
        <v>0</v>
      </c>
      <c r="AN861" s="15" t="n">
        <f aca="false">AB861*N(R861)</f>
        <v>0</v>
      </c>
      <c r="AO861" s="21" t="str">
        <f aca="false">IF(F861&lt;&gt;"Y","n/a",IF(AND(N861&lt;&gt;"",OR(Q861&lt;&gt;"",G861="Other / bench",G861="None"),U861&lt;&gt;""),"OK","Missing"))</f>
        <v>n/a</v>
      </c>
    </row>
    <row r="862" customFormat="false" ht="15" hidden="false" customHeight="false" outlineLevel="0" collapsed="false">
      <c r="A862" s="16"/>
      <c r="B862" s="16"/>
      <c r="C862" s="16"/>
      <c r="D862" s="16"/>
      <c r="E862" s="21" t="str">
        <f aca="false">IF(A862="","",A862&amp;"|"&amp;D862)</f>
        <v/>
      </c>
      <c r="F862" s="16"/>
      <c r="G862" s="16"/>
      <c r="H862" s="16"/>
      <c r="I862" s="16"/>
      <c r="J862" s="16"/>
      <c r="K862" s="14"/>
      <c r="L862" s="14"/>
      <c r="M862" s="14"/>
      <c r="N862" s="14"/>
      <c r="O862" s="14"/>
      <c r="P862" s="18" t="n">
        <f aca="false">IF(N862="",0,IF(OR(M862="",O862=""),N862,(M862+4*N862+O862)/6))</f>
        <v>0</v>
      </c>
      <c r="Q862" s="14"/>
      <c r="R862" s="14"/>
      <c r="S862" s="14"/>
      <c r="T862" s="14"/>
      <c r="U862" s="16"/>
      <c r="V862" s="13"/>
      <c r="W862" s="16"/>
      <c r="X862" s="16"/>
      <c r="Y862" s="16"/>
      <c r="Z862" s="16"/>
      <c r="AA862" s="22" t="n">
        <f aca="false">IF(F862&lt;&gt;"Y",0,((SUMIF(Products!$E$5:$E$300,A862,Products!$F$5:$F$300)+SUMIF(RM_Lots!$A$5:$A$400,A862,RM_Lots!$D$5:$D$400))+IF(W862="Y",SUMIF(Products!$E$5:$E$300,A862,Products!$G$5:$G$300),0))*(1+N(V862)))</f>
        <v>0</v>
      </c>
      <c r="AB862" s="22" t="n">
        <f aca="false">IF(F862&lt;&gt;"Y",0,((SUMIF(Products!$E$5:$E$300,A862,Products!$K$5:$K$300)+SUMIF(RM_Lots!$A$5:$A$400,A862,RM_Lots!$F$5:$F$400))+IF(W862="Y",SUMIF(Products!$E$5:$E$300,A862,Products!$L$5:$L$300),0))*(1+N(V862)))</f>
        <v>0</v>
      </c>
      <c r="AC862" s="17" t="n">
        <f aca="false">IF(J862="",1,MAX(1,COUNTIFS($J$5:$J$863,J862,$F$5:$F$863,"Y")))</f>
        <v>1</v>
      </c>
      <c r="AD862" s="18" t="n">
        <f aca="false">(MAX(1,N(I862))*(P862+N(S862))+MAX(1,N(I862))*N(K862)/(MAX(1,N(U862))*AC862))*Settings!$B$9</f>
        <v>0</v>
      </c>
      <c r="AE862" s="18" t="n">
        <f aca="false">(MAX(1,N(I862))*N(Q862)+MAX(1,N(I862))*N(L862)/(MAX(1,N(U862))*AC862))*Settings!$B$8</f>
        <v>0</v>
      </c>
      <c r="AF862" s="18" t="n">
        <f aca="false">MAX(1,N(I862))*N(T862)</f>
        <v>0</v>
      </c>
      <c r="AG862" s="15" t="n">
        <f aca="false">AA862*N(AD862)</f>
        <v>0</v>
      </c>
      <c r="AH862" s="15" t="n">
        <f aca="false">AA862*N(AE862)</f>
        <v>0</v>
      </c>
      <c r="AI862" s="15" t="n">
        <f aca="false">AA862*N(AF862)</f>
        <v>0</v>
      </c>
      <c r="AJ862" s="15" t="n">
        <f aca="false">AA862*N(R862)</f>
        <v>0</v>
      </c>
      <c r="AK862" s="15" t="n">
        <f aca="false">AB862*N(AD862)</f>
        <v>0</v>
      </c>
      <c r="AL862" s="15" t="n">
        <f aca="false">AB862*N(AE862)</f>
        <v>0</v>
      </c>
      <c r="AM862" s="15" t="n">
        <f aca="false">AB862*N(AF862)</f>
        <v>0</v>
      </c>
      <c r="AN862" s="15" t="n">
        <f aca="false">AB862*N(R862)</f>
        <v>0</v>
      </c>
      <c r="AO862" s="21" t="str">
        <f aca="false">IF(F862&lt;&gt;"Y","n/a",IF(AND(N862&lt;&gt;"",OR(Q862&lt;&gt;"",G862="Other / bench",G862="None"),U862&lt;&gt;""),"OK","Missing"))</f>
        <v>n/a</v>
      </c>
    </row>
    <row r="863" customFormat="false" ht="15" hidden="false" customHeight="false" outlineLevel="0" collapsed="false">
      <c r="A863" s="16"/>
      <c r="B863" s="16"/>
      <c r="C863" s="16"/>
      <c r="D863" s="16"/>
      <c r="E863" s="21" t="str">
        <f aca="false">IF(A863="","",A863&amp;"|"&amp;D863)</f>
        <v/>
      </c>
      <c r="F863" s="16"/>
      <c r="G863" s="16"/>
      <c r="H863" s="16"/>
      <c r="I863" s="16"/>
      <c r="J863" s="16"/>
      <c r="K863" s="14"/>
      <c r="L863" s="14"/>
      <c r="M863" s="14"/>
      <c r="N863" s="14"/>
      <c r="O863" s="14"/>
      <c r="P863" s="18" t="n">
        <f aca="false">IF(N863="",0,IF(OR(M863="",O863=""),N863,(M863+4*N863+O863)/6))</f>
        <v>0</v>
      </c>
      <c r="Q863" s="14"/>
      <c r="R863" s="14"/>
      <c r="S863" s="14"/>
      <c r="T863" s="14"/>
      <c r="U863" s="16"/>
      <c r="V863" s="13"/>
      <c r="W863" s="16"/>
      <c r="X863" s="16"/>
      <c r="Y863" s="16"/>
      <c r="Z863" s="16"/>
      <c r="AA863" s="22" t="n">
        <f aca="false">IF(F863&lt;&gt;"Y",0,((SUMIF(Products!$E$5:$E$300,A863,Products!$F$5:$F$300)+SUMIF(RM_Lots!$A$5:$A$400,A863,RM_Lots!$D$5:$D$400))+IF(W863="Y",SUMIF(Products!$E$5:$E$300,A863,Products!$G$5:$G$300),0))*(1+N(V863)))</f>
        <v>0</v>
      </c>
      <c r="AB863" s="22" t="n">
        <f aca="false">IF(F863&lt;&gt;"Y",0,((SUMIF(Products!$E$5:$E$300,A863,Products!$K$5:$K$300)+SUMIF(RM_Lots!$A$5:$A$400,A863,RM_Lots!$F$5:$F$400))+IF(W863="Y",SUMIF(Products!$E$5:$E$300,A863,Products!$L$5:$L$300),0))*(1+N(V863)))</f>
        <v>0</v>
      </c>
      <c r="AC863" s="17" t="n">
        <f aca="false">IF(J863="",1,MAX(1,COUNTIFS($J$5:$J$863,J863,$F$5:$F$863,"Y")))</f>
        <v>1</v>
      </c>
      <c r="AD863" s="18" t="n">
        <f aca="false">(MAX(1,N(I863))*(P863+N(S863))+MAX(1,N(I863))*N(K863)/(MAX(1,N(U863))*AC863))*Settings!$B$9</f>
        <v>0</v>
      </c>
      <c r="AE863" s="18" t="n">
        <f aca="false">(MAX(1,N(I863))*N(Q863)+MAX(1,N(I863))*N(L863)/(MAX(1,N(U863))*AC863))*Settings!$B$8</f>
        <v>0</v>
      </c>
      <c r="AF863" s="18" t="n">
        <f aca="false">MAX(1,N(I863))*N(T863)</f>
        <v>0</v>
      </c>
      <c r="AG863" s="15" t="n">
        <f aca="false">AA863*N(AD863)</f>
        <v>0</v>
      </c>
      <c r="AH863" s="15" t="n">
        <f aca="false">AA863*N(AE863)</f>
        <v>0</v>
      </c>
      <c r="AI863" s="15" t="n">
        <f aca="false">AA863*N(AF863)</f>
        <v>0</v>
      </c>
      <c r="AJ863" s="15" t="n">
        <f aca="false">AA863*N(R863)</f>
        <v>0</v>
      </c>
      <c r="AK863" s="15" t="n">
        <f aca="false">AB863*N(AD863)</f>
        <v>0</v>
      </c>
      <c r="AL863" s="15" t="n">
        <f aca="false">AB863*N(AE863)</f>
        <v>0</v>
      </c>
      <c r="AM863" s="15" t="n">
        <f aca="false">AB863*N(AF863)</f>
        <v>0</v>
      </c>
      <c r="AN863" s="15" t="n">
        <f aca="false">AB863*N(R863)</f>
        <v>0</v>
      </c>
      <c r="AO863" s="21" t="str">
        <f aca="false">IF(F863&lt;&gt;"Y","n/a",IF(AND(N863&lt;&gt;"",OR(Q863&lt;&gt;"",G863="Other / bench",G863="None"),U863&lt;&gt;""),"OK","Missing"))</f>
        <v>n/a</v>
      </c>
    </row>
  </sheetData>
  <autoFilter ref="A4:AO863"/>
  <conditionalFormatting sqref="AO5:AO863">
    <cfRule type="cellIs" priority="2" operator="equal" aboveAverage="0" equalAverage="0" bottom="0" percent="0" rank="0" text="" dxfId="8">
      <formula>"Missing"</formula>
    </cfRule>
  </conditionalFormatting>
  <dataValidations count="6">
    <dataValidation allowBlank="true" errorStyle="stop" operator="between" showDropDown="false" showErrorMessage="false" showInputMessage="false" sqref="F5:F863" type="list">
      <formula1>"Y,N"</formula1>
      <formula2>0</formula2>
    </dataValidation>
    <dataValidation allowBlank="true" errorStyle="stop" operator="between" showDropDown="false" showErrorMessage="false" showInputMessage="false" sqref="W5:W863" type="list">
      <formula1>"Y,N"</formula1>
      <formula2>0</formula2>
    </dataValidation>
    <dataValidation allowBlank="true" errorStyle="stop" operator="between" showDropDown="false" showErrorMessage="false" showInputMessage="false" sqref="G5:G863" type="list">
      <formula1>"HPLC,GC,UV-Vis,AAS / ICP,KF titrator,Other / bench,None"</formula1>
      <formula2>0</formula2>
    </dataValidation>
    <dataValidation allowBlank="true" errorStyle="stop" operator="between" showDropDown="false" showErrorMessage="false" showInputMessage="false" sqref="H5:H863" type="list">
      <formula1>"Low,Medium,High"</formula1>
      <formula2>0</formula2>
    </dataValidation>
    <dataValidation allowBlank="true" errorStyle="stop" operator="between" showDropDown="false" showErrorMessage="false" showInputMessage="false" sqref="Y5:Y863" type="list">
      <formula1>"High,Medium,Low"</formula1>
      <formula2>0</formula2>
    </dataValidation>
    <dataValidation allowBlank="true" errorStyle="stop" operator="between" showDropDown="false" showErrorMessage="false" showInputMessage="false" sqref="B5:B863" type="list">
      <formula1>"FP,RM"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17"/>
    <col collapsed="false" customWidth="true" hidden="false" outlineLevel="0" max="10" min="8" style="0" width="10"/>
    <col collapsed="false" customWidth="true" hidden="false" outlineLevel="0" max="11" min="11" style="0" width="30"/>
    <col collapsed="false" customWidth="true" hidden="false" outlineLevel="0" max="13" min="13" style="0" width="44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745</v>
      </c>
    </row>
    <row r="2" customFormat="false" ht="15" hidden="false" customHeight="false" outlineLevel="0" collapsed="false">
      <c r="A2" s="2" t="s">
        <v>746</v>
      </c>
    </row>
    <row r="4" customFormat="false" ht="45" hidden="false" customHeight="true" outlineLevel="0" collapsed="false">
      <c r="A4" s="7" t="s">
        <v>747</v>
      </c>
      <c r="B4" s="7" t="s">
        <v>157</v>
      </c>
      <c r="C4" s="7" t="s">
        <v>620</v>
      </c>
      <c r="D4" s="7" t="s">
        <v>748</v>
      </c>
      <c r="E4" s="7" t="s">
        <v>749</v>
      </c>
      <c r="F4" s="7" t="s">
        <v>750</v>
      </c>
      <c r="G4" s="7" t="s">
        <v>751</v>
      </c>
      <c r="H4" s="7" t="s">
        <v>752</v>
      </c>
      <c r="I4" s="7" t="s">
        <v>753</v>
      </c>
      <c r="J4" s="7" t="s">
        <v>754</v>
      </c>
      <c r="K4" s="7" t="s">
        <v>178</v>
      </c>
      <c r="M4" s="5" t="s">
        <v>755</v>
      </c>
    </row>
    <row r="5" customFormat="false" ht="15" hidden="false" customHeight="false" outlineLevel="0" collapsed="false">
      <c r="A5" s="23"/>
      <c r="B5" s="16"/>
      <c r="C5" s="16"/>
      <c r="D5" s="16"/>
      <c r="E5" s="16"/>
      <c r="F5" s="24"/>
      <c r="G5" s="24"/>
      <c r="H5" s="18" t="str">
        <f aca="false">IF(OR(F5="",G5=""),"",(G5-F5)*24)</f>
        <v/>
      </c>
      <c r="I5" s="18" t="str">
        <f aca="false">IF(C5="","",SUMIF(Test_Times!$E$5:$E$863,C5&amp;"|"&amp;D5,Test_Times!$L$5:$L$863)+N(E5)*SUMIF(Test_Times!$E$5:$E$863,C5&amp;"|"&amp;D5,Test_Times!$Q$5:$Q$863))</f>
        <v/>
      </c>
      <c r="J5" s="18" t="str">
        <f aca="false">IF(OR(H5="",N(I5)=0),"",H5/I5)</f>
        <v/>
      </c>
      <c r="K5" s="16"/>
    </row>
    <row r="6" customFormat="false" ht="15" hidden="false" customHeight="false" outlineLevel="0" collapsed="false">
      <c r="A6" s="23"/>
      <c r="B6" s="16"/>
      <c r="C6" s="16"/>
      <c r="D6" s="16"/>
      <c r="E6" s="16"/>
      <c r="F6" s="24"/>
      <c r="G6" s="24"/>
      <c r="H6" s="18" t="str">
        <f aca="false">IF(OR(F6="",G6=""),"",(G6-F6)*24)</f>
        <v/>
      </c>
      <c r="I6" s="18" t="str">
        <f aca="false">IF(C6="","",SUMIF(Test_Times!$E$5:$E$863,C6&amp;"|"&amp;D6,Test_Times!$L$5:$L$863)+N(E6)*SUMIF(Test_Times!$E$5:$E$863,C6&amp;"|"&amp;D6,Test_Times!$Q$5:$Q$863))</f>
        <v/>
      </c>
      <c r="J6" s="18" t="str">
        <f aca="false">IF(OR(H6="",N(I6)=0),"",H6/I6)</f>
        <v/>
      </c>
      <c r="K6" s="16"/>
    </row>
    <row r="7" customFormat="false" ht="15" hidden="false" customHeight="false" outlineLevel="0" collapsed="false">
      <c r="A7" s="23"/>
      <c r="B7" s="16"/>
      <c r="C7" s="16"/>
      <c r="D7" s="16"/>
      <c r="E7" s="16"/>
      <c r="F7" s="24"/>
      <c r="G7" s="24"/>
      <c r="H7" s="18" t="str">
        <f aca="false">IF(OR(F7="",G7=""),"",(G7-F7)*24)</f>
        <v/>
      </c>
      <c r="I7" s="18" t="str">
        <f aca="false">IF(C7="","",SUMIF(Test_Times!$E$5:$E$863,C7&amp;"|"&amp;D7,Test_Times!$L$5:$L$863)+N(E7)*SUMIF(Test_Times!$E$5:$E$863,C7&amp;"|"&amp;D7,Test_Times!$Q$5:$Q$863))</f>
        <v/>
      </c>
      <c r="J7" s="18" t="str">
        <f aca="false">IF(OR(H7="",N(I7)=0),"",H7/I7)</f>
        <v/>
      </c>
      <c r="K7" s="16"/>
    </row>
    <row r="8" customFormat="false" ht="15" hidden="false" customHeight="false" outlineLevel="0" collapsed="false">
      <c r="A8" s="23"/>
      <c r="B8" s="16"/>
      <c r="C8" s="16"/>
      <c r="D8" s="16"/>
      <c r="E8" s="16"/>
      <c r="F8" s="24"/>
      <c r="G8" s="24"/>
      <c r="H8" s="18" t="str">
        <f aca="false">IF(OR(F8="",G8=""),"",(G8-F8)*24)</f>
        <v/>
      </c>
      <c r="I8" s="18" t="str">
        <f aca="false">IF(C8="","",SUMIF(Test_Times!$E$5:$E$863,C8&amp;"|"&amp;D8,Test_Times!$L$5:$L$863)+N(E8)*SUMIF(Test_Times!$E$5:$E$863,C8&amp;"|"&amp;D8,Test_Times!$Q$5:$Q$863))</f>
        <v/>
      </c>
      <c r="J8" s="18" t="str">
        <f aca="false">IF(OR(H8="",N(I8)=0),"",H8/I8)</f>
        <v/>
      </c>
      <c r="K8" s="16"/>
    </row>
    <row r="9" customFormat="false" ht="15" hidden="false" customHeight="false" outlineLevel="0" collapsed="false">
      <c r="A9" s="23"/>
      <c r="B9" s="16"/>
      <c r="C9" s="16"/>
      <c r="D9" s="16"/>
      <c r="E9" s="16"/>
      <c r="F9" s="24"/>
      <c r="G9" s="24"/>
      <c r="H9" s="18" t="str">
        <f aca="false">IF(OR(F9="",G9=""),"",(G9-F9)*24)</f>
        <v/>
      </c>
      <c r="I9" s="18" t="str">
        <f aca="false">IF(C9="","",SUMIF(Test_Times!$E$5:$E$863,C9&amp;"|"&amp;D9,Test_Times!$L$5:$L$863)+N(E9)*SUMIF(Test_Times!$E$5:$E$863,C9&amp;"|"&amp;D9,Test_Times!$Q$5:$Q$863))</f>
        <v/>
      </c>
      <c r="J9" s="18" t="str">
        <f aca="false">IF(OR(H9="",N(I9)=0),"",H9/I9)</f>
        <v/>
      </c>
      <c r="K9" s="16"/>
      <c r="M9" s="25" t="s">
        <v>756</v>
      </c>
      <c r="N9" s="17" t="n">
        <f aca="false">COUNT(H5:H504)</f>
        <v>0</v>
      </c>
    </row>
    <row r="10" customFormat="false" ht="15" hidden="false" customHeight="false" outlineLevel="0" collapsed="false">
      <c r="A10" s="23"/>
      <c r="B10" s="16"/>
      <c r="C10" s="16"/>
      <c r="D10" s="16"/>
      <c r="E10" s="16"/>
      <c r="F10" s="24"/>
      <c r="G10" s="24"/>
      <c r="H10" s="18" t="str">
        <f aca="false">IF(OR(F10="",G10=""),"",(G10-F10)*24)</f>
        <v/>
      </c>
      <c r="I10" s="18" t="str">
        <f aca="false">IF(C10="","",SUMIF(Test_Times!$E$5:$E$863,C10&amp;"|"&amp;D10,Test_Times!$L$5:$L$863)+N(E10)*SUMIF(Test_Times!$E$5:$E$863,C10&amp;"|"&amp;D10,Test_Times!$Q$5:$Q$863))</f>
        <v/>
      </c>
      <c r="J10" s="18" t="str">
        <f aca="false">IF(OR(H10="",N(I10)=0),"",H10/I10)</f>
        <v/>
      </c>
      <c r="K10" s="16"/>
      <c r="M10" s="25" t="s">
        <v>757</v>
      </c>
      <c r="N10" s="18" t="str">
        <f aca="false">IFERROR(AVERAGE(J5:J504),"")</f>
        <v/>
      </c>
    </row>
    <row r="11" customFormat="false" ht="15" hidden="false" customHeight="false" outlineLevel="0" collapsed="false">
      <c r="A11" s="23"/>
      <c r="B11" s="16"/>
      <c r="C11" s="16"/>
      <c r="D11" s="16"/>
      <c r="E11" s="16"/>
      <c r="F11" s="24"/>
      <c r="G11" s="24"/>
      <c r="H11" s="18" t="str">
        <f aca="false">IF(OR(F11="",G11=""),"",(G11-F11)*24)</f>
        <v/>
      </c>
      <c r="I11" s="18" t="str">
        <f aca="false">IF(C11="","",SUMIF(Test_Times!$E$5:$E$863,C11&amp;"|"&amp;D11,Test_Times!$L$5:$L$863)+N(E11)*SUMIF(Test_Times!$E$5:$E$863,C11&amp;"|"&amp;D11,Test_Times!$Q$5:$Q$863))</f>
        <v/>
      </c>
      <c r="J11" s="18" t="str">
        <f aca="false">IF(OR(H11="",N(I11)=0),"",H11/I11)</f>
        <v/>
      </c>
      <c r="K11" s="16"/>
      <c r="M11" s="25" t="s">
        <v>758</v>
      </c>
      <c r="N11" s="26" t="str">
        <f aca="false">IFERROR(1/(1/MIN(F5:F504)),"")</f>
        <v/>
      </c>
    </row>
    <row r="12" customFormat="false" ht="15" hidden="false" customHeight="false" outlineLevel="0" collapsed="false">
      <c r="A12" s="23"/>
      <c r="B12" s="16"/>
      <c r="C12" s="16"/>
      <c r="D12" s="16"/>
      <c r="E12" s="16"/>
      <c r="F12" s="24"/>
      <c r="G12" s="24"/>
      <c r="H12" s="18" t="str">
        <f aca="false">IF(OR(F12="",G12=""),"",(G12-F12)*24)</f>
        <v/>
      </c>
      <c r="I12" s="18" t="str">
        <f aca="false">IF(C12="","",SUMIF(Test_Times!$E$5:$E$863,C12&amp;"|"&amp;D12,Test_Times!$L$5:$L$863)+N(E12)*SUMIF(Test_Times!$E$5:$E$863,C12&amp;"|"&amp;D12,Test_Times!$Q$5:$Q$863))</f>
        <v/>
      </c>
      <c r="J12" s="18" t="str">
        <f aca="false">IF(OR(H12="",N(I12)=0),"",H12/I12)</f>
        <v/>
      </c>
      <c r="K12" s="16"/>
      <c r="M12" s="25" t="s">
        <v>759</v>
      </c>
      <c r="N12" s="26" t="str">
        <f aca="false">IFERROR(1/(1/MAX(G5:G504)),"")</f>
        <v/>
      </c>
    </row>
    <row r="13" customFormat="false" ht="15" hidden="false" customHeight="false" outlineLevel="0" collapsed="false">
      <c r="A13" s="23"/>
      <c r="B13" s="16"/>
      <c r="C13" s="16"/>
      <c r="D13" s="16"/>
      <c r="E13" s="16"/>
      <c r="F13" s="24"/>
      <c r="G13" s="24"/>
      <c r="H13" s="18" t="str">
        <f aca="false">IF(OR(F13="",G13=""),"",(G13-F13)*24)</f>
        <v/>
      </c>
      <c r="I13" s="18" t="str">
        <f aca="false">IF(C13="","",SUMIF(Test_Times!$E$5:$E$863,C13&amp;"|"&amp;D13,Test_Times!$L$5:$L$863)+N(E13)*SUMIF(Test_Times!$E$5:$E$863,C13&amp;"|"&amp;D13,Test_Times!$Q$5:$Q$863))</f>
        <v/>
      </c>
      <c r="J13" s="18" t="str">
        <f aca="false">IF(OR(H13="",N(I13)=0),"",H13/I13)</f>
        <v/>
      </c>
      <c r="K13" s="16"/>
      <c r="M13" s="25" t="s">
        <v>760</v>
      </c>
      <c r="N13" s="15" t="n">
        <f aca="false">SUM(H5:H504)</f>
        <v>0</v>
      </c>
    </row>
    <row r="14" customFormat="false" ht="15" hidden="false" customHeight="false" outlineLevel="0" collapsed="false">
      <c r="A14" s="23"/>
      <c r="B14" s="16"/>
      <c r="C14" s="16"/>
      <c r="D14" s="16"/>
      <c r="E14" s="16"/>
      <c r="F14" s="24"/>
      <c r="G14" s="24"/>
      <c r="H14" s="18" t="str">
        <f aca="false">IF(OR(F14="",G14=""),"",(G14-F14)*24)</f>
        <v/>
      </c>
      <c r="I14" s="18" t="str">
        <f aca="false">IF(C14="","",SUMIF(Test_Times!$E$5:$E$863,C14&amp;"|"&amp;D14,Test_Times!$L$5:$L$863)+N(E14)*SUMIF(Test_Times!$E$5:$E$863,C14&amp;"|"&amp;D14,Test_Times!$Q$5:$Q$863))</f>
        <v/>
      </c>
      <c r="J14" s="18" t="str">
        <f aca="false">IF(OR(H14="",N(I14)=0),"",H14/I14)</f>
        <v/>
      </c>
      <c r="K14" s="16"/>
      <c r="M14" s="25" t="s">
        <v>761</v>
      </c>
      <c r="N14" s="19" t="n">
        <f aca="false">SUMIF(Instruments!B5:B104,"HPLC",Instruments!H5:H104)</f>
        <v>0</v>
      </c>
    </row>
    <row r="15" customFormat="false" ht="15" hidden="false" customHeight="false" outlineLevel="0" collapsed="false">
      <c r="A15" s="23"/>
      <c r="B15" s="16"/>
      <c r="C15" s="16"/>
      <c r="D15" s="16"/>
      <c r="E15" s="16"/>
      <c r="F15" s="24"/>
      <c r="G15" s="24"/>
      <c r="H15" s="18" t="str">
        <f aca="false">IF(OR(F15="",G15=""),"",(G15-F15)*24)</f>
        <v/>
      </c>
      <c r="I15" s="18" t="str">
        <f aca="false">IF(C15="","",SUMIF(Test_Times!$E$5:$E$863,C15&amp;"|"&amp;D15,Test_Times!$L$5:$L$863)+N(E15)*SUMIF(Test_Times!$E$5:$E$863,C15&amp;"|"&amp;D15,Test_Times!$Q$5:$Q$863))</f>
        <v/>
      </c>
      <c r="J15" s="18" t="str">
        <f aca="false">IF(OR(H15="",N(I15)=0),"",H15/I15)</f>
        <v/>
      </c>
      <c r="K15" s="16"/>
      <c r="M15" s="25" t="s">
        <v>762</v>
      </c>
      <c r="N15" s="27" t="str">
        <f aca="false">IFERROR(N13/(N14*(N12-N11)*24),"")</f>
        <v/>
      </c>
    </row>
    <row r="16" customFormat="false" ht="15" hidden="false" customHeight="false" outlineLevel="0" collapsed="false">
      <c r="A16" s="23"/>
      <c r="B16" s="16"/>
      <c r="C16" s="16"/>
      <c r="D16" s="16"/>
      <c r="E16" s="16"/>
      <c r="F16" s="24"/>
      <c r="G16" s="24"/>
      <c r="H16" s="18" t="str">
        <f aca="false">IF(OR(F16="",G16=""),"",(G16-F16)*24)</f>
        <v/>
      </c>
      <c r="I16" s="18" t="str">
        <f aca="false">IF(C16="","",SUMIF(Test_Times!$E$5:$E$863,C16&amp;"|"&amp;D16,Test_Times!$L$5:$L$863)+N(E16)*SUMIF(Test_Times!$E$5:$E$863,C16&amp;"|"&amp;D16,Test_Times!$Q$5:$Q$863))</f>
        <v/>
      </c>
      <c r="J16" s="18" t="str">
        <f aca="false">IF(OR(H16="",N(I16)=0),"",H16/I16)</f>
        <v/>
      </c>
      <c r="K16" s="16"/>
    </row>
    <row r="17" customFormat="false" ht="15" hidden="false" customHeight="false" outlineLevel="0" collapsed="false">
      <c r="A17" s="23"/>
      <c r="B17" s="16"/>
      <c r="C17" s="16"/>
      <c r="D17" s="16"/>
      <c r="E17" s="16"/>
      <c r="F17" s="24"/>
      <c r="G17" s="24"/>
      <c r="H17" s="18" t="str">
        <f aca="false">IF(OR(F17="",G17=""),"",(G17-F17)*24)</f>
        <v/>
      </c>
      <c r="I17" s="18" t="str">
        <f aca="false">IF(C17="","",SUMIF(Test_Times!$E$5:$E$863,C17&amp;"|"&amp;D17,Test_Times!$L$5:$L$863)+N(E17)*SUMIF(Test_Times!$E$5:$E$863,C17&amp;"|"&amp;D17,Test_Times!$Q$5:$Q$863))</f>
        <v/>
      </c>
      <c r="J17" s="18" t="str">
        <f aca="false">IF(OR(H17="",N(I17)=0),"",H17/I17)</f>
        <v/>
      </c>
      <c r="K17" s="16"/>
      <c r="M17" s="20" t="s">
        <v>763</v>
      </c>
    </row>
    <row r="18" customFormat="false" ht="15" hidden="false" customHeight="false" outlineLevel="0" collapsed="false">
      <c r="A18" s="23"/>
      <c r="B18" s="16"/>
      <c r="C18" s="16"/>
      <c r="D18" s="16"/>
      <c r="E18" s="16"/>
      <c r="F18" s="24"/>
      <c r="G18" s="24"/>
      <c r="H18" s="18" t="str">
        <f aca="false">IF(OR(F18="",G18=""),"",(G18-F18)*24)</f>
        <v/>
      </c>
      <c r="I18" s="18" t="str">
        <f aca="false">IF(C18="","",SUMIF(Test_Times!$E$5:$E$863,C18&amp;"|"&amp;D18,Test_Times!$L$5:$L$863)+N(E18)*SUMIF(Test_Times!$E$5:$E$863,C18&amp;"|"&amp;D18,Test_Times!$Q$5:$Q$863))</f>
        <v/>
      </c>
      <c r="J18" s="18" t="str">
        <f aca="false">IF(OR(H18="",N(I18)=0),"",H18/I18)</f>
        <v/>
      </c>
      <c r="K18" s="16"/>
    </row>
    <row r="19" customFormat="false" ht="15" hidden="false" customHeight="false" outlineLevel="0" collapsed="false">
      <c r="A19" s="23"/>
      <c r="B19" s="16"/>
      <c r="C19" s="16"/>
      <c r="D19" s="16"/>
      <c r="E19" s="16"/>
      <c r="F19" s="24"/>
      <c r="G19" s="24"/>
      <c r="H19" s="18" t="str">
        <f aca="false">IF(OR(F19="",G19=""),"",(G19-F19)*24)</f>
        <v/>
      </c>
      <c r="I19" s="18" t="str">
        <f aca="false">IF(C19="","",SUMIF(Test_Times!$E$5:$E$863,C19&amp;"|"&amp;D19,Test_Times!$L$5:$L$863)+N(E19)*SUMIF(Test_Times!$E$5:$E$863,C19&amp;"|"&amp;D19,Test_Times!$Q$5:$Q$863))</f>
        <v/>
      </c>
      <c r="J19" s="18" t="str">
        <f aca="false">IF(OR(H19="",N(I19)=0),"",H19/I19)</f>
        <v/>
      </c>
      <c r="K19" s="16"/>
    </row>
    <row r="20" customFormat="false" ht="15" hidden="false" customHeight="false" outlineLevel="0" collapsed="false">
      <c r="A20" s="23"/>
      <c r="B20" s="16"/>
      <c r="C20" s="16"/>
      <c r="D20" s="16"/>
      <c r="E20" s="16"/>
      <c r="F20" s="24"/>
      <c r="G20" s="24"/>
      <c r="H20" s="18" t="str">
        <f aca="false">IF(OR(F20="",G20=""),"",(G20-F20)*24)</f>
        <v/>
      </c>
      <c r="I20" s="18" t="str">
        <f aca="false">IF(C20="","",SUMIF(Test_Times!$E$5:$E$863,C20&amp;"|"&amp;D20,Test_Times!$L$5:$L$863)+N(E20)*SUMIF(Test_Times!$E$5:$E$863,C20&amp;"|"&amp;D20,Test_Times!$Q$5:$Q$863))</f>
        <v/>
      </c>
      <c r="J20" s="18" t="str">
        <f aca="false">IF(OR(H20="",N(I20)=0),"",H20/I20)</f>
        <v/>
      </c>
      <c r="K20" s="16"/>
    </row>
    <row r="21" customFormat="false" ht="15" hidden="false" customHeight="false" outlineLevel="0" collapsed="false">
      <c r="A21" s="23"/>
      <c r="B21" s="16"/>
      <c r="C21" s="16"/>
      <c r="D21" s="16"/>
      <c r="E21" s="16"/>
      <c r="F21" s="24"/>
      <c r="G21" s="24"/>
      <c r="H21" s="18" t="str">
        <f aca="false">IF(OR(F21="",G21=""),"",(G21-F21)*24)</f>
        <v/>
      </c>
      <c r="I21" s="18" t="str">
        <f aca="false">IF(C21="","",SUMIF(Test_Times!$E$5:$E$863,C21&amp;"|"&amp;D21,Test_Times!$L$5:$L$863)+N(E21)*SUMIF(Test_Times!$E$5:$E$863,C21&amp;"|"&amp;D21,Test_Times!$Q$5:$Q$863))</f>
        <v/>
      </c>
      <c r="J21" s="18" t="str">
        <f aca="false">IF(OR(H21="",N(I21)=0),"",H21/I21)</f>
        <v/>
      </c>
      <c r="K21" s="16"/>
    </row>
    <row r="22" customFormat="false" ht="15" hidden="false" customHeight="false" outlineLevel="0" collapsed="false">
      <c r="A22" s="23"/>
      <c r="B22" s="16"/>
      <c r="C22" s="16"/>
      <c r="D22" s="16"/>
      <c r="E22" s="16"/>
      <c r="F22" s="24"/>
      <c r="G22" s="24"/>
      <c r="H22" s="18" t="str">
        <f aca="false">IF(OR(F22="",G22=""),"",(G22-F22)*24)</f>
        <v/>
      </c>
      <c r="I22" s="18" t="str">
        <f aca="false">IF(C22="","",SUMIF(Test_Times!$E$5:$E$863,C22&amp;"|"&amp;D22,Test_Times!$L$5:$L$863)+N(E22)*SUMIF(Test_Times!$E$5:$E$863,C22&amp;"|"&amp;D22,Test_Times!$Q$5:$Q$863))</f>
        <v/>
      </c>
      <c r="J22" s="18" t="str">
        <f aca="false">IF(OR(H22="",N(I22)=0),"",H22/I22)</f>
        <v/>
      </c>
      <c r="K22" s="16"/>
    </row>
    <row r="23" customFormat="false" ht="15" hidden="false" customHeight="false" outlineLevel="0" collapsed="false">
      <c r="A23" s="23"/>
      <c r="B23" s="16"/>
      <c r="C23" s="16"/>
      <c r="D23" s="16"/>
      <c r="E23" s="16"/>
      <c r="F23" s="24"/>
      <c r="G23" s="24"/>
      <c r="H23" s="18" t="str">
        <f aca="false">IF(OR(F23="",G23=""),"",(G23-F23)*24)</f>
        <v/>
      </c>
      <c r="I23" s="18" t="str">
        <f aca="false">IF(C23="","",SUMIF(Test_Times!$E$5:$E$863,C23&amp;"|"&amp;D23,Test_Times!$L$5:$L$863)+N(E23)*SUMIF(Test_Times!$E$5:$E$863,C23&amp;"|"&amp;D23,Test_Times!$Q$5:$Q$863))</f>
        <v/>
      </c>
      <c r="J23" s="18" t="str">
        <f aca="false">IF(OR(H23="",N(I23)=0),"",H23/I23)</f>
        <v/>
      </c>
      <c r="K23" s="16"/>
    </row>
    <row r="24" customFormat="false" ht="15" hidden="false" customHeight="false" outlineLevel="0" collapsed="false">
      <c r="A24" s="23"/>
      <c r="B24" s="16"/>
      <c r="C24" s="16"/>
      <c r="D24" s="16"/>
      <c r="E24" s="16"/>
      <c r="F24" s="24"/>
      <c r="G24" s="24"/>
      <c r="H24" s="18" t="str">
        <f aca="false">IF(OR(F24="",G24=""),"",(G24-F24)*24)</f>
        <v/>
      </c>
      <c r="I24" s="18" t="str">
        <f aca="false">IF(C24="","",SUMIF(Test_Times!$E$5:$E$863,C24&amp;"|"&amp;D24,Test_Times!$L$5:$L$863)+N(E24)*SUMIF(Test_Times!$E$5:$E$863,C24&amp;"|"&amp;D24,Test_Times!$Q$5:$Q$863))</f>
        <v/>
      </c>
      <c r="J24" s="18" t="str">
        <f aca="false">IF(OR(H24="",N(I24)=0),"",H24/I24)</f>
        <v/>
      </c>
      <c r="K24" s="16"/>
    </row>
    <row r="25" customFormat="false" ht="15" hidden="false" customHeight="false" outlineLevel="0" collapsed="false">
      <c r="A25" s="23"/>
      <c r="B25" s="16"/>
      <c r="C25" s="16"/>
      <c r="D25" s="16"/>
      <c r="E25" s="16"/>
      <c r="F25" s="24"/>
      <c r="G25" s="24"/>
      <c r="H25" s="18" t="str">
        <f aca="false">IF(OR(F25="",G25=""),"",(G25-F25)*24)</f>
        <v/>
      </c>
      <c r="I25" s="18" t="str">
        <f aca="false">IF(C25="","",SUMIF(Test_Times!$E$5:$E$863,C25&amp;"|"&amp;D25,Test_Times!$L$5:$L$863)+N(E25)*SUMIF(Test_Times!$E$5:$E$863,C25&amp;"|"&amp;D25,Test_Times!$Q$5:$Q$863))</f>
        <v/>
      </c>
      <c r="J25" s="18" t="str">
        <f aca="false">IF(OR(H25="",N(I25)=0),"",H25/I25)</f>
        <v/>
      </c>
      <c r="K25" s="16"/>
    </row>
    <row r="26" customFormat="false" ht="15" hidden="false" customHeight="false" outlineLevel="0" collapsed="false">
      <c r="A26" s="23"/>
      <c r="B26" s="16"/>
      <c r="C26" s="16"/>
      <c r="D26" s="16"/>
      <c r="E26" s="16"/>
      <c r="F26" s="24"/>
      <c r="G26" s="24"/>
      <c r="H26" s="18" t="str">
        <f aca="false">IF(OR(F26="",G26=""),"",(G26-F26)*24)</f>
        <v/>
      </c>
      <c r="I26" s="18" t="str">
        <f aca="false">IF(C26="","",SUMIF(Test_Times!$E$5:$E$863,C26&amp;"|"&amp;D26,Test_Times!$L$5:$L$863)+N(E26)*SUMIF(Test_Times!$E$5:$E$863,C26&amp;"|"&amp;D26,Test_Times!$Q$5:$Q$863))</f>
        <v/>
      </c>
      <c r="J26" s="18" t="str">
        <f aca="false">IF(OR(H26="",N(I26)=0),"",H26/I26)</f>
        <v/>
      </c>
      <c r="K26" s="16"/>
    </row>
    <row r="27" customFormat="false" ht="15" hidden="false" customHeight="false" outlineLevel="0" collapsed="false">
      <c r="A27" s="23"/>
      <c r="B27" s="16"/>
      <c r="C27" s="16"/>
      <c r="D27" s="16"/>
      <c r="E27" s="16"/>
      <c r="F27" s="24"/>
      <c r="G27" s="24"/>
      <c r="H27" s="18" t="str">
        <f aca="false">IF(OR(F27="",G27=""),"",(G27-F27)*24)</f>
        <v/>
      </c>
      <c r="I27" s="18" t="str">
        <f aca="false">IF(C27="","",SUMIF(Test_Times!$E$5:$E$863,C27&amp;"|"&amp;D27,Test_Times!$L$5:$L$863)+N(E27)*SUMIF(Test_Times!$E$5:$E$863,C27&amp;"|"&amp;D27,Test_Times!$Q$5:$Q$863))</f>
        <v/>
      </c>
      <c r="J27" s="18" t="str">
        <f aca="false">IF(OR(H27="",N(I27)=0),"",H27/I27)</f>
        <v/>
      </c>
      <c r="K27" s="16"/>
    </row>
    <row r="28" customFormat="false" ht="15" hidden="false" customHeight="false" outlineLevel="0" collapsed="false">
      <c r="A28" s="23"/>
      <c r="B28" s="16"/>
      <c r="C28" s="16"/>
      <c r="D28" s="16"/>
      <c r="E28" s="16"/>
      <c r="F28" s="24"/>
      <c r="G28" s="24"/>
      <c r="H28" s="18" t="str">
        <f aca="false">IF(OR(F28="",G28=""),"",(G28-F28)*24)</f>
        <v/>
      </c>
      <c r="I28" s="18" t="str">
        <f aca="false">IF(C28="","",SUMIF(Test_Times!$E$5:$E$863,C28&amp;"|"&amp;D28,Test_Times!$L$5:$L$863)+N(E28)*SUMIF(Test_Times!$E$5:$E$863,C28&amp;"|"&amp;D28,Test_Times!$Q$5:$Q$863))</f>
        <v/>
      </c>
      <c r="J28" s="18" t="str">
        <f aca="false">IF(OR(H28="",N(I28)=0),"",H28/I28)</f>
        <v/>
      </c>
      <c r="K28" s="16"/>
    </row>
    <row r="29" customFormat="false" ht="15" hidden="false" customHeight="false" outlineLevel="0" collapsed="false">
      <c r="A29" s="23"/>
      <c r="B29" s="16"/>
      <c r="C29" s="16"/>
      <c r="D29" s="16"/>
      <c r="E29" s="16"/>
      <c r="F29" s="24"/>
      <c r="G29" s="24"/>
      <c r="H29" s="18" t="str">
        <f aca="false">IF(OR(F29="",G29=""),"",(G29-F29)*24)</f>
        <v/>
      </c>
      <c r="I29" s="18" t="str">
        <f aca="false">IF(C29="","",SUMIF(Test_Times!$E$5:$E$863,C29&amp;"|"&amp;D29,Test_Times!$L$5:$L$863)+N(E29)*SUMIF(Test_Times!$E$5:$E$863,C29&amp;"|"&amp;D29,Test_Times!$Q$5:$Q$863))</f>
        <v/>
      </c>
      <c r="J29" s="18" t="str">
        <f aca="false">IF(OR(H29="",N(I29)=0),"",H29/I29)</f>
        <v/>
      </c>
      <c r="K29" s="16"/>
    </row>
    <row r="30" customFormat="false" ht="15" hidden="false" customHeight="false" outlineLevel="0" collapsed="false">
      <c r="A30" s="23"/>
      <c r="B30" s="16"/>
      <c r="C30" s="16"/>
      <c r="D30" s="16"/>
      <c r="E30" s="16"/>
      <c r="F30" s="24"/>
      <c r="G30" s="24"/>
      <c r="H30" s="18" t="str">
        <f aca="false">IF(OR(F30="",G30=""),"",(G30-F30)*24)</f>
        <v/>
      </c>
      <c r="I30" s="18" t="str">
        <f aca="false">IF(C30="","",SUMIF(Test_Times!$E$5:$E$863,C30&amp;"|"&amp;D30,Test_Times!$L$5:$L$863)+N(E30)*SUMIF(Test_Times!$E$5:$E$863,C30&amp;"|"&amp;D30,Test_Times!$Q$5:$Q$863))</f>
        <v/>
      </c>
      <c r="J30" s="18" t="str">
        <f aca="false">IF(OR(H30="",N(I30)=0),"",H30/I30)</f>
        <v/>
      </c>
      <c r="K30" s="16"/>
    </row>
    <row r="31" customFormat="false" ht="15" hidden="false" customHeight="false" outlineLevel="0" collapsed="false">
      <c r="A31" s="23"/>
      <c r="B31" s="16"/>
      <c r="C31" s="16"/>
      <c r="D31" s="16"/>
      <c r="E31" s="16"/>
      <c r="F31" s="24"/>
      <c r="G31" s="24"/>
      <c r="H31" s="18" t="str">
        <f aca="false">IF(OR(F31="",G31=""),"",(G31-F31)*24)</f>
        <v/>
      </c>
      <c r="I31" s="18" t="str">
        <f aca="false">IF(C31="","",SUMIF(Test_Times!$E$5:$E$863,C31&amp;"|"&amp;D31,Test_Times!$L$5:$L$863)+N(E31)*SUMIF(Test_Times!$E$5:$E$863,C31&amp;"|"&amp;D31,Test_Times!$Q$5:$Q$863))</f>
        <v/>
      </c>
      <c r="J31" s="18" t="str">
        <f aca="false">IF(OR(H31="",N(I31)=0),"",H31/I31)</f>
        <v/>
      </c>
      <c r="K31" s="16"/>
    </row>
    <row r="32" customFormat="false" ht="15" hidden="false" customHeight="false" outlineLevel="0" collapsed="false">
      <c r="A32" s="23"/>
      <c r="B32" s="16"/>
      <c r="C32" s="16"/>
      <c r="D32" s="16"/>
      <c r="E32" s="16"/>
      <c r="F32" s="24"/>
      <c r="G32" s="24"/>
      <c r="H32" s="18" t="str">
        <f aca="false">IF(OR(F32="",G32=""),"",(G32-F32)*24)</f>
        <v/>
      </c>
      <c r="I32" s="18" t="str">
        <f aca="false">IF(C32="","",SUMIF(Test_Times!$E$5:$E$863,C32&amp;"|"&amp;D32,Test_Times!$L$5:$L$863)+N(E32)*SUMIF(Test_Times!$E$5:$E$863,C32&amp;"|"&amp;D32,Test_Times!$Q$5:$Q$863))</f>
        <v/>
      </c>
      <c r="J32" s="18" t="str">
        <f aca="false">IF(OR(H32="",N(I32)=0),"",H32/I32)</f>
        <v/>
      </c>
      <c r="K32" s="16"/>
    </row>
    <row r="33" customFormat="false" ht="15" hidden="false" customHeight="false" outlineLevel="0" collapsed="false">
      <c r="A33" s="23"/>
      <c r="B33" s="16"/>
      <c r="C33" s="16"/>
      <c r="D33" s="16"/>
      <c r="E33" s="16"/>
      <c r="F33" s="24"/>
      <c r="G33" s="24"/>
      <c r="H33" s="18" t="str">
        <f aca="false">IF(OR(F33="",G33=""),"",(G33-F33)*24)</f>
        <v/>
      </c>
      <c r="I33" s="18" t="str">
        <f aca="false">IF(C33="","",SUMIF(Test_Times!$E$5:$E$863,C33&amp;"|"&amp;D33,Test_Times!$L$5:$L$863)+N(E33)*SUMIF(Test_Times!$E$5:$E$863,C33&amp;"|"&amp;D33,Test_Times!$Q$5:$Q$863))</f>
        <v/>
      </c>
      <c r="J33" s="18" t="str">
        <f aca="false">IF(OR(H33="",N(I33)=0),"",H33/I33)</f>
        <v/>
      </c>
      <c r="K33" s="16"/>
    </row>
    <row r="34" customFormat="false" ht="15" hidden="false" customHeight="false" outlineLevel="0" collapsed="false">
      <c r="A34" s="23"/>
      <c r="B34" s="16"/>
      <c r="C34" s="16"/>
      <c r="D34" s="16"/>
      <c r="E34" s="16"/>
      <c r="F34" s="24"/>
      <c r="G34" s="24"/>
      <c r="H34" s="18" t="str">
        <f aca="false">IF(OR(F34="",G34=""),"",(G34-F34)*24)</f>
        <v/>
      </c>
      <c r="I34" s="18" t="str">
        <f aca="false">IF(C34="","",SUMIF(Test_Times!$E$5:$E$863,C34&amp;"|"&amp;D34,Test_Times!$L$5:$L$863)+N(E34)*SUMIF(Test_Times!$E$5:$E$863,C34&amp;"|"&amp;D34,Test_Times!$Q$5:$Q$863))</f>
        <v/>
      </c>
      <c r="J34" s="18" t="str">
        <f aca="false">IF(OR(H34="",N(I34)=0),"",H34/I34)</f>
        <v/>
      </c>
      <c r="K34" s="16"/>
    </row>
    <row r="35" customFormat="false" ht="15" hidden="false" customHeight="false" outlineLevel="0" collapsed="false">
      <c r="A35" s="23"/>
      <c r="B35" s="16"/>
      <c r="C35" s="16"/>
      <c r="D35" s="16"/>
      <c r="E35" s="16"/>
      <c r="F35" s="24"/>
      <c r="G35" s="24"/>
      <c r="H35" s="18" t="str">
        <f aca="false">IF(OR(F35="",G35=""),"",(G35-F35)*24)</f>
        <v/>
      </c>
      <c r="I35" s="18" t="str">
        <f aca="false">IF(C35="","",SUMIF(Test_Times!$E$5:$E$863,C35&amp;"|"&amp;D35,Test_Times!$L$5:$L$863)+N(E35)*SUMIF(Test_Times!$E$5:$E$863,C35&amp;"|"&amp;D35,Test_Times!$Q$5:$Q$863))</f>
        <v/>
      </c>
      <c r="J35" s="18" t="str">
        <f aca="false">IF(OR(H35="",N(I35)=0),"",H35/I35)</f>
        <v/>
      </c>
      <c r="K35" s="16"/>
    </row>
    <row r="36" customFormat="false" ht="15" hidden="false" customHeight="false" outlineLevel="0" collapsed="false">
      <c r="A36" s="23"/>
      <c r="B36" s="16"/>
      <c r="C36" s="16"/>
      <c r="D36" s="16"/>
      <c r="E36" s="16"/>
      <c r="F36" s="24"/>
      <c r="G36" s="24"/>
      <c r="H36" s="18" t="str">
        <f aca="false">IF(OR(F36="",G36=""),"",(G36-F36)*24)</f>
        <v/>
      </c>
      <c r="I36" s="18" t="str">
        <f aca="false">IF(C36="","",SUMIF(Test_Times!$E$5:$E$863,C36&amp;"|"&amp;D36,Test_Times!$L$5:$L$863)+N(E36)*SUMIF(Test_Times!$E$5:$E$863,C36&amp;"|"&amp;D36,Test_Times!$Q$5:$Q$863))</f>
        <v/>
      </c>
      <c r="J36" s="18" t="str">
        <f aca="false">IF(OR(H36="",N(I36)=0),"",H36/I36)</f>
        <v/>
      </c>
      <c r="K36" s="16"/>
    </row>
    <row r="37" customFormat="false" ht="15" hidden="false" customHeight="false" outlineLevel="0" collapsed="false">
      <c r="A37" s="23"/>
      <c r="B37" s="16"/>
      <c r="C37" s="16"/>
      <c r="D37" s="16"/>
      <c r="E37" s="16"/>
      <c r="F37" s="24"/>
      <c r="G37" s="24"/>
      <c r="H37" s="18" t="str">
        <f aca="false">IF(OR(F37="",G37=""),"",(G37-F37)*24)</f>
        <v/>
      </c>
      <c r="I37" s="18" t="str">
        <f aca="false">IF(C37="","",SUMIF(Test_Times!$E$5:$E$863,C37&amp;"|"&amp;D37,Test_Times!$L$5:$L$863)+N(E37)*SUMIF(Test_Times!$E$5:$E$863,C37&amp;"|"&amp;D37,Test_Times!$Q$5:$Q$863))</f>
        <v/>
      </c>
      <c r="J37" s="18" t="str">
        <f aca="false">IF(OR(H37="",N(I37)=0),"",H37/I37)</f>
        <v/>
      </c>
      <c r="K37" s="16"/>
    </row>
    <row r="38" customFormat="false" ht="15" hidden="false" customHeight="false" outlineLevel="0" collapsed="false">
      <c r="A38" s="23"/>
      <c r="B38" s="16"/>
      <c r="C38" s="16"/>
      <c r="D38" s="16"/>
      <c r="E38" s="16"/>
      <c r="F38" s="24"/>
      <c r="G38" s="24"/>
      <c r="H38" s="18" t="str">
        <f aca="false">IF(OR(F38="",G38=""),"",(G38-F38)*24)</f>
        <v/>
      </c>
      <c r="I38" s="18" t="str">
        <f aca="false">IF(C38="","",SUMIF(Test_Times!$E$5:$E$863,C38&amp;"|"&amp;D38,Test_Times!$L$5:$L$863)+N(E38)*SUMIF(Test_Times!$E$5:$E$863,C38&amp;"|"&amp;D38,Test_Times!$Q$5:$Q$863))</f>
        <v/>
      </c>
      <c r="J38" s="18" t="str">
        <f aca="false">IF(OR(H38="",N(I38)=0),"",H38/I38)</f>
        <v/>
      </c>
      <c r="K38" s="16"/>
    </row>
    <row r="39" customFormat="false" ht="15" hidden="false" customHeight="false" outlineLevel="0" collapsed="false">
      <c r="A39" s="23"/>
      <c r="B39" s="16"/>
      <c r="C39" s="16"/>
      <c r="D39" s="16"/>
      <c r="E39" s="16"/>
      <c r="F39" s="24"/>
      <c r="G39" s="24"/>
      <c r="H39" s="18" t="str">
        <f aca="false">IF(OR(F39="",G39=""),"",(G39-F39)*24)</f>
        <v/>
      </c>
      <c r="I39" s="18" t="str">
        <f aca="false">IF(C39="","",SUMIF(Test_Times!$E$5:$E$863,C39&amp;"|"&amp;D39,Test_Times!$L$5:$L$863)+N(E39)*SUMIF(Test_Times!$E$5:$E$863,C39&amp;"|"&amp;D39,Test_Times!$Q$5:$Q$863))</f>
        <v/>
      </c>
      <c r="J39" s="18" t="str">
        <f aca="false">IF(OR(H39="",N(I39)=0),"",H39/I39)</f>
        <v/>
      </c>
      <c r="K39" s="16"/>
    </row>
    <row r="40" customFormat="false" ht="15" hidden="false" customHeight="false" outlineLevel="0" collapsed="false">
      <c r="A40" s="23"/>
      <c r="B40" s="16"/>
      <c r="C40" s="16"/>
      <c r="D40" s="16"/>
      <c r="E40" s="16"/>
      <c r="F40" s="24"/>
      <c r="G40" s="24"/>
      <c r="H40" s="18" t="str">
        <f aca="false">IF(OR(F40="",G40=""),"",(G40-F40)*24)</f>
        <v/>
      </c>
      <c r="I40" s="18" t="str">
        <f aca="false">IF(C40="","",SUMIF(Test_Times!$E$5:$E$863,C40&amp;"|"&amp;D40,Test_Times!$L$5:$L$863)+N(E40)*SUMIF(Test_Times!$E$5:$E$863,C40&amp;"|"&amp;D40,Test_Times!$Q$5:$Q$863))</f>
        <v/>
      </c>
      <c r="J40" s="18" t="str">
        <f aca="false">IF(OR(H40="",N(I40)=0),"",H40/I40)</f>
        <v/>
      </c>
      <c r="K40" s="16"/>
    </row>
    <row r="41" customFormat="false" ht="15" hidden="false" customHeight="false" outlineLevel="0" collapsed="false">
      <c r="A41" s="23"/>
      <c r="B41" s="16"/>
      <c r="C41" s="16"/>
      <c r="D41" s="16"/>
      <c r="E41" s="16"/>
      <c r="F41" s="24"/>
      <c r="G41" s="24"/>
      <c r="H41" s="18" t="str">
        <f aca="false">IF(OR(F41="",G41=""),"",(G41-F41)*24)</f>
        <v/>
      </c>
      <c r="I41" s="18" t="str">
        <f aca="false">IF(C41="","",SUMIF(Test_Times!$E$5:$E$863,C41&amp;"|"&amp;D41,Test_Times!$L$5:$L$863)+N(E41)*SUMIF(Test_Times!$E$5:$E$863,C41&amp;"|"&amp;D41,Test_Times!$Q$5:$Q$863))</f>
        <v/>
      </c>
      <c r="J41" s="18" t="str">
        <f aca="false">IF(OR(H41="",N(I41)=0),"",H41/I41)</f>
        <v/>
      </c>
      <c r="K41" s="16"/>
    </row>
    <row r="42" customFormat="false" ht="15" hidden="false" customHeight="false" outlineLevel="0" collapsed="false">
      <c r="A42" s="23"/>
      <c r="B42" s="16"/>
      <c r="C42" s="16"/>
      <c r="D42" s="16"/>
      <c r="E42" s="16"/>
      <c r="F42" s="24"/>
      <c r="G42" s="24"/>
      <c r="H42" s="18" t="str">
        <f aca="false">IF(OR(F42="",G42=""),"",(G42-F42)*24)</f>
        <v/>
      </c>
      <c r="I42" s="18" t="str">
        <f aca="false">IF(C42="","",SUMIF(Test_Times!$E$5:$E$863,C42&amp;"|"&amp;D42,Test_Times!$L$5:$L$863)+N(E42)*SUMIF(Test_Times!$E$5:$E$863,C42&amp;"|"&amp;D42,Test_Times!$Q$5:$Q$863))</f>
        <v/>
      </c>
      <c r="J42" s="18" t="str">
        <f aca="false">IF(OR(H42="",N(I42)=0),"",H42/I42)</f>
        <v/>
      </c>
      <c r="K42" s="16"/>
    </row>
    <row r="43" customFormat="false" ht="15" hidden="false" customHeight="false" outlineLevel="0" collapsed="false">
      <c r="A43" s="23"/>
      <c r="B43" s="16"/>
      <c r="C43" s="16"/>
      <c r="D43" s="16"/>
      <c r="E43" s="16"/>
      <c r="F43" s="24"/>
      <c r="G43" s="24"/>
      <c r="H43" s="18" t="str">
        <f aca="false">IF(OR(F43="",G43=""),"",(G43-F43)*24)</f>
        <v/>
      </c>
      <c r="I43" s="18" t="str">
        <f aca="false">IF(C43="","",SUMIF(Test_Times!$E$5:$E$863,C43&amp;"|"&amp;D43,Test_Times!$L$5:$L$863)+N(E43)*SUMIF(Test_Times!$E$5:$E$863,C43&amp;"|"&amp;D43,Test_Times!$Q$5:$Q$863))</f>
        <v/>
      </c>
      <c r="J43" s="18" t="str">
        <f aca="false">IF(OR(H43="",N(I43)=0),"",H43/I43)</f>
        <v/>
      </c>
      <c r="K43" s="16"/>
    </row>
    <row r="44" customFormat="false" ht="15" hidden="false" customHeight="false" outlineLevel="0" collapsed="false">
      <c r="A44" s="23"/>
      <c r="B44" s="16"/>
      <c r="C44" s="16"/>
      <c r="D44" s="16"/>
      <c r="E44" s="16"/>
      <c r="F44" s="24"/>
      <c r="G44" s="24"/>
      <c r="H44" s="18" t="str">
        <f aca="false">IF(OR(F44="",G44=""),"",(G44-F44)*24)</f>
        <v/>
      </c>
      <c r="I44" s="18" t="str">
        <f aca="false">IF(C44="","",SUMIF(Test_Times!$E$5:$E$863,C44&amp;"|"&amp;D44,Test_Times!$L$5:$L$863)+N(E44)*SUMIF(Test_Times!$E$5:$E$863,C44&amp;"|"&amp;D44,Test_Times!$Q$5:$Q$863))</f>
        <v/>
      </c>
      <c r="J44" s="18" t="str">
        <f aca="false">IF(OR(H44="",N(I44)=0),"",H44/I44)</f>
        <v/>
      </c>
      <c r="K44" s="16"/>
    </row>
    <row r="45" customFormat="false" ht="15" hidden="false" customHeight="false" outlineLevel="0" collapsed="false">
      <c r="A45" s="23"/>
      <c r="B45" s="16"/>
      <c r="C45" s="16"/>
      <c r="D45" s="16"/>
      <c r="E45" s="16"/>
      <c r="F45" s="24"/>
      <c r="G45" s="24"/>
      <c r="H45" s="18" t="str">
        <f aca="false">IF(OR(F45="",G45=""),"",(G45-F45)*24)</f>
        <v/>
      </c>
      <c r="I45" s="18" t="str">
        <f aca="false">IF(C45="","",SUMIF(Test_Times!$E$5:$E$863,C45&amp;"|"&amp;D45,Test_Times!$L$5:$L$863)+N(E45)*SUMIF(Test_Times!$E$5:$E$863,C45&amp;"|"&amp;D45,Test_Times!$Q$5:$Q$863))</f>
        <v/>
      </c>
      <c r="J45" s="18" t="str">
        <f aca="false">IF(OR(H45="",N(I45)=0),"",H45/I45)</f>
        <v/>
      </c>
      <c r="K45" s="16"/>
    </row>
    <row r="46" customFormat="false" ht="15" hidden="false" customHeight="false" outlineLevel="0" collapsed="false">
      <c r="A46" s="23"/>
      <c r="B46" s="16"/>
      <c r="C46" s="16"/>
      <c r="D46" s="16"/>
      <c r="E46" s="16"/>
      <c r="F46" s="24"/>
      <c r="G46" s="24"/>
      <c r="H46" s="18" t="str">
        <f aca="false">IF(OR(F46="",G46=""),"",(G46-F46)*24)</f>
        <v/>
      </c>
      <c r="I46" s="18" t="str">
        <f aca="false">IF(C46="","",SUMIF(Test_Times!$E$5:$E$863,C46&amp;"|"&amp;D46,Test_Times!$L$5:$L$863)+N(E46)*SUMIF(Test_Times!$E$5:$E$863,C46&amp;"|"&amp;D46,Test_Times!$Q$5:$Q$863))</f>
        <v/>
      </c>
      <c r="J46" s="18" t="str">
        <f aca="false">IF(OR(H46="",N(I46)=0),"",H46/I46)</f>
        <v/>
      </c>
      <c r="K46" s="16"/>
    </row>
    <row r="47" customFormat="false" ht="15" hidden="false" customHeight="false" outlineLevel="0" collapsed="false">
      <c r="A47" s="23"/>
      <c r="B47" s="16"/>
      <c r="C47" s="16"/>
      <c r="D47" s="16"/>
      <c r="E47" s="16"/>
      <c r="F47" s="24"/>
      <c r="G47" s="24"/>
      <c r="H47" s="18" t="str">
        <f aca="false">IF(OR(F47="",G47=""),"",(G47-F47)*24)</f>
        <v/>
      </c>
      <c r="I47" s="18" t="str">
        <f aca="false">IF(C47="","",SUMIF(Test_Times!$E$5:$E$863,C47&amp;"|"&amp;D47,Test_Times!$L$5:$L$863)+N(E47)*SUMIF(Test_Times!$E$5:$E$863,C47&amp;"|"&amp;D47,Test_Times!$Q$5:$Q$863))</f>
        <v/>
      </c>
      <c r="J47" s="18" t="str">
        <f aca="false">IF(OR(H47="",N(I47)=0),"",H47/I47)</f>
        <v/>
      </c>
      <c r="K47" s="16"/>
    </row>
    <row r="48" customFormat="false" ht="15" hidden="false" customHeight="false" outlineLevel="0" collapsed="false">
      <c r="A48" s="23"/>
      <c r="B48" s="16"/>
      <c r="C48" s="16"/>
      <c r="D48" s="16"/>
      <c r="E48" s="16"/>
      <c r="F48" s="24"/>
      <c r="G48" s="24"/>
      <c r="H48" s="18" t="str">
        <f aca="false">IF(OR(F48="",G48=""),"",(G48-F48)*24)</f>
        <v/>
      </c>
      <c r="I48" s="18" t="str">
        <f aca="false">IF(C48="","",SUMIF(Test_Times!$E$5:$E$863,C48&amp;"|"&amp;D48,Test_Times!$L$5:$L$863)+N(E48)*SUMIF(Test_Times!$E$5:$E$863,C48&amp;"|"&amp;D48,Test_Times!$Q$5:$Q$863))</f>
        <v/>
      </c>
      <c r="J48" s="18" t="str">
        <f aca="false">IF(OR(H48="",N(I48)=0),"",H48/I48)</f>
        <v/>
      </c>
      <c r="K48" s="16"/>
    </row>
    <row r="49" customFormat="false" ht="15" hidden="false" customHeight="false" outlineLevel="0" collapsed="false">
      <c r="A49" s="23"/>
      <c r="B49" s="16"/>
      <c r="C49" s="16"/>
      <c r="D49" s="16"/>
      <c r="E49" s="16"/>
      <c r="F49" s="24"/>
      <c r="G49" s="24"/>
      <c r="H49" s="18" t="str">
        <f aca="false">IF(OR(F49="",G49=""),"",(G49-F49)*24)</f>
        <v/>
      </c>
      <c r="I49" s="18" t="str">
        <f aca="false">IF(C49="","",SUMIF(Test_Times!$E$5:$E$863,C49&amp;"|"&amp;D49,Test_Times!$L$5:$L$863)+N(E49)*SUMIF(Test_Times!$E$5:$E$863,C49&amp;"|"&amp;D49,Test_Times!$Q$5:$Q$863))</f>
        <v/>
      </c>
      <c r="J49" s="18" t="str">
        <f aca="false">IF(OR(H49="",N(I49)=0),"",H49/I49)</f>
        <v/>
      </c>
      <c r="K49" s="16"/>
    </row>
    <row r="50" customFormat="false" ht="15" hidden="false" customHeight="false" outlineLevel="0" collapsed="false">
      <c r="A50" s="23"/>
      <c r="B50" s="16"/>
      <c r="C50" s="16"/>
      <c r="D50" s="16"/>
      <c r="E50" s="16"/>
      <c r="F50" s="24"/>
      <c r="G50" s="24"/>
      <c r="H50" s="18" t="str">
        <f aca="false">IF(OR(F50="",G50=""),"",(G50-F50)*24)</f>
        <v/>
      </c>
      <c r="I50" s="18" t="str">
        <f aca="false">IF(C50="","",SUMIF(Test_Times!$E$5:$E$863,C50&amp;"|"&amp;D50,Test_Times!$L$5:$L$863)+N(E50)*SUMIF(Test_Times!$E$5:$E$863,C50&amp;"|"&amp;D50,Test_Times!$Q$5:$Q$863))</f>
        <v/>
      </c>
      <c r="J50" s="18" t="str">
        <f aca="false">IF(OR(H50="",N(I50)=0),"",H50/I50)</f>
        <v/>
      </c>
      <c r="K50" s="16"/>
    </row>
    <row r="51" customFormat="false" ht="15" hidden="false" customHeight="false" outlineLevel="0" collapsed="false">
      <c r="A51" s="23"/>
      <c r="B51" s="16"/>
      <c r="C51" s="16"/>
      <c r="D51" s="16"/>
      <c r="E51" s="16"/>
      <c r="F51" s="24"/>
      <c r="G51" s="24"/>
      <c r="H51" s="18" t="str">
        <f aca="false">IF(OR(F51="",G51=""),"",(G51-F51)*24)</f>
        <v/>
      </c>
      <c r="I51" s="18" t="str">
        <f aca="false">IF(C51="","",SUMIF(Test_Times!$E$5:$E$863,C51&amp;"|"&amp;D51,Test_Times!$L$5:$L$863)+N(E51)*SUMIF(Test_Times!$E$5:$E$863,C51&amp;"|"&amp;D51,Test_Times!$Q$5:$Q$863))</f>
        <v/>
      </c>
      <c r="J51" s="18" t="str">
        <f aca="false">IF(OR(H51="",N(I51)=0),"",H51/I51)</f>
        <v/>
      </c>
      <c r="K51" s="16"/>
    </row>
    <row r="52" customFormat="false" ht="15" hidden="false" customHeight="false" outlineLevel="0" collapsed="false">
      <c r="A52" s="23"/>
      <c r="B52" s="16"/>
      <c r="C52" s="16"/>
      <c r="D52" s="16"/>
      <c r="E52" s="16"/>
      <c r="F52" s="24"/>
      <c r="G52" s="24"/>
      <c r="H52" s="18" t="str">
        <f aca="false">IF(OR(F52="",G52=""),"",(G52-F52)*24)</f>
        <v/>
      </c>
      <c r="I52" s="18" t="str">
        <f aca="false">IF(C52="","",SUMIF(Test_Times!$E$5:$E$863,C52&amp;"|"&amp;D52,Test_Times!$L$5:$L$863)+N(E52)*SUMIF(Test_Times!$E$5:$E$863,C52&amp;"|"&amp;D52,Test_Times!$Q$5:$Q$863))</f>
        <v/>
      </c>
      <c r="J52" s="18" t="str">
        <f aca="false">IF(OR(H52="",N(I52)=0),"",H52/I52)</f>
        <v/>
      </c>
      <c r="K52" s="16"/>
    </row>
    <row r="53" customFormat="false" ht="15" hidden="false" customHeight="false" outlineLevel="0" collapsed="false">
      <c r="A53" s="23"/>
      <c r="B53" s="16"/>
      <c r="C53" s="16"/>
      <c r="D53" s="16"/>
      <c r="E53" s="16"/>
      <c r="F53" s="24"/>
      <c r="G53" s="24"/>
      <c r="H53" s="18" t="str">
        <f aca="false">IF(OR(F53="",G53=""),"",(G53-F53)*24)</f>
        <v/>
      </c>
      <c r="I53" s="18" t="str">
        <f aca="false">IF(C53="","",SUMIF(Test_Times!$E$5:$E$863,C53&amp;"|"&amp;D53,Test_Times!$L$5:$L$863)+N(E53)*SUMIF(Test_Times!$E$5:$E$863,C53&amp;"|"&amp;D53,Test_Times!$Q$5:$Q$863))</f>
        <v/>
      </c>
      <c r="J53" s="18" t="str">
        <f aca="false">IF(OR(H53="",N(I53)=0),"",H53/I53)</f>
        <v/>
      </c>
      <c r="K53" s="16"/>
    </row>
    <row r="54" customFormat="false" ht="15" hidden="false" customHeight="false" outlineLevel="0" collapsed="false">
      <c r="A54" s="23"/>
      <c r="B54" s="16"/>
      <c r="C54" s="16"/>
      <c r="D54" s="16"/>
      <c r="E54" s="16"/>
      <c r="F54" s="24"/>
      <c r="G54" s="24"/>
      <c r="H54" s="18" t="str">
        <f aca="false">IF(OR(F54="",G54=""),"",(G54-F54)*24)</f>
        <v/>
      </c>
      <c r="I54" s="18" t="str">
        <f aca="false">IF(C54="","",SUMIF(Test_Times!$E$5:$E$863,C54&amp;"|"&amp;D54,Test_Times!$L$5:$L$863)+N(E54)*SUMIF(Test_Times!$E$5:$E$863,C54&amp;"|"&amp;D54,Test_Times!$Q$5:$Q$863))</f>
        <v/>
      </c>
      <c r="J54" s="18" t="str">
        <f aca="false">IF(OR(H54="",N(I54)=0),"",H54/I54)</f>
        <v/>
      </c>
      <c r="K54" s="16"/>
    </row>
    <row r="55" customFormat="false" ht="15" hidden="false" customHeight="false" outlineLevel="0" collapsed="false">
      <c r="A55" s="23"/>
      <c r="B55" s="16"/>
      <c r="C55" s="16"/>
      <c r="D55" s="16"/>
      <c r="E55" s="16"/>
      <c r="F55" s="24"/>
      <c r="G55" s="24"/>
      <c r="H55" s="18" t="str">
        <f aca="false">IF(OR(F55="",G55=""),"",(G55-F55)*24)</f>
        <v/>
      </c>
      <c r="I55" s="18" t="str">
        <f aca="false">IF(C55="","",SUMIF(Test_Times!$E$5:$E$863,C55&amp;"|"&amp;D55,Test_Times!$L$5:$L$863)+N(E55)*SUMIF(Test_Times!$E$5:$E$863,C55&amp;"|"&amp;D55,Test_Times!$Q$5:$Q$863))</f>
        <v/>
      </c>
      <c r="J55" s="18" t="str">
        <f aca="false">IF(OR(H55="",N(I55)=0),"",H55/I55)</f>
        <v/>
      </c>
      <c r="K55" s="16"/>
    </row>
    <row r="56" customFormat="false" ht="15" hidden="false" customHeight="false" outlineLevel="0" collapsed="false">
      <c r="A56" s="23"/>
      <c r="B56" s="16"/>
      <c r="C56" s="16"/>
      <c r="D56" s="16"/>
      <c r="E56" s="16"/>
      <c r="F56" s="24"/>
      <c r="G56" s="24"/>
      <c r="H56" s="18" t="str">
        <f aca="false">IF(OR(F56="",G56=""),"",(G56-F56)*24)</f>
        <v/>
      </c>
      <c r="I56" s="18" t="str">
        <f aca="false">IF(C56="","",SUMIF(Test_Times!$E$5:$E$863,C56&amp;"|"&amp;D56,Test_Times!$L$5:$L$863)+N(E56)*SUMIF(Test_Times!$E$5:$E$863,C56&amp;"|"&amp;D56,Test_Times!$Q$5:$Q$863))</f>
        <v/>
      </c>
      <c r="J56" s="18" t="str">
        <f aca="false">IF(OR(H56="",N(I56)=0),"",H56/I56)</f>
        <v/>
      </c>
      <c r="K56" s="16"/>
    </row>
    <row r="57" customFormat="false" ht="15" hidden="false" customHeight="false" outlineLevel="0" collapsed="false">
      <c r="A57" s="23"/>
      <c r="B57" s="16"/>
      <c r="C57" s="16"/>
      <c r="D57" s="16"/>
      <c r="E57" s="16"/>
      <c r="F57" s="24"/>
      <c r="G57" s="24"/>
      <c r="H57" s="18" t="str">
        <f aca="false">IF(OR(F57="",G57=""),"",(G57-F57)*24)</f>
        <v/>
      </c>
      <c r="I57" s="18" t="str">
        <f aca="false">IF(C57="","",SUMIF(Test_Times!$E$5:$E$863,C57&amp;"|"&amp;D57,Test_Times!$L$5:$L$863)+N(E57)*SUMIF(Test_Times!$E$5:$E$863,C57&amp;"|"&amp;D57,Test_Times!$Q$5:$Q$863))</f>
        <v/>
      </c>
      <c r="J57" s="18" t="str">
        <f aca="false">IF(OR(H57="",N(I57)=0),"",H57/I57)</f>
        <v/>
      </c>
      <c r="K57" s="16"/>
    </row>
    <row r="58" customFormat="false" ht="15" hidden="false" customHeight="false" outlineLevel="0" collapsed="false">
      <c r="A58" s="23"/>
      <c r="B58" s="16"/>
      <c r="C58" s="16"/>
      <c r="D58" s="16"/>
      <c r="E58" s="16"/>
      <c r="F58" s="24"/>
      <c r="G58" s="24"/>
      <c r="H58" s="18" t="str">
        <f aca="false">IF(OR(F58="",G58=""),"",(G58-F58)*24)</f>
        <v/>
      </c>
      <c r="I58" s="18" t="str">
        <f aca="false">IF(C58="","",SUMIF(Test_Times!$E$5:$E$863,C58&amp;"|"&amp;D58,Test_Times!$L$5:$L$863)+N(E58)*SUMIF(Test_Times!$E$5:$E$863,C58&amp;"|"&amp;D58,Test_Times!$Q$5:$Q$863))</f>
        <v/>
      </c>
      <c r="J58" s="18" t="str">
        <f aca="false">IF(OR(H58="",N(I58)=0),"",H58/I58)</f>
        <v/>
      </c>
      <c r="K58" s="16"/>
    </row>
    <row r="59" customFormat="false" ht="15" hidden="false" customHeight="false" outlineLevel="0" collapsed="false">
      <c r="A59" s="23"/>
      <c r="B59" s="16"/>
      <c r="C59" s="16"/>
      <c r="D59" s="16"/>
      <c r="E59" s="16"/>
      <c r="F59" s="24"/>
      <c r="G59" s="24"/>
      <c r="H59" s="18" t="str">
        <f aca="false">IF(OR(F59="",G59=""),"",(G59-F59)*24)</f>
        <v/>
      </c>
      <c r="I59" s="18" t="str">
        <f aca="false">IF(C59="","",SUMIF(Test_Times!$E$5:$E$863,C59&amp;"|"&amp;D59,Test_Times!$L$5:$L$863)+N(E59)*SUMIF(Test_Times!$E$5:$E$863,C59&amp;"|"&amp;D59,Test_Times!$Q$5:$Q$863))</f>
        <v/>
      </c>
      <c r="J59" s="18" t="str">
        <f aca="false">IF(OR(H59="",N(I59)=0),"",H59/I59)</f>
        <v/>
      </c>
      <c r="K59" s="16"/>
    </row>
    <row r="60" customFormat="false" ht="15" hidden="false" customHeight="false" outlineLevel="0" collapsed="false">
      <c r="A60" s="23"/>
      <c r="B60" s="16"/>
      <c r="C60" s="16"/>
      <c r="D60" s="16"/>
      <c r="E60" s="16"/>
      <c r="F60" s="24"/>
      <c r="G60" s="24"/>
      <c r="H60" s="18" t="str">
        <f aca="false">IF(OR(F60="",G60=""),"",(G60-F60)*24)</f>
        <v/>
      </c>
      <c r="I60" s="18" t="str">
        <f aca="false">IF(C60="","",SUMIF(Test_Times!$E$5:$E$863,C60&amp;"|"&amp;D60,Test_Times!$L$5:$L$863)+N(E60)*SUMIF(Test_Times!$E$5:$E$863,C60&amp;"|"&amp;D60,Test_Times!$Q$5:$Q$863))</f>
        <v/>
      </c>
      <c r="J60" s="18" t="str">
        <f aca="false">IF(OR(H60="",N(I60)=0),"",H60/I60)</f>
        <v/>
      </c>
      <c r="K60" s="16"/>
    </row>
    <row r="61" customFormat="false" ht="15" hidden="false" customHeight="false" outlineLevel="0" collapsed="false">
      <c r="A61" s="23"/>
      <c r="B61" s="16"/>
      <c r="C61" s="16"/>
      <c r="D61" s="16"/>
      <c r="E61" s="16"/>
      <c r="F61" s="24"/>
      <c r="G61" s="24"/>
      <c r="H61" s="18" t="str">
        <f aca="false">IF(OR(F61="",G61=""),"",(G61-F61)*24)</f>
        <v/>
      </c>
      <c r="I61" s="18" t="str">
        <f aca="false">IF(C61="","",SUMIF(Test_Times!$E$5:$E$863,C61&amp;"|"&amp;D61,Test_Times!$L$5:$L$863)+N(E61)*SUMIF(Test_Times!$E$5:$E$863,C61&amp;"|"&amp;D61,Test_Times!$Q$5:$Q$863))</f>
        <v/>
      </c>
      <c r="J61" s="18" t="str">
        <f aca="false">IF(OR(H61="",N(I61)=0),"",H61/I61)</f>
        <v/>
      </c>
      <c r="K61" s="16"/>
    </row>
    <row r="62" customFormat="false" ht="15" hidden="false" customHeight="false" outlineLevel="0" collapsed="false">
      <c r="A62" s="23"/>
      <c r="B62" s="16"/>
      <c r="C62" s="16"/>
      <c r="D62" s="16"/>
      <c r="E62" s="16"/>
      <c r="F62" s="24"/>
      <c r="G62" s="24"/>
      <c r="H62" s="18" t="str">
        <f aca="false">IF(OR(F62="",G62=""),"",(G62-F62)*24)</f>
        <v/>
      </c>
      <c r="I62" s="18" t="str">
        <f aca="false">IF(C62="","",SUMIF(Test_Times!$E$5:$E$863,C62&amp;"|"&amp;D62,Test_Times!$L$5:$L$863)+N(E62)*SUMIF(Test_Times!$E$5:$E$863,C62&amp;"|"&amp;D62,Test_Times!$Q$5:$Q$863))</f>
        <v/>
      </c>
      <c r="J62" s="18" t="str">
        <f aca="false">IF(OR(H62="",N(I62)=0),"",H62/I62)</f>
        <v/>
      </c>
      <c r="K62" s="16"/>
    </row>
    <row r="63" customFormat="false" ht="15" hidden="false" customHeight="false" outlineLevel="0" collapsed="false">
      <c r="A63" s="23"/>
      <c r="B63" s="16"/>
      <c r="C63" s="16"/>
      <c r="D63" s="16"/>
      <c r="E63" s="16"/>
      <c r="F63" s="24"/>
      <c r="G63" s="24"/>
      <c r="H63" s="18" t="str">
        <f aca="false">IF(OR(F63="",G63=""),"",(G63-F63)*24)</f>
        <v/>
      </c>
      <c r="I63" s="18" t="str">
        <f aca="false">IF(C63="","",SUMIF(Test_Times!$E$5:$E$863,C63&amp;"|"&amp;D63,Test_Times!$L$5:$L$863)+N(E63)*SUMIF(Test_Times!$E$5:$E$863,C63&amp;"|"&amp;D63,Test_Times!$Q$5:$Q$863))</f>
        <v/>
      </c>
      <c r="J63" s="18" t="str">
        <f aca="false">IF(OR(H63="",N(I63)=0),"",H63/I63)</f>
        <v/>
      </c>
      <c r="K63" s="16"/>
    </row>
    <row r="64" customFormat="false" ht="15" hidden="false" customHeight="false" outlineLevel="0" collapsed="false">
      <c r="A64" s="23"/>
      <c r="B64" s="16"/>
      <c r="C64" s="16"/>
      <c r="D64" s="16"/>
      <c r="E64" s="16"/>
      <c r="F64" s="24"/>
      <c r="G64" s="24"/>
      <c r="H64" s="18" t="str">
        <f aca="false">IF(OR(F64="",G64=""),"",(G64-F64)*24)</f>
        <v/>
      </c>
      <c r="I64" s="18" t="str">
        <f aca="false">IF(C64="","",SUMIF(Test_Times!$E$5:$E$863,C64&amp;"|"&amp;D64,Test_Times!$L$5:$L$863)+N(E64)*SUMIF(Test_Times!$E$5:$E$863,C64&amp;"|"&amp;D64,Test_Times!$Q$5:$Q$863))</f>
        <v/>
      </c>
      <c r="J64" s="18" t="str">
        <f aca="false">IF(OR(H64="",N(I64)=0),"",H64/I64)</f>
        <v/>
      </c>
      <c r="K64" s="16"/>
    </row>
    <row r="65" customFormat="false" ht="15" hidden="false" customHeight="false" outlineLevel="0" collapsed="false">
      <c r="A65" s="23"/>
      <c r="B65" s="16"/>
      <c r="C65" s="16"/>
      <c r="D65" s="16"/>
      <c r="E65" s="16"/>
      <c r="F65" s="24"/>
      <c r="G65" s="24"/>
      <c r="H65" s="18" t="str">
        <f aca="false">IF(OR(F65="",G65=""),"",(G65-F65)*24)</f>
        <v/>
      </c>
      <c r="I65" s="18" t="str">
        <f aca="false">IF(C65="","",SUMIF(Test_Times!$E$5:$E$863,C65&amp;"|"&amp;D65,Test_Times!$L$5:$L$863)+N(E65)*SUMIF(Test_Times!$E$5:$E$863,C65&amp;"|"&amp;D65,Test_Times!$Q$5:$Q$863))</f>
        <v/>
      </c>
      <c r="J65" s="18" t="str">
        <f aca="false">IF(OR(H65="",N(I65)=0),"",H65/I65)</f>
        <v/>
      </c>
      <c r="K65" s="16"/>
    </row>
    <row r="66" customFormat="false" ht="15" hidden="false" customHeight="false" outlineLevel="0" collapsed="false">
      <c r="A66" s="23"/>
      <c r="B66" s="16"/>
      <c r="C66" s="16"/>
      <c r="D66" s="16"/>
      <c r="E66" s="16"/>
      <c r="F66" s="24"/>
      <c r="G66" s="24"/>
      <c r="H66" s="18" t="str">
        <f aca="false">IF(OR(F66="",G66=""),"",(G66-F66)*24)</f>
        <v/>
      </c>
      <c r="I66" s="18" t="str">
        <f aca="false">IF(C66="","",SUMIF(Test_Times!$E$5:$E$863,C66&amp;"|"&amp;D66,Test_Times!$L$5:$L$863)+N(E66)*SUMIF(Test_Times!$E$5:$E$863,C66&amp;"|"&amp;D66,Test_Times!$Q$5:$Q$863))</f>
        <v/>
      </c>
      <c r="J66" s="18" t="str">
        <f aca="false">IF(OR(H66="",N(I66)=0),"",H66/I66)</f>
        <v/>
      </c>
      <c r="K66" s="16"/>
    </row>
    <row r="67" customFormat="false" ht="15" hidden="false" customHeight="false" outlineLevel="0" collapsed="false">
      <c r="A67" s="23"/>
      <c r="B67" s="16"/>
      <c r="C67" s="16"/>
      <c r="D67" s="16"/>
      <c r="E67" s="16"/>
      <c r="F67" s="24"/>
      <c r="G67" s="24"/>
      <c r="H67" s="18" t="str">
        <f aca="false">IF(OR(F67="",G67=""),"",(G67-F67)*24)</f>
        <v/>
      </c>
      <c r="I67" s="18" t="str">
        <f aca="false">IF(C67="","",SUMIF(Test_Times!$E$5:$E$863,C67&amp;"|"&amp;D67,Test_Times!$L$5:$L$863)+N(E67)*SUMIF(Test_Times!$E$5:$E$863,C67&amp;"|"&amp;D67,Test_Times!$Q$5:$Q$863))</f>
        <v/>
      </c>
      <c r="J67" s="18" t="str">
        <f aca="false">IF(OR(H67="",N(I67)=0),"",H67/I67)</f>
        <v/>
      </c>
      <c r="K67" s="16"/>
    </row>
    <row r="68" customFormat="false" ht="15" hidden="false" customHeight="false" outlineLevel="0" collapsed="false">
      <c r="A68" s="23"/>
      <c r="B68" s="16"/>
      <c r="C68" s="16"/>
      <c r="D68" s="16"/>
      <c r="E68" s="16"/>
      <c r="F68" s="24"/>
      <c r="G68" s="24"/>
      <c r="H68" s="18" t="str">
        <f aca="false">IF(OR(F68="",G68=""),"",(G68-F68)*24)</f>
        <v/>
      </c>
      <c r="I68" s="18" t="str">
        <f aca="false">IF(C68="","",SUMIF(Test_Times!$E$5:$E$863,C68&amp;"|"&amp;D68,Test_Times!$L$5:$L$863)+N(E68)*SUMIF(Test_Times!$E$5:$E$863,C68&amp;"|"&amp;D68,Test_Times!$Q$5:$Q$863))</f>
        <v/>
      </c>
      <c r="J68" s="18" t="str">
        <f aca="false">IF(OR(H68="",N(I68)=0),"",H68/I68)</f>
        <v/>
      </c>
      <c r="K68" s="16"/>
    </row>
    <row r="69" customFormat="false" ht="15" hidden="false" customHeight="false" outlineLevel="0" collapsed="false">
      <c r="A69" s="23"/>
      <c r="B69" s="16"/>
      <c r="C69" s="16"/>
      <c r="D69" s="16"/>
      <c r="E69" s="16"/>
      <c r="F69" s="24"/>
      <c r="G69" s="24"/>
      <c r="H69" s="18" t="str">
        <f aca="false">IF(OR(F69="",G69=""),"",(G69-F69)*24)</f>
        <v/>
      </c>
      <c r="I69" s="18" t="str">
        <f aca="false">IF(C69="","",SUMIF(Test_Times!$E$5:$E$863,C69&amp;"|"&amp;D69,Test_Times!$L$5:$L$863)+N(E69)*SUMIF(Test_Times!$E$5:$E$863,C69&amp;"|"&amp;D69,Test_Times!$Q$5:$Q$863))</f>
        <v/>
      </c>
      <c r="J69" s="18" t="str">
        <f aca="false">IF(OR(H69="",N(I69)=0),"",H69/I69)</f>
        <v/>
      </c>
      <c r="K69" s="16"/>
    </row>
    <row r="70" customFormat="false" ht="15" hidden="false" customHeight="false" outlineLevel="0" collapsed="false">
      <c r="A70" s="23"/>
      <c r="B70" s="16"/>
      <c r="C70" s="16"/>
      <c r="D70" s="16"/>
      <c r="E70" s="16"/>
      <c r="F70" s="24"/>
      <c r="G70" s="24"/>
      <c r="H70" s="18" t="str">
        <f aca="false">IF(OR(F70="",G70=""),"",(G70-F70)*24)</f>
        <v/>
      </c>
      <c r="I70" s="18" t="str">
        <f aca="false">IF(C70="","",SUMIF(Test_Times!$E$5:$E$863,C70&amp;"|"&amp;D70,Test_Times!$L$5:$L$863)+N(E70)*SUMIF(Test_Times!$E$5:$E$863,C70&amp;"|"&amp;D70,Test_Times!$Q$5:$Q$863))</f>
        <v/>
      </c>
      <c r="J70" s="18" t="str">
        <f aca="false">IF(OR(H70="",N(I70)=0),"",H70/I70)</f>
        <v/>
      </c>
      <c r="K70" s="16"/>
    </row>
    <row r="71" customFormat="false" ht="15" hidden="false" customHeight="false" outlineLevel="0" collapsed="false">
      <c r="A71" s="23"/>
      <c r="B71" s="16"/>
      <c r="C71" s="16"/>
      <c r="D71" s="16"/>
      <c r="E71" s="16"/>
      <c r="F71" s="24"/>
      <c r="G71" s="24"/>
      <c r="H71" s="18" t="str">
        <f aca="false">IF(OR(F71="",G71=""),"",(G71-F71)*24)</f>
        <v/>
      </c>
      <c r="I71" s="18" t="str">
        <f aca="false">IF(C71="","",SUMIF(Test_Times!$E$5:$E$863,C71&amp;"|"&amp;D71,Test_Times!$L$5:$L$863)+N(E71)*SUMIF(Test_Times!$E$5:$E$863,C71&amp;"|"&amp;D71,Test_Times!$Q$5:$Q$863))</f>
        <v/>
      </c>
      <c r="J71" s="18" t="str">
        <f aca="false">IF(OR(H71="",N(I71)=0),"",H71/I71)</f>
        <v/>
      </c>
      <c r="K71" s="16"/>
    </row>
    <row r="72" customFormat="false" ht="15" hidden="false" customHeight="false" outlineLevel="0" collapsed="false">
      <c r="A72" s="23"/>
      <c r="B72" s="16"/>
      <c r="C72" s="16"/>
      <c r="D72" s="16"/>
      <c r="E72" s="16"/>
      <c r="F72" s="24"/>
      <c r="G72" s="24"/>
      <c r="H72" s="18" t="str">
        <f aca="false">IF(OR(F72="",G72=""),"",(G72-F72)*24)</f>
        <v/>
      </c>
      <c r="I72" s="18" t="str">
        <f aca="false">IF(C72="","",SUMIF(Test_Times!$E$5:$E$863,C72&amp;"|"&amp;D72,Test_Times!$L$5:$L$863)+N(E72)*SUMIF(Test_Times!$E$5:$E$863,C72&amp;"|"&amp;D72,Test_Times!$Q$5:$Q$863))</f>
        <v/>
      </c>
      <c r="J72" s="18" t="str">
        <f aca="false">IF(OR(H72="",N(I72)=0),"",H72/I72)</f>
        <v/>
      </c>
      <c r="K72" s="16"/>
    </row>
    <row r="73" customFormat="false" ht="15" hidden="false" customHeight="false" outlineLevel="0" collapsed="false">
      <c r="A73" s="23"/>
      <c r="B73" s="16"/>
      <c r="C73" s="16"/>
      <c r="D73" s="16"/>
      <c r="E73" s="16"/>
      <c r="F73" s="24"/>
      <c r="G73" s="24"/>
      <c r="H73" s="18" t="str">
        <f aca="false">IF(OR(F73="",G73=""),"",(G73-F73)*24)</f>
        <v/>
      </c>
      <c r="I73" s="18" t="str">
        <f aca="false">IF(C73="","",SUMIF(Test_Times!$E$5:$E$863,C73&amp;"|"&amp;D73,Test_Times!$L$5:$L$863)+N(E73)*SUMIF(Test_Times!$E$5:$E$863,C73&amp;"|"&amp;D73,Test_Times!$Q$5:$Q$863))</f>
        <v/>
      </c>
      <c r="J73" s="18" t="str">
        <f aca="false">IF(OR(H73="",N(I73)=0),"",H73/I73)</f>
        <v/>
      </c>
      <c r="K73" s="16"/>
    </row>
    <row r="74" customFormat="false" ht="15" hidden="false" customHeight="false" outlineLevel="0" collapsed="false">
      <c r="A74" s="23"/>
      <c r="B74" s="16"/>
      <c r="C74" s="16"/>
      <c r="D74" s="16"/>
      <c r="E74" s="16"/>
      <c r="F74" s="24"/>
      <c r="G74" s="24"/>
      <c r="H74" s="18" t="str">
        <f aca="false">IF(OR(F74="",G74=""),"",(G74-F74)*24)</f>
        <v/>
      </c>
      <c r="I74" s="18" t="str">
        <f aca="false">IF(C74="","",SUMIF(Test_Times!$E$5:$E$863,C74&amp;"|"&amp;D74,Test_Times!$L$5:$L$863)+N(E74)*SUMIF(Test_Times!$E$5:$E$863,C74&amp;"|"&amp;D74,Test_Times!$Q$5:$Q$863))</f>
        <v/>
      </c>
      <c r="J74" s="18" t="str">
        <f aca="false">IF(OR(H74="",N(I74)=0),"",H74/I74)</f>
        <v/>
      </c>
      <c r="K74" s="16"/>
    </row>
    <row r="75" customFormat="false" ht="15" hidden="false" customHeight="false" outlineLevel="0" collapsed="false">
      <c r="A75" s="23"/>
      <c r="B75" s="16"/>
      <c r="C75" s="16"/>
      <c r="D75" s="16"/>
      <c r="E75" s="16"/>
      <c r="F75" s="24"/>
      <c r="G75" s="24"/>
      <c r="H75" s="18" t="str">
        <f aca="false">IF(OR(F75="",G75=""),"",(G75-F75)*24)</f>
        <v/>
      </c>
      <c r="I75" s="18" t="str">
        <f aca="false">IF(C75="","",SUMIF(Test_Times!$E$5:$E$863,C75&amp;"|"&amp;D75,Test_Times!$L$5:$L$863)+N(E75)*SUMIF(Test_Times!$E$5:$E$863,C75&amp;"|"&amp;D75,Test_Times!$Q$5:$Q$863))</f>
        <v/>
      </c>
      <c r="J75" s="18" t="str">
        <f aca="false">IF(OR(H75="",N(I75)=0),"",H75/I75)</f>
        <v/>
      </c>
      <c r="K75" s="16"/>
    </row>
    <row r="76" customFormat="false" ht="15" hidden="false" customHeight="false" outlineLevel="0" collapsed="false">
      <c r="A76" s="23"/>
      <c r="B76" s="16"/>
      <c r="C76" s="16"/>
      <c r="D76" s="16"/>
      <c r="E76" s="16"/>
      <c r="F76" s="24"/>
      <c r="G76" s="24"/>
      <c r="H76" s="18" t="str">
        <f aca="false">IF(OR(F76="",G76=""),"",(G76-F76)*24)</f>
        <v/>
      </c>
      <c r="I76" s="18" t="str">
        <f aca="false">IF(C76="","",SUMIF(Test_Times!$E$5:$E$863,C76&amp;"|"&amp;D76,Test_Times!$L$5:$L$863)+N(E76)*SUMIF(Test_Times!$E$5:$E$863,C76&amp;"|"&amp;D76,Test_Times!$Q$5:$Q$863))</f>
        <v/>
      </c>
      <c r="J76" s="18" t="str">
        <f aca="false">IF(OR(H76="",N(I76)=0),"",H76/I76)</f>
        <v/>
      </c>
      <c r="K76" s="16"/>
    </row>
    <row r="77" customFormat="false" ht="15" hidden="false" customHeight="false" outlineLevel="0" collapsed="false">
      <c r="A77" s="23"/>
      <c r="B77" s="16"/>
      <c r="C77" s="16"/>
      <c r="D77" s="16"/>
      <c r="E77" s="16"/>
      <c r="F77" s="24"/>
      <c r="G77" s="24"/>
      <c r="H77" s="18" t="str">
        <f aca="false">IF(OR(F77="",G77=""),"",(G77-F77)*24)</f>
        <v/>
      </c>
      <c r="I77" s="18" t="str">
        <f aca="false">IF(C77="","",SUMIF(Test_Times!$E$5:$E$863,C77&amp;"|"&amp;D77,Test_Times!$L$5:$L$863)+N(E77)*SUMIF(Test_Times!$E$5:$E$863,C77&amp;"|"&amp;D77,Test_Times!$Q$5:$Q$863))</f>
        <v/>
      </c>
      <c r="J77" s="18" t="str">
        <f aca="false">IF(OR(H77="",N(I77)=0),"",H77/I77)</f>
        <v/>
      </c>
      <c r="K77" s="16"/>
    </row>
    <row r="78" customFormat="false" ht="15" hidden="false" customHeight="false" outlineLevel="0" collapsed="false">
      <c r="A78" s="23"/>
      <c r="B78" s="16"/>
      <c r="C78" s="16"/>
      <c r="D78" s="16"/>
      <c r="E78" s="16"/>
      <c r="F78" s="24"/>
      <c r="G78" s="24"/>
      <c r="H78" s="18" t="str">
        <f aca="false">IF(OR(F78="",G78=""),"",(G78-F78)*24)</f>
        <v/>
      </c>
      <c r="I78" s="18" t="str">
        <f aca="false">IF(C78="","",SUMIF(Test_Times!$E$5:$E$863,C78&amp;"|"&amp;D78,Test_Times!$L$5:$L$863)+N(E78)*SUMIF(Test_Times!$E$5:$E$863,C78&amp;"|"&amp;D78,Test_Times!$Q$5:$Q$863))</f>
        <v/>
      </c>
      <c r="J78" s="18" t="str">
        <f aca="false">IF(OR(H78="",N(I78)=0),"",H78/I78)</f>
        <v/>
      </c>
      <c r="K78" s="16"/>
    </row>
    <row r="79" customFormat="false" ht="15" hidden="false" customHeight="false" outlineLevel="0" collapsed="false">
      <c r="A79" s="23"/>
      <c r="B79" s="16"/>
      <c r="C79" s="16"/>
      <c r="D79" s="16"/>
      <c r="E79" s="16"/>
      <c r="F79" s="24"/>
      <c r="G79" s="24"/>
      <c r="H79" s="18" t="str">
        <f aca="false">IF(OR(F79="",G79=""),"",(G79-F79)*24)</f>
        <v/>
      </c>
      <c r="I79" s="18" t="str">
        <f aca="false">IF(C79="","",SUMIF(Test_Times!$E$5:$E$863,C79&amp;"|"&amp;D79,Test_Times!$L$5:$L$863)+N(E79)*SUMIF(Test_Times!$E$5:$E$863,C79&amp;"|"&amp;D79,Test_Times!$Q$5:$Q$863))</f>
        <v/>
      </c>
      <c r="J79" s="18" t="str">
        <f aca="false">IF(OR(H79="",N(I79)=0),"",H79/I79)</f>
        <v/>
      </c>
      <c r="K79" s="16"/>
    </row>
    <row r="80" customFormat="false" ht="15" hidden="false" customHeight="false" outlineLevel="0" collapsed="false">
      <c r="A80" s="23"/>
      <c r="B80" s="16"/>
      <c r="C80" s="16"/>
      <c r="D80" s="16"/>
      <c r="E80" s="16"/>
      <c r="F80" s="24"/>
      <c r="G80" s="24"/>
      <c r="H80" s="18" t="str">
        <f aca="false">IF(OR(F80="",G80=""),"",(G80-F80)*24)</f>
        <v/>
      </c>
      <c r="I80" s="18" t="str">
        <f aca="false">IF(C80="","",SUMIF(Test_Times!$E$5:$E$863,C80&amp;"|"&amp;D80,Test_Times!$L$5:$L$863)+N(E80)*SUMIF(Test_Times!$E$5:$E$863,C80&amp;"|"&amp;D80,Test_Times!$Q$5:$Q$863))</f>
        <v/>
      </c>
      <c r="J80" s="18" t="str">
        <f aca="false">IF(OR(H80="",N(I80)=0),"",H80/I80)</f>
        <v/>
      </c>
      <c r="K80" s="16"/>
    </row>
    <row r="81" customFormat="false" ht="15" hidden="false" customHeight="false" outlineLevel="0" collapsed="false">
      <c r="A81" s="23"/>
      <c r="B81" s="16"/>
      <c r="C81" s="16"/>
      <c r="D81" s="16"/>
      <c r="E81" s="16"/>
      <c r="F81" s="24"/>
      <c r="G81" s="24"/>
      <c r="H81" s="18" t="str">
        <f aca="false">IF(OR(F81="",G81=""),"",(G81-F81)*24)</f>
        <v/>
      </c>
      <c r="I81" s="18" t="str">
        <f aca="false">IF(C81="","",SUMIF(Test_Times!$E$5:$E$863,C81&amp;"|"&amp;D81,Test_Times!$L$5:$L$863)+N(E81)*SUMIF(Test_Times!$E$5:$E$863,C81&amp;"|"&amp;D81,Test_Times!$Q$5:$Q$863))</f>
        <v/>
      </c>
      <c r="J81" s="18" t="str">
        <f aca="false">IF(OR(H81="",N(I81)=0),"",H81/I81)</f>
        <v/>
      </c>
      <c r="K81" s="16"/>
    </row>
    <row r="82" customFormat="false" ht="15" hidden="false" customHeight="false" outlineLevel="0" collapsed="false">
      <c r="A82" s="23"/>
      <c r="B82" s="16"/>
      <c r="C82" s="16"/>
      <c r="D82" s="16"/>
      <c r="E82" s="16"/>
      <c r="F82" s="24"/>
      <c r="G82" s="24"/>
      <c r="H82" s="18" t="str">
        <f aca="false">IF(OR(F82="",G82=""),"",(G82-F82)*24)</f>
        <v/>
      </c>
      <c r="I82" s="18" t="str">
        <f aca="false">IF(C82="","",SUMIF(Test_Times!$E$5:$E$863,C82&amp;"|"&amp;D82,Test_Times!$L$5:$L$863)+N(E82)*SUMIF(Test_Times!$E$5:$E$863,C82&amp;"|"&amp;D82,Test_Times!$Q$5:$Q$863))</f>
        <v/>
      </c>
      <c r="J82" s="18" t="str">
        <f aca="false">IF(OR(H82="",N(I82)=0),"",H82/I82)</f>
        <v/>
      </c>
      <c r="K82" s="16"/>
    </row>
    <row r="83" customFormat="false" ht="15" hidden="false" customHeight="false" outlineLevel="0" collapsed="false">
      <c r="A83" s="23"/>
      <c r="B83" s="16"/>
      <c r="C83" s="16"/>
      <c r="D83" s="16"/>
      <c r="E83" s="16"/>
      <c r="F83" s="24"/>
      <c r="G83" s="24"/>
      <c r="H83" s="18" t="str">
        <f aca="false">IF(OR(F83="",G83=""),"",(G83-F83)*24)</f>
        <v/>
      </c>
      <c r="I83" s="18" t="str">
        <f aca="false">IF(C83="","",SUMIF(Test_Times!$E$5:$E$863,C83&amp;"|"&amp;D83,Test_Times!$L$5:$L$863)+N(E83)*SUMIF(Test_Times!$E$5:$E$863,C83&amp;"|"&amp;D83,Test_Times!$Q$5:$Q$863))</f>
        <v/>
      </c>
      <c r="J83" s="18" t="str">
        <f aca="false">IF(OR(H83="",N(I83)=0),"",H83/I83)</f>
        <v/>
      </c>
      <c r="K83" s="16"/>
    </row>
    <row r="84" customFormat="false" ht="15" hidden="false" customHeight="false" outlineLevel="0" collapsed="false">
      <c r="A84" s="23"/>
      <c r="B84" s="16"/>
      <c r="C84" s="16"/>
      <c r="D84" s="16"/>
      <c r="E84" s="16"/>
      <c r="F84" s="24"/>
      <c r="G84" s="24"/>
      <c r="H84" s="18" t="str">
        <f aca="false">IF(OR(F84="",G84=""),"",(G84-F84)*24)</f>
        <v/>
      </c>
      <c r="I84" s="18" t="str">
        <f aca="false">IF(C84="","",SUMIF(Test_Times!$E$5:$E$863,C84&amp;"|"&amp;D84,Test_Times!$L$5:$L$863)+N(E84)*SUMIF(Test_Times!$E$5:$E$863,C84&amp;"|"&amp;D84,Test_Times!$Q$5:$Q$863))</f>
        <v/>
      </c>
      <c r="J84" s="18" t="str">
        <f aca="false">IF(OR(H84="",N(I84)=0),"",H84/I84)</f>
        <v/>
      </c>
      <c r="K84" s="16"/>
    </row>
    <row r="85" customFormat="false" ht="15" hidden="false" customHeight="false" outlineLevel="0" collapsed="false">
      <c r="A85" s="23"/>
      <c r="B85" s="16"/>
      <c r="C85" s="16"/>
      <c r="D85" s="16"/>
      <c r="E85" s="16"/>
      <c r="F85" s="24"/>
      <c r="G85" s="24"/>
      <c r="H85" s="18" t="str">
        <f aca="false">IF(OR(F85="",G85=""),"",(G85-F85)*24)</f>
        <v/>
      </c>
      <c r="I85" s="18" t="str">
        <f aca="false">IF(C85="","",SUMIF(Test_Times!$E$5:$E$863,C85&amp;"|"&amp;D85,Test_Times!$L$5:$L$863)+N(E85)*SUMIF(Test_Times!$E$5:$E$863,C85&amp;"|"&amp;D85,Test_Times!$Q$5:$Q$863))</f>
        <v/>
      </c>
      <c r="J85" s="18" t="str">
        <f aca="false">IF(OR(H85="",N(I85)=0),"",H85/I85)</f>
        <v/>
      </c>
      <c r="K85" s="16"/>
    </row>
    <row r="86" customFormat="false" ht="15" hidden="false" customHeight="false" outlineLevel="0" collapsed="false">
      <c r="A86" s="23"/>
      <c r="B86" s="16"/>
      <c r="C86" s="16"/>
      <c r="D86" s="16"/>
      <c r="E86" s="16"/>
      <c r="F86" s="24"/>
      <c r="G86" s="24"/>
      <c r="H86" s="18" t="str">
        <f aca="false">IF(OR(F86="",G86=""),"",(G86-F86)*24)</f>
        <v/>
      </c>
      <c r="I86" s="18" t="str">
        <f aca="false">IF(C86="","",SUMIF(Test_Times!$E$5:$E$863,C86&amp;"|"&amp;D86,Test_Times!$L$5:$L$863)+N(E86)*SUMIF(Test_Times!$E$5:$E$863,C86&amp;"|"&amp;D86,Test_Times!$Q$5:$Q$863))</f>
        <v/>
      </c>
      <c r="J86" s="18" t="str">
        <f aca="false">IF(OR(H86="",N(I86)=0),"",H86/I86)</f>
        <v/>
      </c>
      <c r="K86" s="16"/>
    </row>
    <row r="87" customFormat="false" ht="15" hidden="false" customHeight="false" outlineLevel="0" collapsed="false">
      <c r="A87" s="23"/>
      <c r="B87" s="16"/>
      <c r="C87" s="16"/>
      <c r="D87" s="16"/>
      <c r="E87" s="16"/>
      <c r="F87" s="24"/>
      <c r="G87" s="24"/>
      <c r="H87" s="18" t="str">
        <f aca="false">IF(OR(F87="",G87=""),"",(G87-F87)*24)</f>
        <v/>
      </c>
      <c r="I87" s="18" t="str">
        <f aca="false">IF(C87="","",SUMIF(Test_Times!$E$5:$E$863,C87&amp;"|"&amp;D87,Test_Times!$L$5:$L$863)+N(E87)*SUMIF(Test_Times!$E$5:$E$863,C87&amp;"|"&amp;D87,Test_Times!$Q$5:$Q$863))</f>
        <v/>
      </c>
      <c r="J87" s="18" t="str">
        <f aca="false">IF(OR(H87="",N(I87)=0),"",H87/I87)</f>
        <v/>
      </c>
      <c r="K87" s="16"/>
    </row>
    <row r="88" customFormat="false" ht="15" hidden="false" customHeight="false" outlineLevel="0" collapsed="false">
      <c r="A88" s="23"/>
      <c r="B88" s="16"/>
      <c r="C88" s="16"/>
      <c r="D88" s="16"/>
      <c r="E88" s="16"/>
      <c r="F88" s="24"/>
      <c r="G88" s="24"/>
      <c r="H88" s="18" t="str">
        <f aca="false">IF(OR(F88="",G88=""),"",(G88-F88)*24)</f>
        <v/>
      </c>
      <c r="I88" s="18" t="str">
        <f aca="false">IF(C88="","",SUMIF(Test_Times!$E$5:$E$863,C88&amp;"|"&amp;D88,Test_Times!$L$5:$L$863)+N(E88)*SUMIF(Test_Times!$E$5:$E$863,C88&amp;"|"&amp;D88,Test_Times!$Q$5:$Q$863))</f>
        <v/>
      </c>
      <c r="J88" s="18" t="str">
        <f aca="false">IF(OR(H88="",N(I88)=0),"",H88/I88)</f>
        <v/>
      </c>
      <c r="K88" s="16"/>
    </row>
    <row r="89" customFormat="false" ht="15" hidden="false" customHeight="false" outlineLevel="0" collapsed="false">
      <c r="A89" s="23"/>
      <c r="B89" s="16"/>
      <c r="C89" s="16"/>
      <c r="D89" s="16"/>
      <c r="E89" s="16"/>
      <c r="F89" s="24"/>
      <c r="G89" s="24"/>
      <c r="H89" s="18" t="str">
        <f aca="false">IF(OR(F89="",G89=""),"",(G89-F89)*24)</f>
        <v/>
      </c>
      <c r="I89" s="18" t="str">
        <f aca="false">IF(C89="","",SUMIF(Test_Times!$E$5:$E$863,C89&amp;"|"&amp;D89,Test_Times!$L$5:$L$863)+N(E89)*SUMIF(Test_Times!$E$5:$E$863,C89&amp;"|"&amp;D89,Test_Times!$Q$5:$Q$863))</f>
        <v/>
      </c>
      <c r="J89" s="18" t="str">
        <f aca="false">IF(OR(H89="",N(I89)=0),"",H89/I89)</f>
        <v/>
      </c>
      <c r="K89" s="16"/>
    </row>
    <row r="90" customFormat="false" ht="15" hidden="false" customHeight="false" outlineLevel="0" collapsed="false">
      <c r="A90" s="23"/>
      <c r="B90" s="16"/>
      <c r="C90" s="16"/>
      <c r="D90" s="16"/>
      <c r="E90" s="16"/>
      <c r="F90" s="24"/>
      <c r="G90" s="24"/>
      <c r="H90" s="18" t="str">
        <f aca="false">IF(OR(F90="",G90=""),"",(G90-F90)*24)</f>
        <v/>
      </c>
      <c r="I90" s="18" t="str">
        <f aca="false">IF(C90="","",SUMIF(Test_Times!$E$5:$E$863,C90&amp;"|"&amp;D90,Test_Times!$L$5:$L$863)+N(E90)*SUMIF(Test_Times!$E$5:$E$863,C90&amp;"|"&amp;D90,Test_Times!$Q$5:$Q$863))</f>
        <v/>
      </c>
      <c r="J90" s="18" t="str">
        <f aca="false">IF(OR(H90="",N(I90)=0),"",H90/I90)</f>
        <v/>
      </c>
      <c r="K90" s="16"/>
    </row>
    <row r="91" customFormat="false" ht="15" hidden="false" customHeight="false" outlineLevel="0" collapsed="false">
      <c r="A91" s="23"/>
      <c r="B91" s="16"/>
      <c r="C91" s="16"/>
      <c r="D91" s="16"/>
      <c r="E91" s="16"/>
      <c r="F91" s="24"/>
      <c r="G91" s="24"/>
      <c r="H91" s="18" t="str">
        <f aca="false">IF(OR(F91="",G91=""),"",(G91-F91)*24)</f>
        <v/>
      </c>
      <c r="I91" s="18" t="str">
        <f aca="false">IF(C91="","",SUMIF(Test_Times!$E$5:$E$863,C91&amp;"|"&amp;D91,Test_Times!$L$5:$L$863)+N(E91)*SUMIF(Test_Times!$E$5:$E$863,C91&amp;"|"&amp;D91,Test_Times!$Q$5:$Q$863))</f>
        <v/>
      </c>
      <c r="J91" s="18" t="str">
        <f aca="false">IF(OR(H91="",N(I91)=0),"",H91/I91)</f>
        <v/>
      </c>
      <c r="K91" s="16"/>
    </row>
    <row r="92" customFormat="false" ht="15" hidden="false" customHeight="false" outlineLevel="0" collapsed="false">
      <c r="A92" s="23"/>
      <c r="B92" s="16"/>
      <c r="C92" s="16"/>
      <c r="D92" s="16"/>
      <c r="E92" s="16"/>
      <c r="F92" s="24"/>
      <c r="G92" s="24"/>
      <c r="H92" s="18" t="str">
        <f aca="false">IF(OR(F92="",G92=""),"",(G92-F92)*24)</f>
        <v/>
      </c>
      <c r="I92" s="18" t="str">
        <f aca="false">IF(C92="","",SUMIF(Test_Times!$E$5:$E$863,C92&amp;"|"&amp;D92,Test_Times!$L$5:$L$863)+N(E92)*SUMIF(Test_Times!$E$5:$E$863,C92&amp;"|"&amp;D92,Test_Times!$Q$5:$Q$863))</f>
        <v/>
      </c>
      <c r="J92" s="18" t="str">
        <f aca="false">IF(OR(H92="",N(I92)=0),"",H92/I92)</f>
        <v/>
      </c>
      <c r="K92" s="16"/>
    </row>
    <row r="93" customFormat="false" ht="15" hidden="false" customHeight="false" outlineLevel="0" collapsed="false">
      <c r="A93" s="23"/>
      <c r="B93" s="16"/>
      <c r="C93" s="16"/>
      <c r="D93" s="16"/>
      <c r="E93" s="16"/>
      <c r="F93" s="24"/>
      <c r="G93" s="24"/>
      <c r="H93" s="18" t="str">
        <f aca="false">IF(OR(F93="",G93=""),"",(G93-F93)*24)</f>
        <v/>
      </c>
      <c r="I93" s="18" t="str">
        <f aca="false">IF(C93="","",SUMIF(Test_Times!$E$5:$E$863,C93&amp;"|"&amp;D93,Test_Times!$L$5:$L$863)+N(E93)*SUMIF(Test_Times!$E$5:$E$863,C93&amp;"|"&amp;D93,Test_Times!$Q$5:$Q$863))</f>
        <v/>
      </c>
      <c r="J93" s="18" t="str">
        <f aca="false">IF(OR(H93="",N(I93)=0),"",H93/I93)</f>
        <v/>
      </c>
      <c r="K93" s="16"/>
    </row>
    <row r="94" customFormat="false" ht="15" hidden="false" customHeight="false" outlineLevel="0" collapsed="false">
      <c r="A94" s="23"/>
      <c r="B94" s="16"/>
      <c r="C94" s="16"/>
      <c r="D94" s="16"/>
      <c r="E94" s="16"/>
      <c r="F94" s="24"/>
      <c r="G94" s="24"/>
      <c r="H94" s="18" t="str">
        <f aca="false">IF(OR(F94="",G94=""),"",(G94-F94)*24)</f>
        <v/>
      </c>
      <c r="I94" s="18" t="str">
        <f aca="false">IF(C94="","",SUMIF(Test_Times!$E$5:$E$863,C94&amp;"|"&amp;D94,Test_Times!$L$5:$L$863)+N(E94)*SUMIF(Test_Times!$E$5:$E$863,C94&amp;"|"&amp;D94,Test_Times!$Q$5:$Q$863))</f>
        <v/>
      </c>
      <c r="J94" s="18" t="str">
        <f aca="false">IF(OR(H94="",N(I94)=0),"",H94/I94)</f>
        <v/>
      </c>
      <c r="K94" s="16"/>
    </row>
    <row r="95" customFormat="false" ht="15" hidden="false" customHeight="false" outlineLevel="0" collapsed="false">
      <c r="A95" s="23"/>
      <c r="B95" s="16"/>
      <c r="C95" s="16"/>
      <c r="D95" s="16"/>
      <c r="E95" s="16"/>
      <c r="F95" s="24"/>
      <c r="G95" s="24"/>
      <c r="H95" s="18" t="str">
        <f aca="false">IF(OR(F95="",G95=""),"",(G95-F95)*24)</f>
        <v/>
      </c>
      <c r="I95" s="18" t="str">
        <f aca="false">IF(C95="","",SUMIF(Test_Times!$E$5:$E$863,C95&amp;"|"&amp;D95,Test_Times!$L$5:$L$863)+N(E95)*SUMIF(Test_Times!$E$5:$E$863,C95&amp;"|"&amp;D95,Test_Times!$Q$5:$Q$863))</f>
        <v/>
      </c>
      <c r="J95" s="18" t="str">
        <f aca="false">IF(OR(H95="",N(I95)=0),"",H95/I95)</f>
        <v/>
      </c>
      <c r="K95" s="16"/>
    </row>
    <row r="96" customFormat="false" ht="15" hidden="false" customHeight="false" outlineLevel="0" collapsed="false">
      <c r="A96" s="23"/>
      <c r="B96" s="16"/>
      <c r="C96" s="16"/>
      <c r="D96" s="16"/>
      <c r="E96" s="16"/>
      <c r="F96" s="24"/>
      <c r="G96" s="24"/>
      <c r="H96" s="18" t="str">
        <f aca="false">IF(OR(F96="",G96=""),"",(G96-F96)*24)</f>
        <v/>
      </c>
      <c r="I96" s="18" t="str">
        <f aca="false">IF(C96="","",SUMIF(Test_Times!$E$5:$E$863,C96&amp;"|"&amp;D96,Test_Times!$L$5:$L$863)+N(E96)*SUMIF(Test_Times!$E$5:$E$863,C96&amp;"|"&amp;D96,Test_Times!$Q$5:$Q$863))</f>
        <v/>
      </c>
      <c r="J96" s="18" t="str">
        <f aca="false">IF(OR(H96="",N(I96)=0),"",H96/I96)</f>
        <v/>
      </c>
      <c r="K96" s="16"/>
    </row>
    <row r="97" customFormat="false" ht="15" hidden="false" customHeight="false" outlineLevel="0" collapsed="false">
      <c r="A97" s="23"/>
      <c r="B97" s="16"/>
      <c r="C97" s="16"/>
      <c r="D97" s="16"/>
      <c r="E97" s="16"/>
      <c r="F97" s="24"/>
      <c r="G97" s="24"/>
      <c r="H97" s="18" t="str">
        <f aca="false">IF(OR(F97="",G97=""),"",(G97-F97)*24)</f>
        <v/>
      </c>
      <c r="I97" s="18" t="str">
        <f aca="false">IF(C97="","",SUMIF(Test_Times!$E$5:$E$863,C97&amp;"|"&amp;D97,Test_Times!$L$5:$L$863)+N(E97)*SUMIF(Test_Times!$E$5:$E$863,C97&amp;"|"&amp;D97,Test_Times!$Q$5:$Q$863))</f>
        <v/>
      </c>
      <c r="J97" s="18" t="str">
        <f aca="false">IF(OR(H97="",N(I97)=0),"",H97/I97)</f>
        <v/>
      </c>
      <c r="K97" s="16"/>
    </row>
    <row r="98" customFormat="false" ht="15" hidden="false" customHeight="false" outlineLevel="0" collapsed="false">
      <c r="A98" s="23"/>
      <c r="B98" s="16"/>
      <c r="C98" s="16"/>
      <c r="D98" s="16"/>
      <c r="E98" s="16"/>
      <c r="F98" s="24"/>
      <c r="G98" s="24"/>
      <c r="H98" s="18" t="str">
        <f aca="false">IF(OR(F98="",G98=""),"",(G98-F98)*24)</f>
        <v/>
      </c>
      <c r="I98" s="18" t="str">
        <f aca="false">IF(C98="","",SUMIF(Test_Times!$E$5:$E$863,C98&amp;"|"&amp;D98,Test_Times!$L$5:$L$863)+N(E98)*SUMIF(Test_Times!$E$5:$E$863,C98&amp;"|"&amp;D98,Test_Times!$Q$5:$Q$863))</f>
        <v/>
      </c>
      <c r="J98" s="18" t="str">
        <f aca="false">IF(OR(H98="",N(I98)=0),"",H98/I98)</f>
        <v/>
      </c>
      <c r="K98" s="16"/>
    </row>
    <row r="99" customFormat="false" ht="15" hidden="false" customHeight="false" outlineLevel="0" collapsed="false">
      <c r="A99" s="23"/>
      <c r="B99" s="16"/>
      <c r="C99" s="16"/>
      <c r="D99" s="16"/>
      <c r="E99" s="16"/>
      <c r="F99" s="24"/>
      <c r="G99" s="24"/>
      <c r="H99" s="18" t="str">
        <f aca="false">IF(OR(F99="",G99=""),"",(G99-F99)*24)</f>
        <v/>
      </c>
      <c r="I99" s="18" t="str">
        <f aca="false">IF(C99="","",SUMIF(Test_Times!$E$5:$E$863,C99&amp;"|"&amp;D99,Test_Times!$L$5:$L$863)+N(E99)*SUMIF(Test_Times!$E$5:$E$863,C99&amp;"|"&amp;D99,Test_Times!$Q$5:$Q$863))</f>
        <v/>
      </c>
      <c r="J99" s="18" t="str">
        <f aca="false">IF(OR(H99="",N(I99)=0),"",H99/I99)</f>
        <v/>
      </c>
      <c r="K99" s="16"/>
    </row>
    <row r="100" customFormat="false" ht="15" hidden="false" customHeight="false" outlineLevel="0" collapsed="false">
      <c r="A100" s="23"/>
      <c r="B100" s="16"/>
      <c r="C100" s="16"/>
      <c r="D100" s="16"/>
      <c r="E100" s="16"/>
      <c r="F100" s="24"/>
      <c r="G100" s="24"/>
      <c r="H100" s="18" t="str">
        <f aca="false">IF(OR(F100="",G100=""),"",(G100-F100)*24)</f>
        <v/>
      </c>
      <c r="I100" s="18" t="str">
        <f aca="false">IF(C100="","",SUMIF(Test_Times!$E$5:$E$863,C100&amp;"|"&amp;D100,Test_Times!$L$5:$L$863)+N(E100)*SUMIF(Test_Times!$E$5:$E$863,C100&amp;"|"&amp;D100,Test_Times!$Q$5:$Q$863))</f>
        <v/>
      </c>
      <c r="J100" s="18" t="str">
        <f aca="false">IF(OR(H100="",N(I100)=0),"",H100/I100)</f>
        <v/>
      </c>
      <c r="K100" s="16"/>
    </row>
    <row r="101" customFormat="false" ht="15" hidden="false" customHeight="false" outlineLevel="0" collapsed="false">
      <c r="A101" s="23"/>
      <c r="B101" s="16"/>
      <c r="C101" s="16"/>
      <c r="D101" s="16"/>
      <c r="E101" s="16"/>
      <c r="F101" s="24"/>
      <c r="G101" s="24"/>
      <c r="H101" s="18" t="str">
        <f aca="false">IF(OR(F101="",G101=""),"",(G101-F101)*24)</f>
        <v/>
      </c>
      <c r="I101" s="18" t="str">
        <f aca="false">IF(C101="","",SUMIF(Test_Times!$E$5:$E$863,C101&amp;"|"&amp;D101,Test_Times!$L$5:$L$863)+N(E101)*SUMIF(Test_Times!$E$5:$E$863,C101&amp;"|"&amp;D101,Test_Times!$Q$5:$Q$863))</f>
        <v/>
      </c>
      <c r="J101" s="18" t="str">
        <f aca="false">IF(OR(H101="",N(I101)=0),"",H101/I101)</f>
        <v/>
      </c>
      <c r="K101" s="16"/>
    </row>
    <row r="102" customFormat="false" ht="15" hidden="false" customHeight="false" outlineLevel="0" collapsed="false">
      <c r="A102" s="23"/>
      <c r="B102" s="16"/>
      <c r="C102" s="16"/>
      <c r="D102" s="16"/>
      <c r="E102" s="16"/>
      <c r="F102" s="24"/>
      <c r="G102" s="24"/>
      <c r="H102" s="18" t="str">
        <f aca="false">IF(OR(F102="",G102=""),"",(G102-F102)*24)</f>
        <v/>
      </c>
      <c r="I102" s="18" t="str">
        <f aca="false">IF(C102="","",SUMIF(Test_Times!$E$5:$E$863,C102&amp;"|"&amp;D102,Test_Times!$L$5:$L$863)+N(E102)*SUMIF(Test_Times!$E$5:$E$863,C102&amp;"|"&amp;D102,Test_Times!$Q$5:$Q$863))</f>
        <v/>
      </c>
      <c r="J102" s="18" t="str">
        <f aca="false">IF(OR(H102="",N(I102)=0),"",H102/I102)</f>
        <v/>
      </c>
      <c r="K102" s="16"/>
    </row>
    <row r="103" customFormat="false" ht="15" hidden="false" customHeight="false" outlineLevel="0" collapsed="false">
      <c r="A103" s="23"/>
      <c r="B103" s="16"/>
      <c r="C103" s="16"/>
      <c r="D103" s="16"/>
      <c r="E103" s="16"/>
      <c r="F103" s="24"/>
      <c r="G103" s="24"/>
      <c r="H103" s="18" t="str">
        <f aca="false">IF(OR(F103="",G103=""),"",(G103-F103)*24)</f>
        <v/>
      </c>
      <c r="I103" s="18" t="str">
        <f aca="false">IF(C103="","",SUMIF(Test_Times!$E$5:$E$863,C103&amp;"|"&amp;D103,Test_Times!$L$5:$L$863)+N(E103)*SUMIF(Test_Times!$E$5:$E$863,C103&amp;"|"&amp;D103,Test_Times!$Q$5:$Q$863))</f>
        <v/>
      </c>
      <c r="J103" s="18" t="str">
        <f aca="false">IF(OR(H103="",N(I103)=0),"",H103/I103)</f>
        <v/>
      </c>
      <c r="K103" s="16"/>
    </row>
    <row r="104" customFormat="false" ht="15" hidden="false" customHeight="false" outlineLevel="0" collapsed="false">
      <c r="A104" s="23"/>
      <c r="B104" s="16"/>
      <c r="C104" s="16"/>
      <c r="D104" s="16"/>
      <c r="E104" s="16"/>
      <c r="F104" s="24"/>
      <c r="G104" s="24"/>
      <c r="H104" s="18" t="str">
        <f aca="false">IF(OR(F104="",G104=""),"",(G104-F104)*24)</f>
        <v/>
      </c>
      <c r="I104" s="18" t="str">
        <f aca="false">IF(C104="","",SUMIF(Test_Times!$E$5:$E$863,C104&amp;"|"&amp;D104,Test_Times!$L$5:$L$863)+N(E104)*SUMIF(Test_Times!$E$5:$E$863,C104&amp;"|"&amp;D104,Test_Times!$Q$5:$Q$863))</f>
        <v/>
      </c>
      <c r="J104" s="18" t="str">
        <f aca="false">IF(OR(H104="",N(I104)=0),"",H104/I104)</f>
        <v/>
      </c>
      <c r="K104" s="16"/>
    </row>
    <row r="105" customFormat="false" ht="15" hidden="false" customHeight="false" outlineLevel="0" collapsed="false">
      <c r="A105" s="23"/>
      <c r="B105" s="16"/>
      <c r="C105" s="16"/>
      <c r="D105" s="16"/>
      <c r="E105" s="16"/>
      <c r="F105" s="24"/>
      <c r="G105" s="24"/>
      <c r="H105" s="18" t="str">
        <f aca="false">IF(OR(F105="",G105=""),"",(G105-F105)*24)</f>
        <v/>
      </c>
      <c r="I105" s="18" t="str">
        <f aca="false">IF(C105="","",SUMIF(Test_Times!$E$5:$E$863,C105&amp;"|"&amp;D105,Test_Times!$L$5:$L$863)+N(E105)*SUMIF(Test_Times!$E$5:$E$863,C105&amp;"|"&amp;D105,Test_Times!$Q$5:$Q$863))</f>
        <v/>
      </c>
      <c r="J105" s="18" t="str">
        <f aca="false">IF(OR(H105="",N(I105)=0),"",H105/I105)</f>
        <v/>
      </c>
      <c r="K105" s="16"/>
    </row>
    <row r="106" customFormat="false" ht="15" hidden="false" customHeight="false" outlineLevel="0" collapsed="false">
      <c r="A106" s="23"/>
      <c r="B106" s="16"/>
      <c r="C106" s="16"/>
      <c r="D106" s="16"/>
      <c r="E106" s="16"/>
      <c r="F106" s="24"/>
      <c r="G106" s="24"/>
      <c r="H106" s="18" t="str">
        <f aca="false">IF(OR(F106="",G106=""),"",(G106-F106)*24)</f>
        <v/>
      </c>
      <c r="I106" s="18" t="str">
        <f aca="false">IF(C106="","",SUMIF(Test_Times!$E$5:$E$863,C106&amp;"|"&amp;D106,Test_Times!$L$5:$L$863)+N(E106)*SUMIF(Test_Times!$E$5:$E$863,C106&amp;"|"&amp;D106,Test_Times!$Q$5:$Q$863))</f>
        <v/>
      </c>
      <c r="J106" s="18" t="str">
        <f aca="false">IF(OR(H106="",N(I106)=0),"",H106/I106)</f>
        <v/>
      </c>
      <c r="K106" s="16"/>
    </row>
    <row r="107" customFormat="false" ht="15" hidden="false" customHeight="false" outlineLevel="0" collapsed="false">
      <c r="A107" s="23"/>
      <c r="B107" s="16"/>
      <c r="C107" s="16"/>
      <c r="D107" s="16"/>
      <c r="E107" s="16"/>
      <c r="F107" s="24"/>
      <c r="G107" s="24"/>
      <c r="H107" s="18" t="str">
        <f aca="false">IF(OR(F107="",G107=""),"",(G107-F107)*24)</f>
        <v/>
      </c>
      <c r="I107" s="18" t="str">
        <f aca="false">IF(C107="","",SUMIF(Test_Times!$E$5:$E$863,C107&amp;"|"&amp;D107,Test_Times!$L$5:$L$863)+N(E107)*SUMIF(Test_Times!$E$5:$E$863,C107&amp;"|"&amp;D107,Test_Times!$Q$5:$Q$863))</f>
        <v/>
      </c>
      <c r="J107" s="18" t="str">
        <f aca="false">IF(OR(H107="",N(I107)=0),"",H107/I107)</f>
        <v/>
      </c>
      <c r="K107" s="16"/>
    </row>
    <row r="108" customFormat="false" ht="15" hidden="false" customHeight="false" outlineLevel="0" collapsed="false">
      <c r="A108" s="23"/>
      <c r="B108" s="16"/>
      <c r="C108" s="16"/>
      <c r="D108" s="16"/>
      <c r="E108" s="16"/>
      <c r="F108" s="24"/>
      <c r="G108" s="24"/>
      <c r="H108" s="18" t="str">
        <f aca="false">IF(OR(F108="",G108=""),"",(G108-F108)*24)</f>
        <v/>
      </c>
      <c r="I108" s="18" t="str">
        <f aca="false">IF(C108="","",SUMIF(Test_Times!$E$5:$E$863,C108&amp;"|"&amp;D108,Test_Times!$L$5:$L$863)+N(E108)*SUMIF(Test_Times!$E$5:$E$863,C108&amp;"|"&amp;D108,Test_Times!$Q$5:$Q$863))</f>
        <v/>
      </c>
      <c r="J108" s="18" t="str">
        <f aca="false">IF(OR(H108="",N(I108)=0),"",H108/I108)</f>
        <v/>
      </c>
      <c r="K108" s="16"/>
    </row>
    <row r="109" customFormat="false" ht="15" hidden="false" customHeight="false" outlineLevel="0" collapsed="false">
      <c r="A109" s="23"/>
      <c r="B109" s="16"/>
      <c r="C109" s="16"/>
      <c r="D109" s="16"/>
      <c r="E109" s="16"/>
      <c r="F109" s="24"/>
      <c r="G109" s="24"/>
      <c r="H109" s="18" t="str">
        <f aca="false">IF(OR(F109="",G109=""),"",(G109-F109)*24)</f>
        <v/>
      </c>
      <c r="I109" s="18" t="str">
        <f aca="false">IF(C109="","",SUMIF(Test_Times!$E$5:$E$863,C109&amp;"|"&amp;D109,Test_Times!$L$5:$L$863)+N(E109)*SUMIF(Test_Times!$E$5:$E$863,C109&amp;"|"&amp;D109,Test_Times!$Q$5:$Q$863))</f>
        <v/>
      </c>
      <c r="J109" s="18" t="str">
        <f aca="false">IF(OR(H109="",N(I109)=0),"",H109/I109)</f>
        <v/>
      </c>
      <c r="K109" s="16"/>
    </row>
    <row r="110" customFormat="false" ht="15" hidden="false" customHeight="false" outlineLevel="0" collapsed="false">
      <c r="A110" s="23"/>
      <c r="B110" s="16"/>
      <c r="C110" s="16"/>
      <c r="D110" s="16"/>
      <c r="E110" s="16"/>
      <c r="F110" s="24"/>
      <c r="G110" s="24"/>
      <c r="H110" s="18" t="str">
        <f aca="false">IF(OR(F110="",G110=""),"",(G110-F110)*24)</f>
        <v/>
      </c>
      <c r="I110" s="18" t="str">
        <f aca="false">IF(C110="","",SUMIF(Test_Times!$E$5:$E$863,C110&amp;"|"&amp;D110,Test_Times!$L$5:$L$863)+N(E110)*SUMIF(Test_Times!$E$5:$E$863,C110&amp;"|"&amp;D110,Test_Times!$Q$5:$Q$863))</f>
        <v/>
      </c>
      <c r="J110" s="18" t="str">
        <f aca="false">IF(OR(H110="",N(I110)=0),"",H110/I110)</f>
        <v/>
      </c>
      <c r="K110" s="16"/>
    </row>
    <row r="111" customFormat="false" ht="15" hidden="false" customHeight="false" outlineLevel="0" collapsed="false">
      <c r="A111" s="23"/>
      <c r="B111" s="16"/>
      <c r="C111" s="16"/>
      <c r="D111" s="16"/>
      <c r="E111" s="16"/>
      <c r="F111" s="24"/>
      <c r="G111" s="24"/>
      <c r="H111" s="18" t="str">
        <f aca="false">IF(OR(F111="",G111=""),"",(G111-F111)*24)</f>
        <v/>
      </c>
      <c r="I111" s="18" t="str">
        <f aca="false">IF(C111="","",SUMIF(Test_Times!$E$5:$E$863,C111&amp;"|"&amp;D111,Test_Times!$L$5:$L$863)+N(E111)*SUMIF(Test_Times!$E$5:$E$863,C111&amp;"|"&amp;D111,Test_Times!$Q$5:$Q$863))</f>
        <v/>
      </c>
      <c r="J111" s="18" t="str">
        <f aca="false">IF(OR(H111="",N(I111)=0),"",H111/I111)</f>
        <v/>
      </c>
      <c r="K111" s="16"/>
    </row>
    <row r="112" customFormat="false" ht="15" hidden="false" customHeight="false" outlineLevel="0" collapsed="false">
      <c r="A112" s="23"/>
      <c r="B112" s="16"/>
      <c r="C112" s="16"/>
      <c r="D112" s="16"/>
      <c r="E112" s="16"/>
      <c r="F112" s="24"/>
      <c r="G112" s="24"/>
      <c r="H112" s="18" t="str">
        <f aca="false">IF(OR(F112="",G112=""),"",(G112-F112)*24)</f>
        <v/>
      </c>
      <c r="I112" s="18" t="str">
        <f aca="false">IF(C112="","",SUMIF(Test_Times!$E$5:$E$863,C112&amp;"|"&amp;D112,Test_Times!$L$5:$L$863)+N(E112)*SUMIF(Test_Times!$E$5:$E$863,C112&amp;"|"&amp;D112,Test_Times!$Q$5:$Q$863))</f>
        <v/>
      </c>
      <c r="J112" s="18" t="str">
        <f aca="false">IF(OR(H112="",N(I112)=0),"",H112/I112)</f>
        <v/>
      </c>
      <c r="K112" s="16"/>
    </row>
    <row r="113" customFormat="false" ht="15" hidden="false" customHeight="false" outlineLevel="0" collapsed="false">
      <c r="A113" s="23"/>
      <c r="B113" s="16"/>
      <c r="C113" s="16"/>
      <c r="D113" s="16"/>
      <c r="E113" s="16"/>
      <c r="F113" s="24"/>
      <c r="G113" s="24"/>
      <c r="H113" s="18" t="str">
        <f aca="false">IF(OR(F113="",G113=""),"",(G113-F113)*24)</f>
        <v/>
      </c>
      <c r="I113" s="18" t="str">
        <f aca="false">IF(C113="","",SUMIF(Test_Times!$E$5:$E$863,C113&amp;"|"&amp;D113,Test_Times!$L$5:$L$863)+N(E113)*SUMIF(Test_Times!$E$5:$E$863,C113&amp;"|"&amp;D113,Test_Times!$Q$5:$Q$863))</f>
        <v/>
      </c>
      <c r="J113" s="18" t="str">
        <f aca="false">IF(OR(H113="",N(I113)=0),"",H113/I113)</f>
        <v/>
      </c>
      <c r="K113" s="16"/>
    </row>
    <row r="114" customFormat="false" ht="15" hidden="false" customHeight="false" outlineLevel="0" collapsed="false">
      <c r="A114" s="23"/>
      <c r="B114" s="16"/>
      <c r="C114" s="16"/>
      <c r="D114" s="16"/>
      <c r="E114" s="16"/>
      <c r="F114" s="24"/>
      <c r="G114" s="24"/>
      <c r="H114" s="18" t="str">
        <f aca="false">IF(OR(F114="",G114=""),"",(G114-F114)*24)</f>
        <v/>
      </c>
      <c r="I114" s="18" t="str">
        <f aca="false">IF(C114="","",SUMIF(Test_Times!$E$5:$E$863,C114&amp;"|"&amp;D114,Test_Times!$L$5:$L$863)+N(E114)*SUMIF(Test_Times!$E$5:$E$863,C114&amp;"|"&amp;D114,Test_Times!$Q$5:$Q$863))</f>
        <v/>
      </c>
      <c r="J114" s="18" t="str">
        <f aca="false">IF(OR(H114="",N(I114)=0),"",H114/I114)</f>
        <v/>
      </c>
      <c r="K114" s="16"/>
    </row>
    <row r="115" customFormat="false" ht="15" hidden="false" customHeight="false" outlineLevel="0" collapsed="false">
      <c r="A115" s="23"/>
      <c r="B115" s="16"/>
      <c r="C115" s="16"/>
      <c r="D115" s="16"/>
      <c r="E115" s="16"/>
      <c r="F115" s="24"/>
      <c r="G115" s="24"/>
      <c r="H115" s="18" t="str">
        <f aca="false">IF(OR(F115="",G115=""),"",(G115-F115)*24)</f>
        <v/>
      </c>
      <c r="I115" s="18" t="str">
        <f aca="false">IF(C115="","",SUMIF(Test_Times!$E$5:$E$863,C115&amp;"|"&amp;D115,Test_Times!$L$5:$L$863)+N(E115)*SUMIF(Test_Times!$E$5:$E$863,C115&amp;"|"&amp;D115,Test_Times!$Q$5:$Q$863))</f>
        <v/>
      </c>
      <c r="J115" s="18" t="str">
        <f aca="false">IF(OR(H115="",N(I115)=0),"",H115/I115)</f>
        <v/>
      </c>
      <c r="K115" s="16"/>
    </row>
    <row r="116" customFormat="false" ht="15" hidden="false" customHeight="false" outlineLevel="0" collapsed="false">
      <c r="A116" s="23"/>
      <c r="B116" s="16"/>
      <c r="C116" s="16"/>
      <c r="D116" s="16"/>
      <c r="E116" s="16"/>
      <c r="F116" s="24"/>
      <c r="G116" s="24"/>
      <c r="H116" s="18" t="str">
        <f aca="false">IF(OR(F116="",G116=""),"",(G116-F116)*24)</f>
        <v/>
      </c>
      <c r="I116" s="18" t="str">
        <f aca="false">IF(C116="","",SUMIF(Test_Times!$E$5:$E$863,C116&amp;"|"&amp;D116,Test_Times!$L$5:$L$863)+N(E116)*SUMIF(Test_Times!$E$5:$E$863,C116&amp;"|"&amp;D116,Test_Times!$Q$5:$Q$863))</f>
        <v/>
      </c>
      <c r="J116" s="18" t="str">
        <f aca="false">IF(OR(H116="",N(I116)=0),"",H116/I116)</f>
        <v/>
      </c>
      <c r="K116" s="16"/>
    </row>
    <row r="117" customFormat="false" ht="15" hidden="false" customHeight="false" outlineLevel="0" collapsed="false">
      <c r="A117" s="23"/>
      <c r="B117" s="16"/>
      <c r="C117" s="16"/>
      <c r="D117" s="16"/>
      <c r="E117" s="16"/>
      <c r="F117" s="24"/>
      <c r="G117" s="24"/>
      <c r="H117" s="18" t="str">
        <f aca="false">IF(OR(F117="",G117=""),"",(G117-F117)*24)</f>
        <v/>
      </c>
      <c r="I117" s="18" t="str">
        <f aca="false">IF(C117="","",SUMIF(Test_Times!$E$5:$E$863,C117&amp;"|"&amp;D117,Test_Times!$L$5:$L$863)+N(E117)*SUMIF(Test_Times!$E$5:$E$863,C117&amp;"|"&amp;D117,Test_Times!$Q$5:$Q$863))</f>
        <v/>
      </c>
      <c r="J117" s="18" t="str">
        <f aca="false">IF(OR(H117="",N(I117)=0),"",H117/I117)</f>
        <v/>
      </c>
      <c r="K117" s="16"/>
    </row>
    <row r="118" customFormat="false" ht="15" hidden="false" customHeight="false" outlineLevel="0" collapsed="false">
      <c r="A118" s="23"/>
      <c r="B118" s="16"/>
      <c r="C118" s="16"/>
      <c r="D118" s="16"/>
      <c r="E118" s="16"/>
      <c r="F118" s="24"/>
      <c r="G118" s="24"/>
      <c r="H118" s="18" t="str">
        <f aca="false">IF(OR(F118="",G118=""),"",(G118-F118)*24)</f>
        <v/>
      </c>
      <c r="I118" s="18" t="str">
        <f aca="false">IF(C118="","",SUMIF(Test_Times!$E$5:$E$863,C118&amp;"|"&amp;D118,Test_Times!$L$5:$L$863)+N(E118)*SUMIF(Test_Times!$E$5:$E$863,C118&amp;"|"&amp;D118,Test_Times!$Q$5:$Q$863))</f>
        <v/>
      </c>
      <c r="J118" s="18" t="str">
        <f aca="false">IF(OR(H118="",N(I118)=0),"",H118/I118)</f>
        <v/>
      </c>
      <c r="K118" s="16"/>
    </row>
    <row r="119" customFormat="false" ht="15" hidden="false" customHeight="false" outlineLevel="0" collapsed="false">
      <c r="A119" s="23"/>
      <c r="B119" s="16"/>
      <c r="C119" s="16"/>
      <c r="D119" s="16"/>
      <c r="E119" s="16"/>
      <c r="F119" s="24"/>
      <c r="G119" s="24"/>
      <c r="H119" s="18" t="str">
        <f aca="false">IF(OR(F119="",G119=""),"",(G119-F119)*24)</f>
        <v/>
      </c>
      <c r="I119" s="18" t="str">
        <f aca="false">IF(C119="","",SUMIF(Test_Times!$E$5:$E$863,C119&amp;"|"&amp;D119,Test_Times!$L$5:$L$863)+N(E119)*SUMIF(Test_Times!$E$5:$E$863,C119&amp;"|"&amp;D119,Test_Times!$Q$5:$Q$863))</f>
        <v/>
      </c>
      <c r="J119" s="18" t="str">
        <f aca="false">IF(OR(H119="",N(I119)=0),"",H119/I119)</f>
        <v/>
      </c>
      <c r="K119" s="16"/>
    </row>
    <row r="120" customFormat="false" ht="15" hidden="false" customHeight="false" outlineLevel="0" collapsed="false">
      <c r="A120" s="23"/>
      <c r="B120" s="16"/>
      <c r="C120" s="16"/>
      <c r="D120" s="16"/>
      <c r="E120" s="16"/>
      <c r="F120" s="24"/>
      <c r="G120" s="24"/>
      <c r="H120" s="18" t="str">
        <f aca="false">IF(OR(F120="",G120=""),"",(G120-F120)*24)</f>
        <v/>
      </c>
      <c r="I120" s="18" t="str">
        <f aca="false">IF(C120="","",SUMIF(Test_Times!$E$5:$E$863,C120&amp;"|"&amp;D120,Test_Times!$L$5:$L$863)+N(E120)*SUMIF(Test_Times!$E$5:$E$863,C120&amp;"|"&amp;D120,Test_Times!$Q$5:$Q$863))</f>
        <v/>
      </c>
      <c r="J120" s="18" t="str">
        <f aca="false">IF(OR(H120="",N(I120)=0),"",H120/I120)</f>
        <v/>
      </c>
      <c r="K120" s="16"/>
    </row>
    <row r="121" customFormat="false" ht="15" hidden="false" customHeight="false" outlineLevel="0" collapsed="false">
      <c r="A121" s="23"/>
      <c r="B121" s="16"/>
      <c r="C121" s="16"/>
      <c r="D121" s="16"/>
      <c r="E121" s="16"/>
      <c r="F121" s="24"/>
      <c r="G121" s="24"/>
      <c r="H121" s="18" t="str">
        <f aca="false">IF(OR(F121="",G121=""),"",(G121-F121)*24)</f>
        <v/>
      </c>
      <c r="I121" s="18" t="str">
        <f aca="false">IF(C121="","",SUMIF(Test_Times!$E$5:$E$863,C121&amp;"|"&amp;D121,Test_Times!$L$5:$L$863)+N(E121)*SUMIF(Test_Times!$E$5:$E$863,C121&amp;"|"&amp;D121,Test_Times!$Q$5:$Q$863))</f>
        <v/>
      </c>
      <c r="J121" s="18" t="str">
        <f aca="false">IF(OR(H121="",N(I121)=0),"",H121/I121)</f>
        <v/>
      </c>
      <c r="K121" s="16"/>
    </row>
    <row r="122" customFormat="false" ht="15" hidden="false" customHeight="false" outlineLevel="0" collapsed="false">
      <c r="A122" s="23"/>
      <c r="B122" s="16"/>
      <c r="C122" s="16"/>
      <c r="D122" s="16"/>
      <c r="E122" s="16"/>
      <c r="F122" s="24"/>
      <c r="G122" s="24"/>
      <c r="H122" s="18" t="str">
        <f aca="false">IF(OR(F122="",G122=""),"",(G122-F122)*24)</f>
        <v/>
      </c>
      <c r="I122" s="18" t="str">
        <f aca="false">IF(C122="","",SUMIF(Test_Times!$E$5:$E$863,C122&amp;"|"&amp;D122,Test_Times!$L$5:$L$863)+N(E122)*SUMIF(Test_Times!$E$5:$E$863,C122&amp;"|"&amp;D122,Test_Times!$Q$5:$Q$863))</f>
        <v/>
      </c>
      <c r="J122" s="18" t="str">
        <f aca="false">IF(OR(H122="",N(I122)=0),"",H122/I122)</f>
        <v/>
      </c>
      <c r="K122" s="16"/>
    </row>
    <row r="123" customFormat="false" ht="15" hidden="false" customHeight="false" outlineLevel="0" collapsed="false">
      <c r="A123" s="23"/>
      <c r="B123" s="16"/>
      <c r="C123" s="16"/>
      <c r="D123" s="16"/>
      <c r="E123" s="16"/>
      <c r="F123" s="24"/>
      <c r="G123" s="24"/>
      <c r="H123" s="18" t="str">
        <f aca="false">IF(OR(F123="",G123=""),"",(G123-F123)*24)</f>
        <v/>
      </c>
      <c r="I123" s="18" t="str">
        <f aca="false">IF(C123="","",SUMIF(Test_Times!$E$5:$E$863,C123&amp;"|"&amp;D123,Test_Times!$L$5:$L$863)+N(E123)*SUMIF(Test_Times!$E$5:$E$863,C123&amp;"|"&amp;D123,Test_Times!$Q$5:$Q$863))</f>
        <v/>
      </c>
      <c r="J123" s="18" t="str">
        <f aca="false">IF(OR(H123="",N(I123)=0),"",H123/I123)</f>
        <v/>
      </c>
      <c r="K123" s="16"/>
    </row>
    <row r="124" customFormat="false" ht="15" hidden="false" customHeight="false" outlineLevel="0" collapsed="false">
      <c r="A124" s="23"/>
      <c r="B124" s="16"/>
      <c r="C124" s="16"/>
      <c r="D124" s="16"/>
      <c r="E124" s="16"/>
      <c r="F124" s="24"/>
      <c r="G124" s="24"/>
      <c r="H124" s="18" t="str">
        <f aca="false">IF(OR(F124="",G124=""),"",(G124-F124)*24)</f>
        <v/>
      </c>
      <c r="I124" s="18" t="str">
        <f aca="false">IF(C124="","",SUMIF(Test_Times!$E$5:$E$863,C124&amp;"|"&amp;D124,Test_Times!$L$5:$L$863)+N(E124)*SUMIF(Test_Times!$E$5:$E$863,C124&amp;"|"&amp;D124,Test_Times!$Q$5:$Q$863))</f>
        <v/>
      </c>
      <c r="J124" s="18" t="str">
        <f aca="false">IF(OR(H124="",N(I124)=0),"",H124/I124)</f>
        <v/>
      </c>
      <c r="K124" s="16"/>
    </row>
    <row r="125" customFormat="false" ht="15" hidden="false" customHeight="false" outlineLevel="0" collapsed="false">
      <c r="A125" s="23"/>
      <c r="B125" s="16"/>
      <c r="C125" s="16"/>
      <c r="D125" s="16"/>
      <c r="E125" s="16"/>
      <c r="F125" s="24"/>
      <c r="G125" s="24"/>
      <c r="H125" s="18" t="str">
        <f aca="false">IF(OR(F125="",G125=""),"",(G125-F125)*24)</f>
        <v/>
      </c>
      <c r="I125" s="18" t="str">
        <f aca="false">IF(C125="","",SUMIF(Test_Times!$E$5:$E$863,C125&amp;"|"&amp;D125,Test_Times!$L$5:$L$863)+N(E125)*SUMIF(Test_Times!$E$5:$E$863,C125&amp;"|"&amp;D125,Test_Times!$Q$5:$Q$863))</f>
        <v/>
      </c>
      <c r="J125" s="18" t="str">
        <f aca="false">IF(OR(H125="",N(I125)=0),"",H125/I125)</f>
        <v/>
      </c>
      <c r="K125" s="16"/>
    </row>
    <row r="126" customFormat="false" ht="15" hidden="false" customHeight="false" outlineLevel="0" collapsed="false">
      <c r="A126" s="23"/>
      <c r="B126" s="16"/>
      <c r="C126" s="16"/>
      <c r="D126" s="16"/>
      <c r="E126" s="16"/>
      <c r="F126" s="24"/>
      <c r="G126" s="24"/>
      <c r="H126" s="18" t="str">
        <f aca="false">IF(OR(F126="",G126=""),"",(G126-F126)*24)</f>
        <v/>
      </c>
      <c r="I126" s="18" t="str">
        <f aca="false">IF(C126="","",SUMIF(Test_Times!$E$5:$E$863,C126&amp;"|"&amp;D126,Test_Times!$L$5:$L$863)+N(E126)*SUMIF(Test_Times!$E$5:$E$863,C126&amp;"|"&amp;D126,Test_Times!$Q$5:$Q$863))</f>
        <v/>
      </c>
      <c r="J126" s="18" t="str">
        <f aca="false">IF(OR(H126="",N(I126)=0),"",H126/I126)</f>
        <v/>
      </c>
      <c r="K126" s="16"/>
    </row>
    <row r="127" customFormat="false" ht="15" hidden="false" customHeight="false" outlineLevel="0" collapsed="false">
      <c r="A127" s="23"/>
      <c r="B127" s="16"/>
      <c r="C127" s="16"/>
      <c r="D127" s="16"/>
      <c r="E127" s="16"/>
      <c r="F127" s="24"/>
      <c r="G127" s="24"/>
      <c r="H127" s="18" t="str">
        <f aca="false">IF(OR(F127="",G127=""),"",(G127-F127)*24)</f>
        <v/>
      </c>
      <c r="I127" s="18" t="str">
        <f aca="false">IF(C127="","",SUMIF(Test_Times!$E$5:$E$863,C127&amp;"|"&amp;D127,Test_Times!$L$5:$L$863)+N(E127)*SUMIF(Test_Times!$E$5:$E$863,C127&amp;"|"&amp;D127,Test_Times!$Q$5:$Q$863))</f>
        <v/>
      </c>
      <c r="J127" s="18" t="str">
        <f aca="false">IF(OR(H127="",N(I127)=0),"",H127/I127)</f>
        <v/>
      </c>
      <c r="K127" s="16"/>
    </row>
    <row r="128" customFormat="false" ht="15" hidden="false" customHeight="false" outlineLevel="0" collapsed="false">
      <c r="A128" s="23"/>
      <c r="B128" s="16"/>
      <c r="C128" s="16"/>
      <c r="D128" s="16"/>
      <c r="E128" s="16"/>
      <c r="F128" s="24"/>
      <c r="G128" s="24"/>
      <c r="H128" s="18" t="str">
        <f aca="false">IF(OR(F128="",G128=""),"",(G128-F128)*24)</f>
        <v/>
      </c>
      <c r="I128" s="18" t="str">
        <f aca="false">IF(C128="","",SUMIF(Test_Times!$E$5:$E$863,C128&amp;"|"&amp;D128,Test_Times!$L$5:$L$863)+N(E128)*SUMIF(Test_Times!$E$5:$E$863,C128&amp;"|"&amp;D128,Test_Times!$Q$5:$Q$863))</f>
        <v/>
      </c>
      <c r="J128" s="18" t="str">
        <f aca="false">IF(OR(H128="",N(I128)=0),"",H128/I128)</f>
        <v/>
      </c>
      <c r="K128" s="16"/>
    </row>
    <row r="129" customFormat="false" ht="15" hidden="false" customHeight="false" outlineLevel="0" collapsed="false">
      <c r="A129" s="23"/>
      <c r="B129" s="16"/>
      <c r="C129" s="16"/>
      <c r="D129" s="16"/>
      <c r="E129" s="16"/>
      <c r="F129" s="24"/>
      <c r="G129" s="24"/>
      <c r="H129" s="18" t="str">
        <f aca="false">IF(OR(F129="",G129=""),"",(G129-F129)*24)</f>
        <v/>
      </c>
      <c r="I129" s="18" t="str">
        <f aca="false">IF(C129="","",SUMIF(Test_Times!$E$5:$E$863,C129&amp;"|"&amp;D129,Test_Times!$L$5:$L$863)+N(E129)*SUMIF(Test_Times!$E$5:$E$863,C129&amp;"|"&amp;D129,Test_Times!$Q$5:$Q$863))</f>
        <v/>
      </c>
      <c r="J129" s="18" t="str">
        <f aca="false">IF(OR(H129="",N(I129)=0),"",H129/I129)</f>
        <v/>
      </c>
      <c r="K129" s="16"/>
    </row>
    <row r="130" customFormat="false" ht="15" hidden="false" customHeight="false" outlineLevel="0" collapsed="false">
      <c r="A130" s="23"/>
      <c r="B130" s="16"/>
      <c r="C130" s="16"/>
      <c r="D130" s="16"/>
      <c r="E130" s="16"/>
      <c r="F130" s="24"/>
      <c r="G130" s="24"/>
      <c r="H130" s="18" t="str">
        <f aca="false">IF(OR(F130="",G130=""),"",(G130-F130)*24)</f>
        <v/>
      </c>
      <c r="I130" s="18" t="str">
        <f aca="false">IF(C130="","",SUMIF(Test_Times!$E$5:$E$863,C130&amp;"|"&amp;D130,Test_Times!$L$5:$L$863)+N(E130)*SUMIF(Test_Times!$E$5:$E$863,C130&amp;"|"&amp;D130,Test_Times!$Q$5:$Q$863))</f>
        <v/>
      </c>
      <c r="J130" s="18" t="str">
        <f aca="false">IF(OR(H130="",N(I130)=0),"",H130/I130)</f>
        <v/>
      </c>
      <c r="K130" s="16"/>
    </row>
    <row r="131" customFormat="false" ht="15" hidden="false" customHeight="false" outlineLevel="0" collapsed="false">
      <c r="A131" s="23"/>
      <c r="B131" s="16"/>
      <c r="C131" s="16"/>
      <c r="D131" s="16"/>
      <c r="E131" s="16"/>
      <c r="F131" s="24"/>
      <c r="G131" s="24"/>
      <c r="H131" s="18" t="str">
        <f aca="false">IF(OR(F131="",G131=""),"",(G131-F131)*24)</f>
        <v/>
      </c>
      <c r="I131" s="18" t="str">
        <f aca="false">IF(C131="","",SUMIF(Test_Times!$E$5:$E$863,C131&amp;"|"&amp;D131,Test_Times!$L$5:$L$863)+N(E131)*SUMIF(Test_Times!$E$5:$E$863,C131&amp;"|"&amp;D131,Test_Times!$Q$5:$Q$863))</f>
        <v/>
      </c>
      <c r="J131" s="18" t="str">
        <f aca="false">IF(OR(H131="",N(I131)=0),"",H131/I131)</f>
        <v/>
      </c>
      <c r="K131" s="16"/>
    </row>
    <row r="132" customFormat="false" ht="15" hidden="false" customHeight="false" outlineLevel="0" collapsed="false">
      <c r="A132" s="23"/>
      <c r="B132" s="16"/>
      <c r="C132" s="16"/>
      <c r="D132" s="16"/>
      <c r="E132" s="16"/>
      <c r="F132" s="24"/>
      <c r="G132" s="24"/>
      <c r="H132" s="18" t="str">
        <f aca="false">IF(OR(F132="",G132=""),"",(G132-F132)*24)</f>
        <v/>
      </c>
      <c r="I132" s="18" t="str">
        <f aca="false">IF(C132="","",SUMIF(Test_Times!$E$5:$E$863,C132&amp;"|"&amp;D132,Test_Times!$L$5:$L$863)+N(E132)*SUMIF(Test_Times!$E$5:$E$863,C132&amp;"|"&amp;D132,Test_Times!$Q$5:$Q$863))</f>
        <v/>
      </c>
      <c r="J132" s="18" t="str">
        <f aca="false">IF(OR(H132="",N(I132)=0),"",H132/I132)</f>
        <v/>
      </c>
      <c r="K132" s="16"/>
    </row>
    <row r="133" customFormat="false" ht="15" hidden="false" customHeight="false" outlineLevel="0" collapsed="false">
      <c r="A133" s="23"/>
      <c r="B133" s="16"/>
      <c r="C133" s="16"/>
      <c r="D133" s="16"/>
      <c r="E133" s="16"/>
      <c r="F133" s="24"/>
      <c r="G133" s="24"/>
      <c r="H133" s="18" t="str">
        <f aca="false">IF(OR(F133="",G133=""),"",(G133-F133)*24)</f>
        <v/>
      </c>
      <c r="I133" s="18" t="str">
        <f aca="false">IF(C133="","",SUMIF(Test_Times!$E$5:$E$863,C133&amp;"|"&amp;D133,Test_Times!$L$5:$L$863)+N(E133)*SUMIF(Test_Times!$E$5:$E$863,C133&amp;"|"&amp;D133,Test_Times!$Q$5:$Q$863))</f>
        <v/>
      </c>
      <c r="J133" s="18" t="str">
        <f aca="false">IF(OR(H133="",N(I133)=0),"",H133/I133)</f>
        <v/>
      </c>
      <c r="K133" s="16"/>
    </row>
    <row r="134" customFormat="false" ht="15" hidden="false" customHeight="false" outlineLevel="0" collapsed="false">
      <c r="A134" s="23"/>
      <c r="B134" s="16"/>
      <c r="C134" s="16"/>
      <c r="D134" s="16"/>
      <c r="E134" s="16"/>
      <c r="F134" s="24"/>
      <c r="G134" s="24"/>
      <c r="H134" s="18" t="str">
        <f aca="false">IF(OR(F134="",G134=""),"",(G134-F134)*24)</f>
        <v/>
      </c>
      <c r="I134" s="18" t="str">
        <f aca="false">IF(C134="","",SUMIF(Test_Times!$E$5:$E$863,C134&amp;"|"&amp;D134,Test_Times!$L$5:$L$863)+N(E134)*SUMIF(Test_Times!$E$5:$E$863,C134&amp;"|"&amp;D134,Test_Times!$Q$5:$Q$863))</f>
        <v/>
      </c>
      <c r="J134" s="18" t="str">
        <f aca="false">IF(OR(H134="",N(I134)=0),"",H134/I134)</f>
        <v/>
      </c>
      <c r="K134" s="16"/>
    </row>
    <row r="135" customFormat="false" ht="15" hidden="false" customHeight="false" outlineLevel="0" collapsed="false">
      <c r="A135" s="23"/>
      <c r="B135" s="16"/>
      <c r="C135" s="16"/>
      <c r="D135" s="16"/>
      <c r="E135" s="16"/>
      <c r="F135" s="24"/>
      <c r="G135" s="24"/>
      <c r="H135" s="18" t="str">
        <f aca="false">IF(OR(F135="",G135=""),"",(G135-F135)*24)</f>
        <v/>
      </c>
      <c r="I135" s="18" t="str">
        <f aca="false">IF(C135="","",SUMIF(Test_Times!$E$5:$E$863,C135&amp;"|"&amp;D135,Test_Times!$L$5:$L$863)+N(E135)*SUMIF(Test_Times!$E$5:$E$863,C135&amp;"|"&amp;D135,Test_Times!$Q$5:$Q$863))</f>
        <v/>
      </c>
      <c r="J135" s="18" t="str">
        <f aca="false">IF(OR(H135="",N(I135)=0),"",H135/I135)</f>
        <v/>
      </c>
      <c r="K135" s="16"/>
    </row>
    <row r="136" customFormat="false" ht="15" hidden="false" customHeight="false" outlineLevel="0" collapsed="false">
      <c r="A136" s="23"/>
      <c r="B136" s="16"/>
      <c r="C136" s="16"/>
      <c r="D136" s="16"/>
      <c r="E136" s="16"/>
      <c r="F136" s="24"/>
      <c r="G136" s="24"/>
      <c r="H136" s="18" t="str">
        <f aca="false">IF(OR(F136="",G136=""),"",(G136-F136)*24)</f>
        <v/>
      </c>
      <c r="I136" s="18" t="str">
        <f aca="false">IF(C136="","",SUMIF(Test_Times!$E$5:$E$863,C136&amp;"|"&amp;D136,Test_Times!$L$5:$L$863)+N(E136)*SUMIF(Test_Times!$E$5:$E$863,C136&amp;"|"&amp;D136,Test_Times!$Q$5:$Q$863))</f>
        <v/>
      </c>
      <c r="J136" s="18" t="str">
        <f aca="false">IF(OR(H136="",N(I136)=0),"",H136/I136)</f>
        <v/>
      </c>
      <c r="K136" s="16"/>
    </row>
    <row r="137" customFormat="false" ht="15" hidden="false" customHeight="false" outlineLevel="0" collapsed="false">
      <c r="A137" s="23"/>
      <c r="B137" s="16"/>
      <c r="C137" s="16"/>
      <c r="D137" s="16"/>
      <c r="E137" s="16"/>
      <c r="F137" s="24"/>
      <c r="G137" s="24"/>
      <c r="H137" s="18" t="str">
        <f aca="false">IF(OR(F137="",G137=""),"",(G137-F137)*24)</f>
        <v/>
      </c>
      <c r="I137" s="18" t="str">
        <f aca="false">IF(C137="","",SUMIF(Test_Times!$E$5:$E$863,C137&amp;"|"&amp;D137,Test_Times!$L$5:$L$863)+N(E137)*SUMIF(Test_Times!$E$5:$E$863,C137&amp;"|"&amp;D137,Test_Times!$Q$5:$Q$863))</f>
        <v/>
      </c>
      <c r="J137" s="18" t="str">
        <f aca="false">IF(OR(H137="",N(I137)=0),"",H137/I137)</f>
        <v/>
      </c>
      <c r="K137" s="16"/>
    </row>
    <row r="138" customFormat="false" ht="15" hidden="false" customHeight="false" outlineLevel="0" collapsed="false">
      <c r="A138" s="23"/>
      <c r="B138" s="16"/>
      <c r="C138" s="16"/>
      <c r="D138" s="16"/>
      <c r="E138" s="16"/>
      <c r="F138" s="24"/>
      <c r="G138" s="24"/>
      <c r="H138" s="18" t="str">
        <f aca="false">IF(OR(F138="",G138=""),"",(G138-F138)*24)</f>
        <v/>
      </c>
      <c r="I138" s="18" t="str">
        <f aca="false">IF(C138="","",SUMIF(Test_Times!$E$5:$E$863,C138&amp;"|"&amp;D138,Test_Times!$L$5:$L$863)+N(E138)*SUMIF(Test_Times!$E$5:$E$863,C138&amp;"|"&amp;D138,Test_Times!$Q$5:$Q$863))</f>
        <v/>
      </c>
      <c r="J138" s="18" t="str">
        <f aca="false">IF(OR(H138="",N(I138)=0),"",H138/I138)</f>
        <v/>
      </c>
      <c r="K138" s="16"/>
    </row>
    <row r="139" customFormat="false" ht="15" hidden="false" customHeight="false" outlineLevel="0" collapsed="false">
      <c r="A139" s="23"/>
      <c r="B139" s="16"/>
      <c r="C139" s="16"/>
      <c r="D139" s="16"/>
      <c r="E139" s="16"/>
      <c r="F139" s="24"/>
      <c r="G139" s="24"/>
      <c r="H139" s="18" t="str">
        <f aca="false">IF(OR(F139="",G139=""),"",(G139-F139)*24)</f>
        <v/>
      </c>
      <c r="I139" s="18" t="str">
        <f aca="false">IF(C139="","",SUMIF(Test_Times!$E$5:$E$863,C139&amp;"|"&amp;D139,Test_Times!$L$5:$L$863)+N(E139)*SUMIF(Test_Times!$E$5:$E$863,C139&amp;"|"&amp;D139,Test_Times!$Q$5:$Q$863))</f>
        <v/>
      </c>
      <c r="J139" s="18" t="str">
        <f aca="false">IF(OR(H139="",N(I139)=0),"",H139/I139)</f>
        <v/>
      </c>
      <c r="K139" s="16"/>
    </row>
    <row r="140" customFormat="false" ht="15" hidden="false" customHeight="false" outlineLevel="0" collapsed="false">
      <c r="A140" s="23"/>
      <c r="B140" s="16"/>
      <c r="C140" s="16"/>
      <c r="D140" s="16"/>
      <c r="E140" s="16"/>
      <c r="F140" s="24"/>
      <c r="G140" s="24"/>
      <c r="H140" s="18" t="str">
        <f aca="false">IF(OR(F140="",G140=""),"",(G140-F140)*24)</f>
        <v/>
      </c>
      <c r="I140" s="18" t="str">
        <f aca="false">IF(C140="","",SUMIF(Test_Times!$E$5:$E$863,C140&amp;"|"&amp;D140,Test_Times!$L$5:$L$863)+N(E140)*SUMIF(Test_Times!$E$5:$E$863,C140&amp;"|"&amp;D140,Test_Times!$Q$5:$Q$863))</f>
        <v/>
      </c>
      <c r="J140" s="18" t="str">
        <f aca="false">IF(OR(H140="",N(I140)=0),"",H140/I140)</f>
        <v/>
      </c>
      <c r="K140" s="16"/>
    </row>
    <row r="141" customFormat="false" ht="15" hidden="false" customHeight="false" outlineLevel="0" collapsed="false">
      <c r="A141" s="23"/>
      <c r="B141" s="16"/>
      <c r="C141" s="16"/>
      <c r="D141" s="16"/>
      <c r="E141" s="16"/>
      <c r="F141" s="24"/>
      <c r="G141" s="24"/>
      <c r="H141" s="18" t="str">
        <f aca="false">IF(OR(F141="",G141=""),"",(G141-F141)*24)</f>
        <v/>
      </c>
      <c r="I141" s="18" t="str">
        <f aca="false">IF(C141="","",SUMIF(Test_Times!$E$5:$E$863,C141&amp;"|"&amp;D141,Test_Times!$L$5:$L$863)+N(E141)*SUMIF(Test_Times!$E$5:$E$863,C141&amp;"|"&amp;D141,Test_Times!$Q$5:$Q$863))</f>
        <v/>
      </c>
      <c r="J141" s="18" t="str">
        <f aca="false">IF(OR(H141="",N(I141)=0),"",H141/I141)</f>
        <v/>
      </c>
      <c r="K141" s="16"/>
    </row>
    <row r="142" customFormat="false" ht="15" hidden="false" customHeight="false" outlineLevel="0" collapsed="false">
      <c r="A142" s="23"/>
      <c r="B142" s="16"/>
      <c r="C142" s="16"/>
      <c r="D142" s="16"/>
      <c r="E142" s="16"/>
      <c r="F142" s="24"/>
      <c r="G142" s="24"/>
      <c r="H142" s="18" t="str">
        <f aca="false">IF(OR(F142="",G142=""),"",(G142-F142)*24)</f>
        <v/>
      </c>
      <c r="I142" s="18" t="str">
        <f aca="false">IF(C142="","",SUMIF(Test_Times!$E$5:$E$863,C142&amp;"|"&amp;D142,Test_Times!$L$5:$L$863)+N(E142)*SUMIF(Test_Times!$E$5:$E$863,C142&amp;"|"&amp;D142,Test_Times!$Q$5:$Q$863))</f>
        <v/>
      </c>
      <c r="J142" s="18" t="str">
        <f aca="false">IF(OR(H142="",N(I142)=0),"",H142/I142)</f>
        <v/>
      </c>
      <c r="K142" s="16"/>
    </row>
    <row r="143" customFormat="false" ht="15" hidden="false" customHeight="false" outlineLevel="0" collapsed="false">
      <c r="A143" s="23"/>
      <c r="B143" s="16"/>
      <c r="C143" s="16"/>
      <c r="D143" s="16"/>
      <c r="E143" s="16"/>
      <c r="F143" s="24"/>
      <c r="G143" s="24"/>
      <c r="H143" s="18" t="str">
        <f aca="false">IF(OR(F143="",G143=""),"",(G143-F143)*24)</f>
        <v/>
      </c>
      <c r="I143" s="18" t="str">
        <f aca="false">IF(C143="","",SUMIF(Test_Times!$E$5:$E$863,C143&amp;"|"&amp;D143,Test_Times!$L$5:$L$863)+N(E143)*SUMIF(Test_Times!$E$5:$E$863,C143&amp;"|"&amp;D143,Test_Times!$Q$5:$Q$863))</f>
        <v/>
      </c>
      <c r="J143" s="18" t="str">
        <f aca="false">IF(OR(H143="",N(I143)=0),"",H143/I143)</f>
        <v/>
      </c>
      <c r="K143" s="16"/>
    </row>
    <row r="144" customFormat="false" ht="15" hidden="false" customHeight="false" outlineLevel="0" collapsed="false">
      <c r="A144" s="23"/>
      <c r="B144" s="16"/>
      <c r="C144" s="16"/>
      <c r="D144" s="16"/>
      <c r="E144" s="16"/>
      <c r="F144" s="24"/>
      <c r="G144" s="24"/>
      <c r="H144" s="18" t="str">
        <f aca="false">IF(OR(F144="",G144=""),"",(G144-F144)*24)</f>
        <v/>
      </c>
      <c r="I144" s="18" t="str">
        <f aca="false">IF(C144="","",SUMIF(Test_Times!$E$5:$E$863,C144&amp;"|"&amp;D144,Test_Times!$L$5:$L$863)+N(E144)*SUMIF(Test_Times!$E$5:$E$863,C144&amp;"|"&amp;D144,Test_Times!$Q$5:$Q$863))</f>
        <v/>
      </c>
      <c r="J144" s="18" t="str">
        <f aca="false">IF(OR(H144="",N(I144)=0),"",H144/I144)</f>
        <v/>
      </c>
      <c r="K144" s="16"/>
    </row>
    <row r="145" customFormat="false" ht="15" hidden="false" customHeight="false" outlineLevel="0" collapsed="false">
      <c r="A145" s="23"/>
      <c r="B145" s="16"/>
      <c r="C145" s="16"/>
      <c r="D145" s="16"/>
      <c r="E145" s="16"/>
      <c r="F145" s="24"/>
      <c r="G145" s="24"/>
      <c r="H145" s="18" t="str">
        <f aca="false">IF(OR(F145="",G145=""),"",(G145-F145)*24)</f>
        <v/>
      </c>
      <c r="I145" s="18" t="str">
        <f aca="false">IF(C145="","",SUMIF(Test_Times!$E$5:$E$863,C145&amp;"|"&amp;D145,Test_Times!$L$5:$L$863)+N(E145)*SUMIF(Test_Times!$E$5:$E$863,C145&amp;"|"&amp;D145,Test_Times!$Q$5:$Q$863))</f>
        <v/>
      </c>
      <c r="J145" s="18" t="str">
        <f aca="false">IF(OR(H145="",N(I145)=0),"",H145/I145)</f>
        <v/>
      </c>
      <c r="K145" s="16"/>
    </row>
    <row r="146" customFormat="false" ht="15" hidden="false" customHeight="false" outlineLevel="0" collapsed="false">
      <c r="A146" s="23"/>
      <c r="B146" s="16"/>
      <c r="C146" s="16"/>
      <c r="D146" s="16"/>
      <c r="E146" s="16"/>
      <c r="F146" s="24"/>
      <c r="G146" s="24"/>
      <c r="H146" s="18" t="str">
        <f aca="false">IF(OR(F146="",G146=""),"",(G146-F146)*24)</f>
        <v/>
      </c>
      <c r="I146" s="18" t="str">
        <f aca="false">IF(C146="","",SUMIF(Test_Times!$E$5:$E$863,C146&amp;"|"&amp;D146,Test_Times!$L$5:$L$863)+N(E146)*SUMIF(Test_Times!$E$5:$E$863,C146&amp;"|"&amp;D146,Test_Times!$Q$5:$Q$863))</f>
        <v/>
      </c>
      <c r="J146" s="18" t="str">
        <f aca="false">IF(OR(H146="",N(I146)=0),"",H146/I146)</f>
        <v/>
      </c>
      <c r="K146" s="16"/>
    </row>
    <row r="147" customFormat="false" ht="15" hidden="false" customHeight="false" outlineLevel="0" collapsed="false">
      <c r="A147" s="23"/>
      <c r="B147" s="16"/>
      <c r="C147" s="16"/>
      <c r="D147" s="16"/>
      <c r="E147" s="16"/>
      <c r="F147" s="24"/>
      <c r="G147" s="24"/>
      <c r="H147" s="18" t="str">
        <f aca="false">IF(OR(F147="",G147=""),"",(G147-F147)*24)</f>
        <v/>
      </c>
      <c r="I147" s="18" t="str">
        <f aca="false">IF(C147="","",SUMIF(Test_Times!$E$5:$E$863,C147&amp;"|"&amp;D147,Test_Times!$L$5:$L$863)+N(E147)*SUMIF(Test_Times!$E$5:$E$863,C147&amp;"|"&amp;D147,Test_Times!$Q$5:$Q$863))</f>
        <v/>
      </c>
      <c r="J147" s="18" t="str">
        <f aca="false">IF(OR(H147="",N(I147)=0),"",H147/I147)</f>
        <v/>
      </c>
      <c r="K147" s="16"/>
    </row>
    <row r="148" customFormat="false" ht="15" hidden="false" customHeight="false" outlineLevel="0" collapsed="false">
      <c r="A148" s="23"/>
      <c r="B148" s="16"/>
      <c r="C148" s="16"/>
      <c r="D148" s="16"/>
      <c r="E148" s="16"/>
      <c r="F148" s="24"/>
      <c r="G148" s="24"/>
      <c r="H148" s="18" t="str">
        <f aca="false">IF(OR(F148="",G148=""),"",(G148-F148)*24)</f>
        <v/>
      </c>
      <c r="I148" s="18" t="str">
        <f aca="false">IF(C148="","",SUMIF(Test_Times!$E$5:$E$863,C148&amp;"|"&amp;D148,Test_Times!$L$5:$L$863)+N(E148)*SUMIF(Test_Times!$E$5:$E$863,C148&amp;"|"&amp;D148,Test_Times!$Q$5:$Q$863))</f>
        <v/>
      </c>
      <c r="J148" s="18" t="str">
        <f aca="false">IF(OR(H148="",N(I148)=0),"",H148/I148)</f>
        <v/>
      </c>
      <c r="K148" s="16"/>
    </row>
    <row r="149" customFormat="false" ht="15" hidden="false" customHeight="false" outlineLevel="0" collapsed="false">
      <c r="A149" s="23"/>
      <c r="B149" s="16"/>
      <c r="C149" s="16"/>
      <c r="D149" s="16"/>
      <c r="E149" s="16"/>
      <c r="F149" s="24"/>
      <c r="G149" s="24"/>
      <c r="H149" s="18" t="str">
        <f aca="false">IF(OR(F149="",G149=""),"",(G149-F149)*24)</f>
        <v/>
      </c>
      <c r="I149" s="18" t="str">
        <f aca="false">IF(C149="","",SUMIF(Test_Times!$E$5:$E$863,C149&amp;"|"&amp;D149,Test_Times!$L$5:$L$863)+N(E149)*SUMIF(Test_Times!$E$5:$E$863,C149&amp;"|"&amp;D149,Test_Times!$Q$5:$Q$863))</f>
        <v/>
      </c>
      <c r="J149" s="18" t="str">
        <f aca="false">IF(OR(H149="",N(I149)=0),"",H149/I149)</f>
        <v/>
      </c>
      <c r="K149" s="16"/>
    </row>
    <row r="150" customFormat="false" ht="15" hidden="false" customHeight="false" outlineLevel="0" collapsed="false">
      <c r="A150" s="23"/>
      <c r="B150" s="16"/>
      <c r="C150" s="16"/>
      <c r="D150" s="16"/>
      <c r="E150" s="16"/>
      <c r="F150" s="24"/>
      <c r="G150" s="24"/>
      <c r="H150" s="18" t="str">
        <f aca="false">IF(OR(F150="",G150=""),"",(G150-F150)*24)</f>
        <v/>
      </c>
      <c r="I150" s="18" t="str">
        <f aca="false">IF(C150="","",SUMIF(Test_Times!$E$5:$E$863,C150&amp;"|"&amp;D150,Test_Times!$L$5:$L$863)+N(E150)*SUMIF(Test_Times!$E$5:$E$863,C150&amp;"|"&amp;D150,Test_Times!$Q$5:$Q$863))</f>
        <v/>
      </c>
      <c r="J150" s="18" t="str">
        <f aca="false">IF(OR(H150="",N(I150)=0),"",H150/I150)</f>
        <v/>
      </c>
      <c r="K150" s="16"/>
    </row>
    <row r="151" customFormat="false" ht="15" hidden="false" customHeight="false" outlineLevel="0" collapsed="false">
      <c r="A151" s="23"/>
      <c r="B151" s="16"/>
      <c r="C151" s="16"/>
      <c r="D151" s="16"/>
      <c r="E151" s="16"/>
      <c r="F151" s="24"/>
      <c r="G151" s="24"/>
      <c r="H151" s="18" t="str">
        <f aca="false">IF(OR(F151="",G151=""),"",(G151-F151)*24)</f>
        <v/>
      </c>
      <c r="I151" s="18" t="str">
        <f aca="false">IF(C151="","",SUMIF(Test_Times!$E$5:$E$863,C151&amp;"|"&amp;D151,Test_Times!$L$5:$L$863)+N(E151)*SUMIF(Test_Times!$E$5:$E$863,C151&amp;"|"&amp;D151,Test_Times!$Q$5:$Q$863))</f>
        <v/>
      </c>
      <c r="J151" s="18" t="str">
        <f aca="false">IF(OR(H151="",N(I151)=0),"",H151/I151)</f>
        <v/>
      </c>
      <c r="K151" s="16"/>
    </row>
    <row r="152" customFormat="false" ht="15" hidden="false" customHeight="false" outlineLevel="0" collapsed="false">
      <c r="A152" s="23"/>
      <c r="B152" s="16"/>
      <c r="C152" s="16"/>
      <c r="D152" s="16"/>
      <c r="E152" s="16"/>
      <c r="F152" s="24"/>
      <c r="G152" s="24"/>
      <c r="H152" s="18" t="str">
        <f aca="false">IF(OR(F152="",G152=""),"",(G152-F152)*24)</f>
        <v/>
      </c>
      <c r="I152" s="18" t="str">
        <f aca="false">IF(C152="","",SUMIF(Test_Times!$E$5:$E$863,C152&amp;"|"&amp;D152,Test_Times!$L$5:$L$863)+N(E152)*SUMIF(Test_Times!$E$5:$E$863,C152&amp;"|"&amp;D152,Test_Times!$Q$5:$Q$863))</f>
        <v/>
      </c>
      <c r="J152" s="18" t="str">
        <f aca="false">IF(OR(H152="",N(I152)=0),"",H152/I152)</f>
        <v/>
      </c>
      <c r="K152" s="16"/>
    </row>
    <row r="153" customFormat="false" ht="15" hidden="false" customHeight="false" outlineLevel="0" collapsed="false">
      <c r="A153" s="23"/>
      <c r="B153" s="16"/>
      <c r="C153" s="16"/>
      <c r="D153" s="16"/>
      <c r="E153" s="16"/>
      <c r="F153" s="24"/>
      <c r="G153" s="24"/>
      <c r="H153" s="18" t="str">
        <f aca="false">IF(OR(F153="",G153=""),"",(G153-F153)*24)</f>
        <v/>
      </c>
      <c r="I153" s="18" t="str">
        <f aca="false">IF(C153="","",SUMIF(Test_Times!$E$5:$E$863,C153&amp;"|"&amp;D153,Test_Times!$L$5:$L$863)+N(E153)*SUMIF(Test_Times!$E$5:$E$863,C153&amp;"|"&amp;D153,Test_Times!$Q$5:$Q$863))</f>
        <v/>
      </c>
      <c r="J153" s="18" t="str">
        <f aca="false">IF(OR(H153="",N(I153)=0),"",H153/I153)</f>
        <v/>
      </c>
      <c r="K153" s="16"/>
    </row>
    <row r="154" customFormat="false" ht="15" hidden="false" customHeight="false" outlineLevel="0" collapsed="false">
      <c r="A154" s="23"/>
      <c r="B154" s="16"/>
      <c r="C154" s="16"/>
      <c r="D154" s="16"/>
      <c r="E154" s="16"/>
      <c r="F154" s="24"/>
      <c r="G154" s="24"/>
      <c r="H154" s="18" t="str">
        <f aca="false">IF(OR(F154="",G154=""),"",(G154-F154)*24)</f>
        <v/>
      </c>
      <c r="I154" s="18" t="str">
        <f aca="false">IF(C154="","",SUMIF(Test_Times!$E$5:$E$863,C154&amp;"|"&amp;D154,Test_Times!$L$5:$L$863)+N(E154)*SUMIF(Test_Times!$E$5:$E$863,C154&amp;"|"&amp;D154,Test_Times!$Q$5:$Q$863))</f>
        <v/>
      </c>
      <c r="J154" s="18" t="str">
        <f aca="false">IF(OR(H154="",N(I154)=0),"",H154/I154)</f>
        <v/>
      </c>
      <c r="K154" s="16"/>
    </row>
    <row r="155" customFormat="false" ht="15" hidden="false" customHeight="false" outlineLevel="0" collapsed="false">
      <c r="A155" s="23"/>
      <c r="B155" s="16"/>
      <c r="C155" s="16"/>
      <c r="D155" s="16"/>
      <c r="E155" s="16"/>
      <c r="F155" s="24"/>
      <c r="G155" s="24"/>
      <c r="H155" s="18" t="str">
        <f aca="false">IF(OR(F155="",G155=""),"",(G155-F155)*24)</f>
        <v/>
      </c>
      <c r="I155" s="18" t="str">
        <f aca="false">IF(C155="","",SUMIF(Test_Times!$E$5:$E$863,C155&amp;"|"&amp;D155,Test_Times!$L$5:$L$863)+N(E155)*SUMIF(Test_Times!$E$5:$E$863,C155&amp;"|"&amp;D155,Test_Times!$Q$5:$Q$863))</f>
        <v/>
      </c>
      <c r="J155" s="18" t="str">
        <f aca="false">IF(OR(H155="",N(I155)=0),"",H155/I155)</f>
        <v/>
      </c>
      <c r="K155" s="16"/>
    </row>
    <row r="156" customFormat="false" ht="15" hidden="false" customHeight="false" outlineLevel="0" collapsed="false">
      <c r="A156" s="23"/>
      <c r="B156" s="16"/>
      <c r="C156" s="16"/>
      <c r="D156" s="16"/>
      <c r="E156" s="16"/>
      <c r="F156" s="24"/>
      <c r="G156" s="24"/>
      <c r="H156" s="18" t="str">
        <f aca="false">IF(OR(F156="",G156=""),"",(G156-F156)*24)</f>
        <v/>
      </c>
      <c r="I156" s="18" t="str">
        <f aca="false">IF(C156="","",SUMIF(Test_Times!$E$5:$E$863,C156&amp;"|"&amp;D156,Test_Times!$L$5:$L$863)+N(E156)*SUMIF(Test_Times!$E$5:$E$863,C156&amp;"|"&amp;D156,Test_Times!$Q$5:$Q$863))</f>
        <v/>
      </c>
      <c r="J156" s="18" t="str">
        <f aca="false">IF(OR(H156="",N(I156)=0),"",H156/I156)</f>
        <v/>
      </c>
      <c r="K156" s="16"/>
    </row>
    <row r="157" customFormat="false" ht="15" hidden="false" customHeight="false" outlineLevel="0" collapsed="false">
      <c r="A157" s="23"/>
      <c r="B157" s="16"/>
      <c r="C157" s="16"/>
      <c r="D157" s="16"/>
      <c r="E157" s="16"/>
      <c r="F157" s="24"/>
      <c r="G157" s="24"/>
      <c r="H157" s="18" t="str">
        <f aca="false">IF(OR(F157="",G157=""),"",(G157-F157)*24)</f>
        <v/>
      </c>
      <c r="I157" s="18" t="str">
        <f aca="false">IF(C157="","",SUMIF(Test_Times!$E$5:$E$863,C157&amp;"|"&amp;D157,Test_Times!$L$5:$L$863)+N(E157)*SUMIF(Test_Times!$E$5:$E$863,C157&amp;"|"&amp;D157,Test_Times!$Q$5:$Q$863))</f>
        <v/>
      </c>
      <c r="J157" s="18" t="str">
        <f aca="false">IF(OR(H157="",N(I157)=0),"",H157/I157)</f>
        <v/>
      </c>
      <c r="K157" s="16"/>
    </row>
    <row r="158" customFormat="false" ht="15" hidden="false" customHeight="false" outlineLevel="0" collapsed="false">
      <c r="A158" s="23"/>
      <c r="B158" s="16"/>
      <c r="C158" s="16"/>
      <c r="D158" s="16"/>
      <c r="E158" s="16"/>
      <c r="F158" s="24"/>
      <c r="G158" s="24"/>
      <c r="H158" s="18" t="str">
        <f aca="false">IF(OR(F158="",G158=""),"",(G158-F158)*24)</f>
        <v/>
      </c>
      <c r="I158" s="18" t="str">
        <f aca="false">IF(C158="","",SUMIF(Test_Times!$E$5:$E$863,C158&amp;"|"&amp;D158,Test_Times!$L$5:$L$863)+N(E158)*SUMIF(Test_Times!$E$5:$E$863,C158&amp;"|"&amp;D158,Test_Times!$Q$5:$Q$863))</f>
        <v/>
      </c>
      <c r="J158" s="18" t="str">
        <f aca="false">IF(OR(H158="",N(I158)=0),"",H158/I158)</f>
        <v/>
      </c>
      <c r="K158" s="16"/>
    </row>
    <row r="159" customFormat="false" ht="15" hidden="false" customHeight="false" outlineLevel="0" collapsed="false">
      <c r="A159" s="23"/>
      <c r="B159" s="16"/>
      <c r="C159" s="16"/>
      <c r="D159" s="16"/>
      <c r="E159" s="16"/>
      <c r="F159" s="24"/>
      <c r="G159" s="24"/>
      <c r="H159" s="18" t="str">
        <f aca="false">IF(OR(F159="",G159=""),"",(G159-F159)*24)</f>
        <v/>
      </c>
      <c r="I159" s="18" t="str">
        <f aca="false">IF(C159="","",SUMIF(Test_Times!$E$5:$E$863,C159&amp;"|"&amp;D159,Test_Times!$L$5:$L$863)+N(E159)*SUMIF(Test_Times!$E$5:$E$863,C159&amp;"|"&amp;D159,Test_Times!$Q$5:$Q$863))</f>
        <v/>
      </c>
      <c r="J159" s="18" t="str">
        <f aca="false">IF(OR(H159="",N(I159)=0),"",H159/I159)</f>
        <v/>
      </c>
      <c r="K159" s="16"/>
    </row>
    <row r="160" customFormat="false" ht="15" hidden="false" customHeight="false" outlineLevel="0" collapsed="false">
      <c r="A160" s="23"/>
      <c r="B160" s="16"/>
      <c r="C160" s="16"/>
      <c r="D160" s="16"/>
      <c r="E160" s="16"/>
      <c r="F160" s="24"/>
      <c r="G160" s="24"/>
      <c r="H160" s="18" t="str">
        <f aca="false">IF(OR(F160="",G160=""),"",(G160-F160)*24)</f>
        <v/>
      </c>
      <c r="I160" s="18" t="str">
        <f aca="false">IF(C160="","",SUMIF(Test_Times!$E$5:$E$863,C160&amp;"|"&amp;D160,Test_Times!$L$5:$L$863)+N(E160)*SUMIF(Test_Times!$E$5:$E$863,C160&amp;"|"&amp;D160,Test_Times!$Q$5:$Q$863))</f>
        <v/>
      </c>
      <c r="J160" s="18" t="str">
        <f aca="false">IF(OR(H160="",N(I160)=0),"",H160/I160)</f>
        <v/>
      </c>
      <c r="K160" s="16"/>
    </row>
    <row r="161" customFormat="false" ht="15" hidden="false" customHeight="false" outlineLevel="0" collapsed="false">
      <c r="A161" s="23"/>
      <c r="B161" s="16"/>
      <c r="C161" s="16"/>
      <c r="D161" s="16"/>
      <c r="E161" s="16"/>
      <c r="F161" s="24"/>
      <c r="G161" s="24"/>
      <c r="H161" s="18" t="str">
        <f aca="false">IF(OR(F161="",G161=""),"",(G161-F161)*24)</f>
        <v/>
      </c>
      <c r="I161" s="18" t="str">
        <f aca="false">IF(C161="","",SUMIF(Test_Times!$E$5:$E$863,C161&amp;"|"&amp;D161,Test_Times!$L$5:$L$863)+N(E161)*SUMIF(Test_Times!$E$5:$E$863,C161&amp;"|"&amp;D161,Test_Times!$Q$5:$Q$863))</f>
        <v/>
      </c>
      <c r="J161" s="18" t="str">
        <f aca="false">IF(OR(H161="",N(I161)=0),"",H161/I161)</f>
        <v/>
      </c>
      <c r="K161" s="16"/>
    </row>
    <row r="162" customFormat="false" ht="15" hidden="false" customHeight="false" outlineLevel="0" collapsed="false">
      <c r="A162" s="23"/>
      <c r="B162" s="16"/>
      <c r="C162" s="16"/>
      <c r="D162" s="16"/>
      <c r="E162" s="16"/>
      <c r="F162" s="24"/>
      <c r="G162" s="24"/>
      <c r="H162" s="18" t="str">
        <f aca="false">IF(OR(F162="",G162=""),"",(G162-F162)*24)</f>
        <v/>
      </c>
      <c r="I162" s="18" t="str">
        <f aca="false">IF(C162="","",SUMIF(Test_Times!$E$5:$E$863,C162&amp;"|"&amp;D162,Test_Times!$L$5:$L$863)+N(E162)*SUMIF(Test_Times!$E$5:$E$863,C162&amp;"|"&amp;D162,Test_Times!$Q$5:$Q$863))</f>
        <v/>
      </c>
      <c r="J162" s="18" t="str">
        <f aca="false">IF(OR(H162="",N(I162)=0),"",H162/I162)</f>
        <v/>
      </c>
      <c r="K162" s="16"/>
    </row>
    <row r="163" customFormat="false" ht="15" hidden="false" customHeight="false" outlineLevel="0" collapsed="false">
      <c r="A163" s="23"/>
      <c r="B163" s="16"/>
      <c r="C163" s="16"/>
      <c r="D163" s="16"/>
      <c r="E163" s="16"/>
      <c r="F163" s="24"/>
      <c r="G163" s="24"/>
      <c r="H163" s="18" t="str">
        <f aca="false">IF(OR(F163="",G163=""),"",(G163-F163)*24)</f>
        <v/>
      </c>
      <c r="I163" s="18" t="str">
        <f aca="false">IF(C163="","",SUMIF(Test_Times!$E$5:$E$863,C163&amp;"|"&amp;D163,Test_Times!$L$5:$L$863)+N(E163)*SUMIF(Test_Times!$E$5:$E$863,C163&amp;"|"&amp;D163,Test_Times!$Q$5:$Q$863))</f>
        <v/>
      </c>
      <c r="J163" s="18" t="str">
        <f aca="false">IF(OR(H163="",N(I163)=0),"",H163/I163)</f>
        <v/>
      </c>
      <c r="K163" s="16"/>
    </row>
    <row r="164" customFormat="false" ht="15" hidden="false" customHeight="false" outlineLevel="0" collapsed="false">
      <c r="A164" s="23"/>
      <c r="B164" s="16"/>
      <c r="C164" s="16"/>
      <c r="D164" s="16"/>
      <c r="E164" s="16"/>
      <c r="F164" s="24"/>
      <c r="G164" s="24"/>
      <c r="H164" s="18" t="str">
        <f aca="false">IF(OR(F164="",G164=""),"",(G164-F164)*24)</f>
        <v/>
      </c>
      <c r="I164" s="18" t="str">
        <f aca="false">IF(C164="","",SUMIF(Test_Times!$E$5:$E$863,C164&amp;"|"&amp;D164,Test_Times!$L$5:$L$863)+N(E164)*SUMIF(Test_Times!$E$5:$E$863,C164&amp;"|"&amp;D164,Test_Times!$Q$5:$Q$863))</f>
        <v/>
      </c>
      <c r="J164" s="18" t="str">
        <f aca="false">IF(OR(H164="",N(I164)=0),"",H164/I164)</f>
        <v/>
      </c>
      <c r="K164" s="16"/>
    </row>
    <row r="165" customFormat="false" ht="15" hidden="false" customHeight="false" outlineLevel="0" collapsed="false">
      <c r="A165" s="23"/>
      <c r="B165" s="16"/>
      <c r="C165" s="16"/>
      <c r="D165" s="16"/>
      <c r="E165" s="16"/>
      <c r="F165" s="24"/>
      <c r="G165" s="24"/>
      <c r="H165" s="18" t="str">
        <f aca="false">IF(OR(F165="",G165=""),"",(G165-F165)*24)</f>
        <v/>
      </c>
      <c r="I165" s="18" t="str">
        <f aca="false">IF(C165="","",SUMIF(Test_Times!$E$5:$E$863,C165&amp;"|"&amp;D165,Test_Times!$L$5:$L$863)+N(E165)*SUMIF(Test_Times!$E$5:$E$863,C165&amp;"|"&amp;D165,Test_Times!$Q$5:$Q$863))</f>
        <v/>
      </c>
      <c r="J165" s="18" t="str">
        <f aca="false">IF(OR(H165="",N(I165)=0),"",H165/I165)</f>
        <v/>
      </c>
      <c r="K165" s="16"/>
    </row>
    <row r="166" customFormat="false" ht="15" hidden="false" customHeight="false" outlineLevel="0" collapsed="false">
      <c r="A166" s="23"/>
      <c r="B166" s="16"/>
      <c r="C166" s="16"/>
      <c r="D166" s="16"/>
      <c r="E166" s="16"/>
      <c r="F166" s="24"/>
      <c r="G166" s="24"/>
      <c r="H166" s="18" t="str">
        <f aca="false">IF(OR(F166="",G166=""),"",(G166-F166)*24)</f>
        <v/>
      </c>
      <c r="I166" s="18" t="str">
        <f aca="false">IF(C166="","",SUMIF(Test_Times!$E$5:$E$863,C166&amp;"|"&amp;D166,Test_Times!$L$5:$L$863)+N(E166)*SUMIF(Test_Times!$E$5:$E$863,C166&amp;"|"&amp;D166,Test_Times!$Q$5:$Q$863))</f>
        <v/>
      </c>
      <c r="J166" s="18" t="str">
        <f aca="false">IF(OR(H166="",N(I166)=0),"",H166/I166)</f>
        <v/>
      </c>
      <c r="K166" s="16"/>
    </row>
    <row r="167" customFormat="false" ht="15" hidden="false" customHeight="false" outlineLevel="0" collapsed="false">
      <c r="A167" s="23"/>
      <c r="B167" s="16"/>
      <c r="C167" s="16"/>
      <c r="D167" s="16"/>
      <c r="E167" s="16"/>
      <c r="F167" s="24"/>
      <c r="G167" s="24"/>
      <c r="H167" s="18" t="str">
        <f aca="false">IF(OR(F167="",G167=""),"",(G167-F167)*24)</f>
        <v/>
      </c>
      <c r="I167" s="18" t="str">
        <f aca="false">IF(C167="","",SUMIF(Test_Times!$E$5:$E$863,C167&amp;"|"&amp;D167,Test_Times!$L$5:$L$863)+N(E167)*SUMIF(Test_Times!$E$5:$E$863,C167&amp;"|"&amp;D167,Test_Times!$Q$5:$Q$863))</f>
        <v/>
      </c>
      <c r="J167" s="18" t="str">
        <f aca="false">IF(OR(H167="",N(I167)=0),"",H167/I167)</f>
        <v/>
      </c>
      <c r="K167" s="16"/>
    </row>
    <row r="168" customFormat="false" ht="15" hidden="false" customHeight="false" outlineLevel="0" collapsed="false">
      <c r="A168" s="23"/>
      <c r="B168" s="16"/>
      <c r="C168" s="16"/>
      <c r="D168" s="16"/>
      <c r="E168" s="16"/>
      <c r="F168" s="24"/>
      <c r="G168" s="24"/>
      <c r="H168" s="18" t="str">
        <f aca="false">IF(OR(F168="",G168=""),"",(G168-F168)*24)</f>
        <v/>
      </c>
      <c r="I168" s="18" t="str">
        <f aca="false">IF(C168="","",SUMIF(Test_Times!$E$5:$E$863,C168&amp;"|"&amp;D168,Test_Times!$L$5:$L$863)+N(E168)*SUMIF(Test_Times!$E$5:$E$863,C168&amp;"|"&amp;D168,Test_Times!$Q$5:$Q$863))</f>
        <v/>
      </c>
      <c r="J168" s="18" t="str">
        <f aca="false">IF(OR(H168="",N(I168)=0),"",H168/I168)</f>
        <v/>
      </c>
      <c r="K168" s="16"/>
    </row>
    <row r="169" customFormat="false" ht="15" hidden="false" customHeight="false" outlineLevel="0" collapsed="false">
      <c r="A169" s="23"/>
      <c r="B169" s="16"/>
      <c r="C169" s="16"/>
      <c r="D169" s="16"/>
      <c r="E169" s="16"/>
      <c r="F169" s="24"/>
      <c r="G169" s="24"/>
      <c r="H169" s="18" t="str">
        <f aca="false">IF(OR(F169="",G169=""),"",(G169-F169)*24)</f>
        <v/>
      </c>
      <c r="I169" s="18" t="str">
        <f aca="false">IF(C169="","",SUMIF(Test_Times!$E$5:$E$863,C169&amp;"|"&amp;D169,Test_Times!$L$5:$L$863)+N(E169)*SUMIF(Test_Times!$E$5:$E$863,C169&amp;"|"&amp;D169,Test_Times!$Q$5:$Q$863))</f>
        <v/>
      </c>
      <c r="J169" s="18" t="str">
        <f aca="false">IF(OR(H169="",N(I169)=0),"",H169/I169)</f>
        <v/>
      </c>
      <c r="K169" s="16"/>
    </row>
    <row r="170" customFormat="false" ht="15" hidden="false" customHeight="false" outlineLevel="0" collapsed="false">
      <c r="A170" s="23"/>
      <c r="B170" s="16"/>
      <c r="C170" s="16"/>
      <c r="D170" s="16"/>
      <c r="E170" s="16"/>
      <c r="F170" s="24"/>
      <c r="G170" s="24"/>
      <c r="H170" s="18" t="str">
        <f aca="false">IF(OR(F170="",G170=""),"",(G170-F170)*24)</f>
        <v/>
      </c>
      <c r="I170" s="18" t="str">
        <f aca="false">IF(C170="","",SUMIF(Test_Times!$E$5:$E$863,C170&amp;"|"&amp;D170,Test_Times!$L$5:$L$863)+N(E170)*SUMIF(Test_Times!$E$5:$E$863,C170&amp;"|"&amp;D170,Test_Times!$Q$5:$Q$863))</f>
        <v/>
      </c>
      <c r="J170" s="18" t="str">
        <f aca="false">IF(OR(H170="",N(I170)=0),"",H170/I170)</f>
        <v/>
      </c>
      <c r="K170" s="16"/>
    </row>
    <row r="171" customFormat="false" ht="15" hidden="false" customHeight="false" outlineLevel="0" collapsed="false">
      <c r="A171" s="23"/>
      <c r="B171" s="16"/>
      <c r="C171" s="16"/>
      <c r="D171" s="16"/>
      <c r="E171" s="16"/>
      <c r="F171" s="24"/>
      <c r="G171" s="24"/>
      <c r="H171" s="18" t="str">
        <f aca="false">IF(OR(F171="",G171=""),"",(G171-F171)*24)</f>
        <v/>
      </c>
      <c r="I171" s="18" t="str">
        <f aca="false">IF(C171="","",SUMIF(Test_Times!$E$5:$E$863,C171&amp;"|"&amp;D171,Test_Times!$L$5:$L$863)+N(E171)*SUMIF(Test_Times!$E$5:$E$863,C171&amp;"|"&amp;D171,Test_Times!$Q$5:$Q$863))</f>
        <v/>
      </c>
      <c r="J171" s="18" t="str">
        <f aca="false">IF(OR(H171="",N(I171)=0),"",H171/I171)</f>
        <v/>
      </c>
      <c r="K171" s="16"/>
    </row>
    <row r="172" customFormat="false" ht="15" hidden="false" customHeight="false" outlineLevel="0" collapsed="false">
      <c r="A172" s="23"/>
      <c r="B172" s="16"/>
      <c r="C172" s="16"/>
      <c r="D172" s="16"/>
      <c r="E172" s="16"/>
      <c r="F172" s="24"/>
      <c r="G172" s="24"/>
      <c r="H172" s="18" t="str">
        <f aca="false">IF(OR(F172="",G172=""),"",(G172-F172)*24)</f>
        <v/>
      </c>
      <c r="I172" s="18" t="str">
        <f aca="false">IF(C172="","",SUMIF(Test_Times!$E$5:$E$863,C172&amp;"|"&amp;D172,Test_Times!$L$5:$L$863)+N(E172)*SUMIF(Test_Times!$E$5:$E$863,C172&amp;"|"&amp;D172,Test_Times!$Q$5:$Q$863))</f>
        <v/>
      </c>
      <c r="J172" s="18" t="str">
        <f aca="false">IF(OR(H172="",N(I172)=0),"",H172/I172)</f>
        <v/>
      </c>
      <c r="K172" s="16"/>
    </row>
    <row r="173" customFormat="false" ht="15" hidden="false" customHeight="false" outlineLevel="0" collapsed="false">
      <c r="A173" s="23"/>
      <c r="B173" s="16"/>
      <c r="C173" s="16"/>
      <c r="D173" s="16"/>
      <c r="E173" s="16"/>
      <c r="F173" s="24"/>
      <c r="G173" s="24"/>
      <c r="H173" s="18" t="str">
        <f aca="false">IF(OR(F173="",G173=""),"",(G173-F173)*24)</f>
        <v/>
      </c>
      <c r="I173" s="18" t="str">
        <f aca="false">IF(C173="","",SUMIF(Test_Times!$E$5:$E$863,C173&amp;"|"&amp;D173,Test_Times!$L$5:$L$863)+N(E173)*SUMIF(Test_Times!$E$5:$E$863,C173&amp;"|"&amp;D173,Test_Times!$Q$5:$Q$863))</f>
        <v/>
      </c>
      <c r="J173" s="18" t="str">
        <f aca="false">IF(OR(H173="",N(I173)=0),"",H173/I173)</f>
        <v/>
      </c>
      <c r="K173" s="16"/>
    </row>
    <row r="174" customFormat="false" ht="15" hidden="false" customHeight="false" outlineLevel="0" collapsed="false">
      <c r="A174" s="23"/>
      <c r="B174" s="16"/>
      <c r="C174" s="16"/>
      <c r="D174" s="16"/>
      <c r="E174" s="16"/>
      <c r="F174" s="24"/>
      <c r="G174" s="24"/>
      <c r="H174" s="18" t="str">
        <f aca="false">IF(OR(F174="",G174=""),"",(G174-F174)*24)</f>
        <v/>
      </c>
      <c r="I174" s="18" t="str">
        <f aca="false">IF(C174="","",SUMIF(Test_Times!$E$5:$E$863,C174&amp;"|"&amp;D174,Test_Times!$L$5:$L$863)+N(E174)*SUMIF(Test_Times!$E$5:$E$863,C174&amp;"|"&amp;D174,Test_Times!$Q$5:$Q$863))</f>
        <v/>
      </c>
      <c r="J174" s="18" t="str">
        <f aca="false">IF(OR(H174="",N(I174)=0),"",H174/I174)</f>
        <v/>
      </c>
      <c r="K174" s="16"/>
    </row>
    <row r="175" customFormat="false" ht="15" hidden="false" customHeight="false" outlineLevel="0" collapsed="false">
      <c r="A175" s="23"/>
      <c r="B175" s="16"/>
      <c r="C175" s="16"/>
      <c r="D175" s="16"/>
      <c r="E175" s="16"/>
      <c r="F175" s="24"/>
      <c r="G175" s="24"/>
      <c r="H175" s="18" t="str">
        <f aca="false">IF(OR(F175="",G175=""),"",(G175-F175)*24)</f>
        <v/>
      </c>
      <c r="I175" s="18" t="str">
        <f aca="false">IF(C175="","",SUMIF(Test_Times!$E$5:$E$863,C175&amp;"|"&amp;D175,Test_Times!$L$5:$L$863)+N(E175)*SUMIF(Test_Times!$E$5:$E$863,C175&amp;"|"&amp;D175,Test_Times!$Q$5:$Q$863))</f>
        <v/>
      </c>
      <c r="J175" s="18" t="str">
        <f aca="false">IF(OR(H175="",N(I175)=0),"",H175/I175)</f>
        <v/>
      </c>
      <c r="K175" s="16"/>
    </row>
    <row r="176" customFormat="false" ht="15" hidden="false" customHeight="false" outlineLevel="0" collapsed="false">
      <c r="A176" s="23"/>
      <c r="B176" s="16"/>
      <c r="C176" s="16"/>
      <c r="D176" s="16"/>
      <c r="E176" s="16"/>
      <c r="F176" s="24"/>
      <c r="G176" s="24"/>
      <c r="H176" s="18" t="str">
        <f aca="false">IF(OR(F176="",G176=""),"",(G176-F176)*24)</f>
        <v/>
      </c>
      <c r="I176" s="18" t="str">
        <f aca="false">IF(C176="","",SUMIF(Test_Times!$E$5:$E$863,C176&amp;"|"&amp;D176,Test_Times!$L$5:$L$863)+N(E176)*SUMIF(Test_Times!$E$5:$E$863,C176&amp;"|"&amp;D176,Test_Times!$Q$5:$Q$863))</f>
        <v/>
      </c>
      <c r="J176" s="18" t="str">
        <f aca="false">IF(OR(H176="",N(I176)=0),"",H176/I176)</f>
        <v/>
      </c>
      <c r="K176" s="16"/>
    </row>
    <row r="177" customFormat="false" ht="15" hidden="false" customHeight="false" outlineLevel="0" collapsed="false">
      <c r="A177" s="23"/>
      <c r="B177" s="16"/>
      <c r="C177" s="16"/>
      <c r="D177" s="16"/>
      <c r="E177" s="16"/>
      <c r="F177" s="24"/>
      <c r="G177" s="24"/>
      <c r="H177" s="18" t="str">
        <f aca="false">IF(OR(F177="",G177=""),"",(G177-F177)*24)</f>
        <v/>
      </c>
      <c r="I177" s="18" t="str">
        <f aca="false">IF(C177="","",SUMIF(Test_Times!$E$5:$E$863,C177&amp;"|"&amp;D177,Test_Times!$L$5:$L$863)+N(E177)*SUMIF(Test_Times!$E$5:$E$863,C177&amp;"|"&amp;D177,Test_Times!$Q$5:$Q$863))</f>
        <v/>
      </c>
      <c r="J177" s="18" t="str">
        <f aca="false">IF(OR(H177="",N(I177)=0),"",H177/I177)</f>
        <v/>
      </c>
      <c r="K177" s="16"/>
    </row>
    <row r="178" customFormat="false" ht="15" hidden="false" customHeight="false" outlineLevel="0" collapsed="false">
      <c r="A178" s="23"/>
      <c r="B178" s="16"/>
      <c r="C178" s="16"/>
      <c r="D178" s="16"/>
      <c r="E178" s="16"/>
      <c r="F178" s="24"/>
      <c r="G178" s="24"/>
      <c r="H178" s="18" t="str">
        <f aca="false">IF(OR(F178="",G178=""),"",(G178-F178)*24)</f>
        <v/>
      </c>
      <c r="I178" s="18" t="str">
        <f aca="false">IF(C178="","",SUMIF(Test_Times!$E$5:$E$863,C178&amp;"|"&amp;D178,Test_Times!$L$5:$L$863)+N(E178)*SUMIF(Test_Times!$E$5:$E$863,C178&amp;"|"&amp;D178,Test_Times!$Q$5:$Q$863))</f>
        <v/>
      </c>
      <c r="J178" s="18" t="str">
        <f aca="false">IF(OR(H178="",N(I178)=0),"",H178/I178)</f>
        <v/>
      </c>
      <c r="K178" s="16"/>
    </row>
    <row r="179" customFormat="false" ht="15" hidden="false" customHeight="false" outlineLevel="0" collapsed="false">
      <c r="A179" s="23"/>
      <c r="B179" s="16"/>
      <c r="C179" s="16"/>
      <c r="D179" s="16"/>
      <c r="E179" s="16"/>
      <c r="F179" s="24"/>
      <c r="G179" s="24"/>
      <c r="H179" s="18" t="str">
        <f aca="false">IF(OR(F179="",G179=""),"",(G179-F179)*24)</f>
        <v/>
      </c>
      <c r="I179" s="18" t="str">
        <f aca="false">IF(C179="","",SUMIF(Test_Times!$E$5:$E$863,C179&amp;"|"&amp;D179,Test_Times!$L$5:$L$863)+N(E179)*SUMIF(Test_Times!$E$5:$E$863,C179&amp;"|"&amp;D179,Test_Times!$Q$5:$Q$863))</f>
        <v/>
      </c>
      <c r="J179" s="18" t="str">
        <f aca="false">IF(OR(H179="",N(I179)=0),"",H179/I179)</f>
        <v/>
      </c>
      <c r="K179" s="16"/>
    </row>
    <row r="180" customFormat="false" ht="15" hidden="false" customHeight="false" outlineLevel="0" collapsed="false">
      <c r="A180" s="23"/>
      <c r="B180" s="16"/>
      <c r="C180" s="16"/>
      <c r="D180" s="16"/>
      <c r="E180" s="16"/>
      <c r="F180" s="24"/>
      <c r="G180" s="24"/>
      <c r="H180" s="18" t="str">
        <f aca="false">IF(OR(F180="",G180=""),"",(G180-F180)*24)</f>
        <v/>
      </c>
      <c r="I180" s="18" t="str">
        <f aca="false">IF(C180="","",SUMIF(Test_Times!$E$5:$E$863,C180&amp;"|"&amp;D180,Test_Times!$L$5:$L$863)+N(E180)*SUMIF(Test_Times!$E$5:$E$863,C180&amp;"|"&amp;D180,Test_Times!$Q$5:$Q$863))</f>
        <v/>
      </c>
      <c r="J180" s="18" t="str">
        <f aca="false">IF(OR(H180="",N(I180)=0),"",H180/I180)</f>
        <v/>
      </c>
      <c r="K180" s="16"/>
    </row>
    <row r="181" customFormat="false" ht="15" hidden="false" customHeight="false" outlineLevel="0" collapsed="false">
      <c r="A181" s="23"/>
      <c r="B181" s="16"/>
      <c r="C181" s="16"/>
      <c r="D181" s="16"/>
      <c r="E181" s="16"/>
      <c r="F181" s="24"/>
      <c r="G181" s="24"/>
      <c r="H181" s="18" t="str">
        <f aca="false">IF(OR(F181="",G181=""),"",(G181-F181)*24)</f>
        <v/>
      </c>
      <c r="I181" s="18" t="str">
        <f aca="false">IF(C181="","",SUMIF(Test_Times!$E$5:$E$863,C181&amp;"|"&amp;D181,Test_Times!$L$5:$L$863)+N(E181)*SUMIF(Test_Times!$E$5:$E$863,C181&amp;"|"&amp;D181,Test_Times!$Q$5:$Q$863))</f>
        <v/>
      </c>
      <c r="J181" s="18" t="str">
        <f aca="false">IF(OR(H181="",N(I181)=0),"",H181/I181)</f>
        <v/>
      </c>
      <c r="K181" s="16"/>
    </row>
    <row r="182" customFormat="false" ht="15" hidden="false" customHeight="false" outlineLevel="0" collapsed="false">
      <c r="A182" s="23"/>
      <c r="B182" s="16"/>
      <c r="C182" s="16"/>
      <c r="D182" s="16"/>
      <c r="E182" s="16"/>
      <c r="F182" s="24"/>
      <c r="G182" s="24"/>
      <c r="H182" s="18" t="str">
        <f aca="false">IF(OR(F182="",G182=""),"",(G182-F182)*24)</f>
        <v/>
      </c>
      <c r="I182" s="18" t="str">
        <f aca="false">IF(C182="","",SUMIF(Test_Times!$E$5:$E$863,C182&amp;"|"&amp;D182,Test_Times!$L$5:$L$863)+N(E182)*SUMIF(Test_Times!$E$5:$E$863,C182&amp;"|"&amp;D182,Test_Times!$Q$5:$Q$863))</f>
        <v/>
      </c>
      <c r="J182" s="18" t="str">
        <f aca="false">IF(OR(H182="",N(I182)=0),"",H182/I182)</f>
        <v/>
      </c>
      <c r="K182" s="16"/>
    </row>
    <row r="183" customFormat="false" ht="15" hidden="false" customHeight="false" outlineLevel="0" collapsed="false">
      <c r="A183" s="23"/>
      <c r="B183" s="16"/>
      <c r="C183" s="16"/>
      <c r="D183" s="16"/>
      <c r="E183" s="16"/>
      <c r="F183" s="24"/>
      <c r="G183" s="24"/>
      <c r="H183" s="18" t="str">
        <f aca="false">IF(OR(F183="",G183=""),"",(G183-F183)*24)</f>
        <v/>
      </c>
      <c r="I183" s="18" t="str">
        <f aca="false">IF(C183="","",SUMIF(Test_Times!$E$5:$E$863,C183&amp;"|"&amp;D183,Test_Times!$L$5:$L$863)+N(E183)*SUMIF(Test_Times!$E$5:$E$863,C183&amp;"|"&amp;D183,Test_Times!$Q$5:$Q$863))</f>
        <v/>
      </c>
      <c r="J183" s="18" t="str">
        <f aca="false">IF(OR(H183="",N(I183)=0),"",H183/I183)</f>
        <v/>
      </c>
      <c r="K183" s="16"/>
    </row>
    <row r="184" customFormat="false" ht="15" hidden="false" customHeight="false" outlineLevel="0" collapsed="false">
      <c r="A184" s="23"/>
      <c r="B184" s="16"/>
      <c r="C184" s="16"/>
      <c r="D184" s="16"/>
      <c r="E184" s="16"/>
      <c r="F184" s="24"/>
      <c r="G184" s="24"/>
      <c r="H184" s="18" t="str">
        <f aca="false">IF(OR(F184="",G184=""),"",(G184-F184)*24)</f>
        <v/>
      </c>
      <c r="I184" s="18" t="str">
        <f aca="false">IF(C184="","",SUMIF(Test_Times!$E$5:$E$863,C184&amp;"|"&amp;D184,Test_Times!$L$5:$L$863)+N(E184)*SUMIF(Test_Times!$E$5:$E$863,C184&amp;"|"&amp;D184,Test_Times!$Q$5:$Q$863))</f>
        <v/>
      </c>
      <c r="J184" s="18" t="str">
        <f aca="false">IF(OR(H184="",N(I184)=0),"",H184/I184)</f>
        <v/>
      </c>
      <c r="K184" s="16"/>
    </row>
    <row r="185" customFormat="false" ht="15" hidden="false" customHeight="false" outlineLevel="0" collapsed="false">
      <c r="A185" s="23"/>
      <c r="B185" s="16"/>
      <c r="C185" s="16"/>
      <c r="D185" s="16"/>
      <c r="E185" s="16"/>
      <c r="F185" s="24"/>
      <c r="G185" s="24"/>
      <c r="H185" s="18" t="str">
        <f aca="false">IF(OR(F185="",G185=""),"",(G185-F185)*24)</f>
        <v/>
      </c>
      <c r="I185" s="18" t="str">
        <f aca="false">IF(C185="","",SUMIF(Test_Times!$E$5:$E$863,C185&amp;"|"&amp;D185,Test_Times!$L$5:$L$863)+N(E185)*SUMIF(Test_Times!$E$5:$E$863,C185&amp;"|"&amp;D185,Test_Times!$Q$5:$Q$863))</f>
        <v/>
      </c>
      <c r="J185" s="18" t="str">
        <f aca="false">IF(OR(H185="",N(I185)=0),"",H185/I185)</f>
        <v/>
      </c>
      <c r="K185" s="16"/>
    </row>
    <row r="186" customFormat="false" ht="15" hidden="false" customHeight="false" outlineLevel="0" collapsed="false">
      <c r="A186" s="23"/>
      <c r="B186" s="16"/>
      <c r="C186" s="16"/>
      <c r="D186" s="16"/>
      <c r="E186" s="16"/>
      <c r="F186" s="24"/>
      <c r="G186" s="24"/>
      <c r="H186" s="18" t="str">
        <f aca="false">IF(OR(F186="",G186=""),"",(G186-F186)*24)</f>
        <v/>
      </c>
      <c r="I186" s="18" t="str">
        <f aca="false">IF(C186="","",SUMIF(Test_Times!$E$5:$E$863,C186&amp;"|"&amp;D186,Test_Times!$L$5:$L$863)+N(E186)*SUMIF(Test_Times!$E$5:$E$863,C186&amp;"|"&amp;D186,Test_Times!$Q$5:$Q$863))</f>
        <v/>
      </c>
      <c r="J186" s="18" t="str">
        <f aca="false">IF(OR(H186="",N(I186)=0),"",H186/I186)</f>
        <v/>
      </c>
      <c r="K186" s="16"/>
    </row>
    <row r="187" customFormat="false" ht="15" hidden="false" customHeight="false" outlineLevel="0" collapsed="false">
      <c r="A187" s="23"/>
      <c r="B187" s="16"/>
      <c r="C187" s="16"/>
      <c r="D187" s="16"/>
      <c r="E187" s="16"/>
      <c r="F187" s="24"/>
      <c r="G187" s="24"/>
      <c r="H187" s="18" t="str">
        <f aca="false">IF(OR(F187="",G187=""),"",(G187-F187)*24)</f>
        <v/>
      </c>
      <c r="I187" s="18" t="str">
        <f aca="false">IF(C187="","",SUMIF(Test_Times!$E$5:$E$863,C187&amp;"|"&amp;D187,Test_Times!$L$5:$L$863)+N(E187)*SUMIF(Test_Times!$E$5:$E$863,C187&amp;"|"&amp;D187,Test_Times!$Q$5:$Q$863))</f>
        <v/>
      </c>
      <c r="J187" s="18" t="str">
        <f aca="false">IF(OR(H187="",N(I187)=0),"",H187/I187)</f>
        <v/>
      </c>
      <c r="K187" s="16"/>
    </row>
    <row r="188" customFormat="false" ht="15" hidden="false" customHeight="false" outlineLevel="0" collapsed="false">
      <c r="A188" s="23"/>
      <c r="B188" s="16"/>
      <c r="C188" s="16"/>
      <c r="D188" s="16"/>
      <c r="E188" s="16"/>
      <c r="F188" s="24"/>
      <c r="G188" s="24"/>
      <c r="H188" s="18" t="str">
        <f aca="false">IF(OR(F188="",G188=""),"",(G188-F188)*24)</f>
        <v/>
      </c>
      <c r="I188" s="18" t="str">
        <f aca="false">IF(C188="","",SUMIF(Test_Times!$E$5:$E$863,C188&amp;"|"&amp;D188,Test_Times!$L$5:$L$863)+N(E188)*SUMIF(Test_Times!$E$5:$E$863,C188&amp;"|"&amp;D188,Test_Times!$Q$5:$Q$863))</f>
        <v/>
      </c>
      <c r="J188" s="18" t="str">
        <f aca="false">IF(OR(H188="",N(I188)=0),"",H188/I188)</f>
        <v/>
      </c>
      <c r="K188" s="16"/>
    </row>
    <row r="189" customFormat="false" ht="15" hidden="false" customHeight="false" outlineLevel="0" collapsed="false">
      <c r="A189" s="23"/>
      <c r="B189" s="16"/>
      <c r="C189" s="16"/>
      <c r="D189" s="16"/>
      <c r="E189" s="16"/>
      <c r="F189" s="24"/>
      <c r="G189" s="24"/>
      <c r="H189" s="18" t="str">
        <f aca="false">IF(OR(F189="",G189=""),"",(G189-F189)*24)</f>
        <v/>
      </c>
      <c r="I189" s="18" t="str">
        <f aca="false">IF(C189="","",SUMIF(Test_Times!$E$5:$E$863,C189&amp;"|"&amp;D189,Test_Times!$L$5:$L$863)+N(E189)*SUMIF(Test_Times!$E$5:$E$863,C189&amp;"|"&amp;D189,Test_Times!$Q$5:$Q$863))</f>
        <v/>
      </c>
      <c r="J189" s="18" t="str">
        <f aca="false">IF(OR(H189="",N(I189)=0),"",H189/I189)</f>
        <v/>
      </c>
      <c r="K189" s="16"/>
    </row>
    <row r="190" customFormat="false" ht="15" hidden="false" customHeight="false" outlineLevel="0" collapsed="false">
      <c r="A190" s="23"/>
      <c r="B190" s="16"/>
      <c r="C190" s="16"/>
      <c r="D190" s="16"/>
      <c r="E190" s="16"/>
      <c r="F190" s="24"/>
      <c r="G190" s="24"/>
      <c r="H190" s="18" t="str">
        <f aca="false">IF(OR(F190="",G190=""),"",(G190-F190)*24)</f>
        <v/>
      </c>
      <c r="I190" s="18" t="str">
        <f aca="false">IF(C190="","",SUMIF(Test_Times!$E$5:$E$863,C190&amp;"|"&amp;D190,Test_Times!$L$5:$L$863)+N(E190)*SUMIF(Test_Times!$E$5:$E$863,C190&amp;"|"&amp;D190,Test_Times!$Q$5:$Q$863))</f>
        <v/>
      </c>
      <c r="J190" s="18" t="str">
        <f aca="false">IF(OR(H190="",N(I190)=0),"",H190/I190)</f>
        <v/>
      </c>
      <c r="K190" s="16"/>
    </row>
    <row r="191" customFormat="false" ht="15" hidden="false" customHeight="false" outlineLevel="0" collapsed="false">
      <c r="A191" s="23"/>
      <c r="B191" s="16"/>
      <c r="C191" s="16"/>
      <c r="D191" s="16"/>
      <c r="E191" s="16"/>
      <c r="F191" s="24"/>
      <c r="G191" s="24"/>
      <c r="H191" s="18" t="str">
        <f aca="false">IF(OR(F191="",G191=""),"",(G191-F191)*24)</f>
        <v/>
      </c>
      <c r="I191" s="18" t="str">
        <f aca="false">IF(C191="","",SUMIF(Test_Times!$E$5:$E$863,C191&amp;"|"&amp;D191,Test_Times!$L$5:$L$863)+N(E191)*SUMIF(Test_Times!$E$5:$E$863,C191&amp;"|"&amp;D191,Test_Times!$Q$5:$Q$863))</f>
        <v/>
      </c>
      <c r="J191" s="18" t="str">
        <f aca="false">IF(OR(H191="",N(I191)=0),"",H191/I191)</f>
        <v/>
      </c>
      <c r="K191" s="16"/>
    </row>
    <row r="192" customFormat="false" ht="15" hidden="false" customHeight="false" outlineLevel="0" collapsed="false">
      <c r="A192" s="23"/>
      <c r="B192" s="16"/>
      <c r="C192" s="16"/>
      <c r="D192" s="16"/>
      <c r="E192" s="16"/>
      <c r="F192" s="24"/>
      <c r="G192" s="24"/>
      <c r="H192" s="18" t="str">
        <f aca="false">IF(OR(F192="",G192=""),"",(G192-F192)*24)</f>
        <v/>
      </c>
      <c r="I192" s="18" t="str">
        <f aca="false">IF(C192="","",SUMIF(Test_Times!$E$5:$E$863,C192&amp;"|"&amp;D192,Test_Times!$L$5:$L$863)+N(E192)*SUMIF(Test_Times!$E$5:$E$863,C192&amp;"|"&amp;D192,Test_Times!$Q$5:$Q$863))</f>
        <v/>
      </c>
      <c r="J192" s="18" t="str">
        <f aca="false">IF(OR(H192="",N(I192)=0),"",H192/I192)</f>
        <v/>
      </c>
      <c r="K192" s="16"/>
    </row>
    <row r="193" customFormat="false" ht="15" hidden="false" customHeight="false" outlineLevel="0" collapsed="false">
      <c r="A193" s="23"/>
      <c r="B193" s="16"/>
      <c r="C193" s="16"/>
      <c r="D193" s="16"/>
      <c r="E193" s="16"/>
      <c r="F193" s="24"/>
      <c r="G193" s="24"/>
      <c r="H193" s="18" t="str">
        <f aca="false">IF(OR(F193="",G193=""),"",(G193-F193)*24)</f>
        <v/>
      </c>
      <c r="I193" s="18" t="str">
        <f aca="false">IF(C193="","",SUMIF(Test_Times!$E$5:$E$863,C193&amp;"|"&amp;D193,Test_Times!$L$5:$L$863)+N(E193)*SUMIF(Test_Times!$E$5:$E$863,C193&amp;"|"&amp;D193,Test_Times!$Q$5:$Q$863))</f>
        <v/>
      </c>
      <c r="J193" s="18" t="str">
        <f aca="false">IF(OR(H193="",N(I193)=0),"",H193/I193)</f>
        <v/>
      </c>
      <c r="K193" s="16"/>
    </row>
    <row r="194" customFormat="false" ht="15" hidden="false" customHeight="false" outlineLevel="0" collapsed="false">
      <c r="A194" s="23"/>
      <c r="B194" s="16"/>
      <c r="C194" s="16"/>
      <c r="D194" s="16"/>
      <c r="E194" s="16"/>
      <c r="F194" s="24"/>
      <c r="G194" s="24"/>
      <c r="H194" s="18" t="str">
        <f aca="false">IF(OR(F194="",G194=""),"",(G194-F194)*24)</f>
        <v/>
      </c>
      <c r="I194" s="18" t="str">
        <f aca="false">IF(C194="","",SUMIF(Test_Times!$E$5:$E$863,C194&amp;"|"&amp;D194,Test_Times!$L$5:$L$863)+N(E194)*SUMIF(Test_Times!$E$5:$E$863,C194&amp;"|"&amp;D194,Test_Times!$Q$5:$Q$863))</f>
        <v/>
      </c>
      <c r="J194" s="18" t="str">
        <f aca="false">IF(OR(H194="",N(I194)=0),"",H194/I194)</f>
        <v/>
      </c>
      <c r="K194" s="16"/>
    </row>
    <row r="195" customFormat="false" ht="15" hidden="false" customHeight="false" outlineLevel="0" collapsed="false">
      <c r="A195" s="23"/>
      <c r="B195" s="16"/>
      <c r="C195" s="16"/>
      <c r="D195" s="16"/>
      <c r="E195" s="16"/>
      <c r="F195" s="24"/>
      <c r="G195" s="24"/>
      <c r="H195" s="18" t="str">
        <f aca="false">IF(OR(F195="",G195=""),"",(G195-F195)*24)</f>
        <v/>
      </c>
      <c r="I195" s="18" t="str">
        <f aca="false">IF(C195="","",SUMIF(Test_Times!$E$5:$E$863,C195&amp;"|"&amp;D195,Test_Times!$L$5:$L$863)+N(E195)*SUMIF(Test_Times!$E$5:$E$863,C195&amp;"|"&amp;D195,Test_Times!$Q$5:$Q$863))</f>
        <v/>
      </c>
      <c r="J195" s="18" t="str">
        <f aca="false">IF(OR(H195="",N(I195)=0),"",H195/I195)</f>
        <v/>
      </c>
      <c r="K195" s="16"/>
    </row>
    <row r="196" customFormat="false" ht="15" hidden="false" customHeight="false" outlineLevel="0" collapsed="false">
      <c r="A196" s="23"/>
      <c r="B196" s="16"/>
      <c r="C196" s="16"/>
      <c r="D196" s="16"/>
      <c r="E196" s="16"/>
      <c r="F196" s="24"/>
      <c r="G196" s="24"/>
      <c r="H196" s="18" t="str">
        <f aca="false">IF(OR(F196="",G196=""),"",(G196-F196)*24)</f>
        <v/>
      </c>
      <c r="I196" s="18" t="str">
        <f aca="false">IF(C196="","",SUMIF(Test_Times!$E$5:$E$863,C196&amp;"|"&amp;D196,Test_Times!$L$5:$L$863)+N(E196)*SUMIF(Test_Times!$E$5:$E$863,C196&amp;"|"&amp;D196,Test_Times!$Q$5:$Q$863))</f>
        <v/>
      </c>
      <c r="J196" s="18" t="str">
        <f aca="false">IF(OR(H196="",N(I196)=0),"",H196/I196)</f>
        <v/>
      </c>
      <c r="K196" s="16"/>
    </row>
    <row r="197" customFormat="false" ht="15" hidden="false" customHeight="false" outlineLevel="0" collapsed="false">
      <c r="A197" s="23"/>
      <c r="B197" s="16"/>
      <c r="C197" s="16"/>
      <c r="D197" s="16"/>
      <c r="E197" s="16"/>
      <c r="F197" s="24"/>
      <c r="G197" s="24"/>
      <c r="H197" s="18" t="str">
        <f aca="false">IF(OR(F197="",G197=""),"",(G197-F197)*24)</f>
        <v/>
      </c>
      <c r="I197" s="18" t="str">
        <f aca="false">IF(C197="","",SUMIF(Test_Times!$E$5:$E$863,C197&amp;"|"&amp;D197,Test_Times!$L$5:$L$863)+N(E197)*SUMIF(Test_Times!$E$5:$E$863,C197&amp;"|"&amp;D197,Test_Times!$Q$5:$Q$863))</f>
        <v/>
      </c>
      <c r="J197" s="18" t="str">
        <f aca="false">IF(OR(H197="",N(I197)=0),"",H197/I197)</f>
        <v/>
      </c>
      <c r="K197" s="16"/>
    </row>
    <row r="198" customFormat="false" ht="15" hidden="false" customHeight="false" outlineLevel="0" collapsed="false">
      <c r="A198" s="23"/>
      <c r="B198" s="16"/>
      <c r="C198" s="16"/>
      <c r="D198" s="16"/>
      <c r="E198" s="16"/>
      <c r="F198" s="24"/>
      <c r="G198" s="24"/>
      <c r="H198" s="18" t="str">
        <f aca="false">IF(OR(F198="",G198=""),"",(G198-F198)*24)</f>
        <v/>
      </c>
      <c r="I198" s="18" t="str">
        <f aca="false">IF(C198="","",SUMIF(Test_Times!$E$5:$E$863,C198&amp;"|"&amp;D198,Test_Times!$L$5:$L$863)+N(E198)*SUMIF(Test_Times!$E$5:$E$863,C198&amp;"|"&amp;D198,Test_Times!$Q$5:$Q$863))</f>
        <v/>
      </c>
      <c r="J198" s="18" t="str">
        <f aca="false">IF(OR(H198="",N(I198)=0),"",H198/I198)</f>
        <v/>
      </c>
      <c r="K198" s="16"/>
    </row>
    <row r="199" customFormat="false" ht="15" hidden="false" customHeight="false" outlineLevel="0" collapsed="false">
      <c r="A199" s="23"/>
      <c r="B199" s="16"/>
      <c r="C199" s="16"/>
      <c r="D199" s="16"/>
      <c r="E199" s="16"/>
      <c r="F199" s="24"/>
      <c r="G199" s="24"/>
      <c r="H199" s="18" t="str">
        <f aca="false">IF(OR(F199="",G199=""),"",(G199-F199)*24)</f>
        <v/>
      </c>
      <c r="I199" s="18" t="str">
        <f aca="false">IF(C199="","",SUMIF(Test_Times!$E$5:$E$863,C199&amp;"|"&amp;D199,Test_Times!$L$5:$L$863)+N(E199)*SUMIF(Test_Times!$E$5:$E$863,C199&amp;"|"&amp;D199,Test_Times!$Q$5:$Q$863))</f>
        <v/>
      </c>
      <c r="J199" s="18" t="str">
        <f aca="false">IF(OR(H199="",N(I199)=0),"",H199/I199)</f>
        <v/>
      </c>
      <c r="K199" s="16"/>
    </row>
    <row r="200" customFormat="false" ht="15" hidden="false" customHeight="false" outlineLevel="0" collapsed="false">
      <c r="A200" s="23"/>
      <c r="B200" s="16"/>
      <c r="C200" s="16"/>
      <c r="D200" s="16"/>
      <c r="E200" s="16"/>
      <c r="F200" s="24"/>
      <c r="G200" s="24"/>
      <c r="H200" s="18" t="str">
        <f aca="false">IF(OR(F200="",G200=""),"",(G200-F200)*24)</f>
        <v/>
      </c>
      <c r="I200" s="18" t="str">
        <f aca="false">IF(C200="","",SUMIF(Test_Times!$E$5:$E$863,C200&amp;"|"&amp;D200,Test_Times!$L$5:$L$863)+N(E200)*SUMIF(Test_Times!$E$5:$E$863,C200&amp;"|"&amp;D200,Test_Times!$Q$5:$Q$863))</f>
        <v/>
      </c>
      <c r="J200" s="18" t="str">
        <f aca="false">IF(OR(H200="",N(I200)=0),"",H200/I200)</f>
        <v/>
      </c>
      <c r="K200" s="16"/>
    </row>
    <row r="201" customFormat="false" ht="15" hidden="false" customHeight="false" outlineLevel="0" collapsed="false">
      <c r="A201" s="23"/>
      <c r="B201" s="16"/>
      <c r="C201" s="16"/>
      <c r="D201" s="16"/>
      <c r="E201" s="16"/>
      <c r="F201" s="24"/>
      <c r="G201" s="24"/>
      <c r="H201" s="18" t="str">
        <f aca="false">IF(OR(F201="",G201=""),"",(G201-F201)*24)</f>
        <v/>
      </c>
      <c r="I201" s="18" t="str">
        <f aca="false">IF(C201="","",SUMIF(Test_Times!$E$5:$E$863,C201&amp;"|"&amp;D201,Test_Times!$L$5:$L$863)+N(E201)*SUMIF(Test_Times!$E$5:$E$863,C201&amp;"|"&amp;D201,Test_Times!$Q$5:$Q$863))</f>
        <v/>
      </c>
      <c r="J201" s="18" t="str">
        <f aca="false">IF(OR(H201="",N(I201)=0),"",H201/I201)</f>
        <v/>
      </c>
      <c r="K201" s="16"/>
    </row>
    <row r="202" customFormat="false" ht="15" hidden="false" customHeight="false" outlineLevel="0" collapsed="false">
      <c r="A202" s="23"/>
      <c r="B202" s="16"/>
      <c r="C202" s="16"/>
      <c r="D202" s="16"/>
      <c r="E202" s="16"/>
      <c r="F202" s="24"/>
      <c r="G202" s="24"/>
      <c r="H202" s="18" t="str">
        <f aca="false">IF(OR(F202="",G202=""),"",(G202-F202)*24)</f>
        <v/>
      </c>
      <c r="I202" s="18" t="str">
        <f aca="false">IF(C202="","",SUMIF(Test_Times!$E$5:$E$863,C202&amp;"|"&amp;D202,Test_Times!$L$5:$L$863)+N(E202)*SUMIF(Test_Times!$E$5:$E$863,C202&amp;"|"&amp;D202,Test_Times!$Q$5:$Q$863))</f>
        <v/>
      </c>
      <c r="J202" s="18" t="str">
        <f aca="false">IF(OR(H202="",N(I202)=0),"",H202/I202)</f>
        <v/>
      </c>
      <c r="K202" s="16"/>
    </row>
    <row r="203" customFormat="false" ht="15" hidden="false" customHeight="false" outlineLevel="0" collapsed="false">
      <c r="A203" s="23"/>
      <c r="B203" s="16"/>
      <c r="C203" s="16"/>
      <c r="D203" s="16"/>
      <c r="E203" s="16"/>
      <c r="F203" s="24"/>
      <c r="G203" s="24"/>
      <c r="H203" s="18" t="str">
        <f aca="false">IF(OR(F203="",G203=""),"",(G203-F203)*24)</f>
        <v/>
      </c>
      <c r="I203" s="18" t="str">
        <f aca="false">IF(C203="","",SUMIF(Test_Times!$E$5:$E$863,C203&amp;"|"&amp;D203,Test_Times!$L$5:$L$863)+N(E203)*SUMIF(Test_Times!$E$5:$E$863,C203&amp;"|"&amp;D203,Test_Times!$Q$5:$Q$863))</f>
        <v/>
      </c>
      <c r="J203" s="18" t="str">
        <f aca="false">IF(OR(H203="",N(I203)=0),"",H203/I203)</f>
        <v/>
      </c>
      <c r="K203" s="16"/>
    </row>
    <row r="204" customFormat="false" ht="15" hidden="false" customHeight="false" outlineLevel="0" collapsed="false">
      <c r="A204" s="23"/>
      <c r="B204" s="16"/>
      <c r="C204" s="16"/>
      <c r="D204" s="16"/>
      <c r="E204" s="16"/>
      <c r="F204" s="24"/>
      <c r="G204" s="24"/>
      <c r="H204" s="18" t="str">
        <f aca="false">IF(OR(F204="",G204=""),"",(G204-F204)*24)</f>
        <v/>
      </c>
      <c r="I204" s="18" t="str">
        <f aca="false">IF(C204="","",SUMIF(Test_Times!$E$5:$E$863,C204&amp;"|"&amp;D204,Test_Times!$L$5:$L$863)+N(E204)*SUMIF(Test_Times!$E$5:$E$863,C204&amp;"|"&amp;D204,Test_Times!$Q$5:$Q$863))</f>
        <v/>
      </c>
      <c r="J204" s="18" t="str">
        <f aca="false">IF(OR(H204="",N(I204)=0),"",H204/I204)</f>
        <v/>
      </c>
      <c r="K204" s="16"/>
    </row>
    <row r="205" customFormat="false" ht="15" hidden="false" customHeight="false" outlineLevel="0" collapsed="false">
      <c r="A205" s="23"/>
      <c r="B205" s="16"/>
      <c r="C205" s="16"/>
      <c r="D205" s="16"/>
      <c r="E205" s="16"/>
      <c r="F205" s="24"/>
      <c r="G205" s="24"/>
      <c r="H205" s="18" t="str">
        <f aca="false">IF(OR(F205="",G205=""),"",(G205-F205)*24)</f>
        <v/>
      </c>
      <c r="I205" s="18" t="str">
        <f aca="false">IF(C205="","",SUMIF(Test_Times!$E$5:$E$863,C205&amp;"|"&amp;D205,Test_Times!$L$5:$L$863)+N(E205)*SUMIF(Test_Times!$E$5:$E$863,C205&amp;"|"&amp;D205,Test_Times!$Q$5:$Q$863))</f>
        <v/>
      </c>
      <c r="J205" s="18" t="str">
        <f aca="false">IF(OR(H205="",N(I205)=0),"",H205/I205)</f>
        <v/>
      </c>
      <c r="K205" s="16"/>
    </row>
    <row r="206" customFormat="false" ht="15" hidden="false" customHeight="false" outlineLevel="0" collapsed="false">
      <c r="A206" s="23"/>
      <c r="B206" s="16"/>
      <c r="C206" s="16"/>
      <c r="D206" s="16"/>
      <c r="E206" s="16"/>
      <c r="F206" s="24"/>
      <c r="G206" s="24"/>
      <c r="H206" s="18" t="str">
        <f aca="false">IF(OR(F206="",G206=""),"",(G206-F206)*24)</f>
        <v/>
      </c>
      <c r="I206" s="18" t="str">
        <f aca="false">IF(C206="","",SUMIF(Test_Times!$E$5:$E$863,C206&amp;"|"&amp;D206,Test_Times!$L$5:$L$863)+N(E206)*SUMIF(Test_Times!$E$5:$E$863,C206&amp;"|"&amp;D206,Test_Times!$Q$5:$Q$863))</f>
        <v/>
      </c>
      <c r="J206" s="18" t="str">
        <f aca="false">IF(OR(H206="",N(I206)=0),"",H206/I206)</f>
        <v/>
      </c>
      <c r="K206" s="16"/>
    </row>
    <row r="207" customFormat="false" ht="15" hidden="false" customHeight="false" outlineLevel="0" collapsed="false">
      <c r="A207" s="23"/>
      <c r="B207" s="16"/>
      <c r="C207" s="16"/>
      <c r="D207" s="16"/>
      <c r="E207" s="16"/>
      <c r="F207" s="24"/>
      <c r="G207" s="24"/>
      <c r="H207" s="18" t="str">
        <f aca="false">IF(OR(F207="",G207=""),"",(G207-F207)*24)</f>
        <v/>
      </c>
      <c r="I207" s="18" t="str">
        <f aca="false">IF(C207="","",SUMIF(Test_Times!$E$5:$E$863,C207&amp;"|"&amp;D207,Test_Times!$L$5:$L$863)+N(E207)*SUMIF(Test_Times!$E$5:$E$863,C207&amp;"|"&amp;D207,Test_Times!$Q$5:$Q$863))</f>
        <v/>
      </c>
      <c r="J207" s="18" t="str">
        <f aca="false">IF(OR(H207="",N(I207)=0),"",H207/I207)</f>
        <v/>
      </c>
      <c r="K207" s="16"/>
    </row>
    <row r="208" customFormat="false" ht="15" hidden="false" customHeight="false" outlineLevel="0" collapsed="false">
      <c r="A208" s="23"/>
      <c r="B208" s="16"/>
      <c r="C208" s="16"/>
      <c r="D208" s="16"/>
      <c r="E208" s="16"/>
      <c r="F208" s="24"/>
      <c r="G208" s="24"/>
      <c r="H208" s="18" t="str">
        <f aca="false">IF(OR(F208="",G208=""),"",(G208-F208)*24)</f>
        <v/>
      </c>
      <c r="I208" s="18" t="str">
        <f aca="false">IF(C208="","",SUMIF(Test_Times!$E$5:$E$863,C208&amp;"|"&amp;D208,Test_Times!$L$5:$L$863)+N(E208)*SUMIF(Test_Times!$E$5:$E$863,C208&amp;"|"&amp;D208,Test_Times!$Q$5:$Q$863))</f>
        <v/>
      </c>
      <c r="J208" s="18" t="str">
        <f aca="false">IF(OR(H208="",N(I208)=0),"",H208/I208)</f>
        <v/>
      </c>
      <c r="K208" s="16"/>
    </row>
    <row r="209" customFormat="false" ht="15" hidden="false" customHeight="false" outlineLevel="0" collapsed="false">
      <c r="A209" s="23"/>
      <c r="B209" s="16"/>
      <c r="C209" s="16"/>
      <c r="D209" s="16"/>
      <c r="E209" s="16"/>
      <c r="F209" s="24"/>
      <c r="G209" s="24"/>
      <c r="H209" s="18" t="str">
        <f aca="false">IF(OR(F209="",G209=""),"",(G209-F209)*24)</f>
        <v/>
      </c>
      <c r="I209" s="18" t="str">
        <f aca="false">IF(C209="","",SUMIF(Test_Times!$E$5:$E$863,C209&amp;"|"&amp;D209,Test_Times!$L$5:$L$863)+N(E209)*SUMIF(Test_Times!$E$5:$E$863,C209&amp;"|"&amp;D209,Test_Times!$Q$5:$Q$863))</f>
        <v/>
      </c>
      <c r="J209" s="18" t="str">
        <f aca="false">IF(OR(H209="",N(I209)=0),"",H209/I209)</f>
        <v/>
      </c>
      <c r="K209" s="16"/>
    </row>
    <row r="210" customFormat="false" ht="15" hidden="false" customHeight="false" outlineLevel="0" collapsed="false">
      <c r="A210" s="23"/>
      <c r="B210" s="16"/>
      <c r="C210" s="16"/>
      <c r="D210" s="16"/>
      <c r="E210" s="16"/>
      <c r="F210" s="24"/>
      <c r="G210" s="24"/>
      <c r="H210" s="18" t="str">
        <f aca="false">IF(OR(F210="",G210=""),"",(G210-F210)*24)</f>
        <v/>
      </c>
      <c r="I210" s="18" t="str">
        <f aca="false">IF(C210="","",SUMIF(Test_Times!$E$5:$E$863,C210&amp;"|"&amp;D210,Test_Times!$L$5:$L$863)+N(E210)*SUMIF(Test_Times!$E$5:$E$863,C210&amp;"|"&amp;D210,Test_Times!$Q$5:$Q$863))</f>
        <v/>
      </c>
      <c r="J210" s="18" t="str">
        <f aca="false">IF(OR(H210="",N(I210)=0),"",H210/I210)</f>
        <v/>
      </c>
      <c r="K210" s="16"/>
    </row>
    <row r="211" customFormat="false" ht="15" hidden="false" customHeight="false" outlineLevel="0" collapsed="false">
      <c r="A211" s="23"/>
      <c r="B211" s="16"/>
      <c r="C211" s="16"/>
      <c r="D211" s="16"/>
      <c r="E211" s="16"/>
      <c r="F211" s="24"/>
      <c r="G211" s="24"/>
      <c r="H211" s="18" t="str">
        <f aca="false">IF(OR(F211="",G211=""),"",(G211-F211)*24)</f>
        <v/>
      </c>
      <c r="I211" s="18" t="str">
        <f aca="false">IF(C211="","",SUMIF(Test_Times!$E$5:$E$863,C211&amp;"|"&amp;D211,Test_Times!$L$5:$L$863)+N(E211)*SUMIF(Test_Times!$E$5:$E$863,C211&amp;"|"&amp;D211,Test_Times!$Q$5:$Q$863))</f>
        <v/>
      </c>
      <c r="J211" s="18" t="str">
        <f aca="false">IF(OR(H211="",N(I211)=0),"",H211/I211)</f>
        <v/>
      </c>
      <c r="K211" s="16"/>
    </row>
    <row r="212" customFormat="false" ht="15" hidden="false" customHeight="false" outlineLevel="0" collapsed="false">
      <c r="A212" s="23"/>
      <c r="B212" s="16"/>
      <c r="C212" s="16"/>
      <c r="D212" s="16"/>
      <c r="E212" s="16"/>
      <c r="F212" s="24"/>
      <c r="G212" s="24"/>
      <c r="H212" s="18" t="str">
        <f aca="false">IF(OR(F212="",G212=""),"",(G212-F212)*24)</f>
        <v/>
      </c>
      <c r="I212" s="18" t="str">
        <f aca="false">IF(C212="","",SUMIF(Test_Times!$E$5:$E$863,C212&amp;"|"&amp;D212,Test_Times!$L$5:$L$863)+N(E212)*SUMIF(Test_Times!$E$5:$E$863,C212&amp;"|"&amp;D212,Test_Times!$Q$5:$Q$863))</f>
        <v/>
      </c>
      <c r="J212" s="18" t="str">
        <f aca="false">IF(OR(H212="",N(I212)=0),"",H212/I212)</f>
        <v/>
      </c>
      <c r="K212" s="16"/>
    </row>
    <row r="213" customFormat="false" ht="15" hidden="false" customHeight="false" outlineLevel="0" collapsed="false">
      <c r="A213" s="23"/>
      <c r="B213" s="16"/>
      <c r="C213" s="16"/>
      <c r="D213" s="16"/>
      <c r="E213" s="16"/>
      <c r="F213" s="24"/>
      <c r="G213" s="24"/>
      <c r="H213" s="18" t="str">
        <f aca="false">IF(OR(F213="",G213=""),"",(G213-F213)*24)</f>
        <v/>
      </c>
      <c r="I213" s="18" t="str">
        <f aca="false">IF(C213="","",SUMIF(Test_Times!$E$5:$E$863,C213&amp;"|"&amp;D213,Test_Times!$L$5:$L$863)+N(E213)*SUMIF(Test_Times!$E$5:$E$863,C213&amp;"|"&amp;D213,Test_Times!$Q$5:$Q$863))</f>
        <v/>
      </c>
      <c r="J213" s="18" t="str">
        <f aca="false">IF(OR(H213="",N(I213)=0),"",H213/I213)</f>
        <v/>
      </c>
      <c r="K213" s="16"/>
    </row>
    <row r="214" customFormat="false" ht="15" hidden="false" customHeight="false" outlineLevel="0" collapsed="false">
      <c r="A214" s="23"/>
      <c r="B214" s="16"/>
      <c r="C214" s="16"/>
      <c r="D214" s="16"/>
      <c r="E214" s="16"/>
      <c r="F214" s="24"/>
      <c r="G214" s="24"/>
      <c r="H214" s="18" t="str">
        <f aca="false">IF(OR(F214="",G214=""),"",(G214-F214)*24)</f>
        <v/>
      </c>
      <c r="I214" s="18" t="str">
        <f aca="false">IF(C214="","",SUMIF(Test_Times!$E$5:$E$863,C214&amp;"|"&amp;D214,Test_Times!$L$5:$L$863)+N(E214)*SUMIF(Test_Times!$E$5:$E$863,C214&amp;"|"&amp;D214,Test_Times!$Q$5:$Q$863))</f>
        <v/>
      </c>
      <c r="J214" s="18" t="str">
        <f aca="false">IF(OR(H214="",N(I214)=0),"",H214/I214)</f>
        <v/>
      </c>
      <c r="K214" s="16"/>
    </row>
    <row r="215" customFormat="false" ht="15" hidden="false" customHeight="false" outlineLevel="0" collapsed="false">
      <c r="A215" s="23"/>
      <c r="B215" s="16"/>
      <c r="C215" s="16"/>
      <c r="D215" s="16"/>
      <c r="E215" s="16"/>
      <c r="F215" s="24"/>
      <c r="G215" s="24"/>
      <c r="H215" s="18" t="str">
        <f aca="false">IF(OR(F215="",G215=""),"",(G215-F215)*24)</f>
        <v/>
      </c>
      <c r="I215" s="18" t="str">
        <f aca="false">IF(C215="","",SUMIF(Test_Times!$E$5:$E$863,C215&amp;"|"&amp;D215,Test_Times!$L$5:$L$863)+N(E215)*SUMIF(Test_Times!$E$5:$E$863,C215&amp;"|"&amp;D215,Test_Times!$Q$5:$Q$863))</f>
        <v/>
      </c>
      <c r="J215" s="18" t="str">
        <f aca="false">IF(OR(H215="",N(I215)=0),"",H215/I215)</f>
        <v/>
      </c>
      <c r="K215" s="16"/>
    </row>
    <row r="216" customFormat="false" ht="15" hidden="false" customHeight="false" outlineLevel="0" collapsed="false">
      <c r="A216" s="23"/>
      <c r="B216" s="16"/>
      <c r="C216" s="16"/>
      <c r="D216" s="16"/>
      <c r="E216" s="16"/>
      <c r="F216" s="24"/>
      <c r="G216" s="24"/>
      <c r="H216" s="18" t="str">
        <f aca="false">IF(OR(F216="",G216=""),"",(G216-F216)*24)</f>
        <v/>
      </c>
      <c r="I216" s="18" t="str">
        <f aca="false">IF(C216="","",SUMIF(Test_Times!$E$5:$E$863,C216&amp;"|"&amp;D216,Test_Times!$L$5:$L$863)+N(E216)*SUMIF(Test_Times!$E$5:$E$863,C216&amp;"|"&amp;D216,Test_Times!$Q$5:$Q$863))</f>
        <v/>
      </c>
      <c r="J216" s="18" t="str">
        <f aca="false">IF(OR(H216="",N(I216)=0),"",H216/I216)</f>
        <v/>
      </c>
      <c r="K216" s="16"/>
    </row>
    <row r="217" customFormat="false" ht="15" hidden="false" customHeight="false" outlineLevel="0" collapsed="false">
      <c r="A217" s="23"/>
      <c r="B217" s="16"/>
      <c r="C217" s="16"/>
      <c r="D217" s="16"/>
      <c r="E217" s="16"/>
      <c r="F217" s="24"/>
      <c r="G217" s="24"/>
      <c r="H217" s="18" t="str">
        <f aca="false">IF(OR(F217="",G217=""),"",(G217-F217)*24)</f>
        <v/>
      </c>
      <c r="I217" s="18" t="str">
        <f aca="false">IF(C217="","",SUMIF(Test_Times!$E$5:$E$863,C217&amp;"|"&amp;D217,Test_Times!$L$5:$L$863)+N(E217)*SUMIF(Test_Times!$E$5:$E$863,C217&amp;"|"&amp;D217,Test_Times!$Q$5:$Q$863))</f>
        <v/>
      </c>
      <c r="J217" s="18" t="str">
        <f aca="false">IF(OR(H217="",N(I217)=0),"",H217/I217)</f>
        <v/>
      </c>
      <c r="K217" s="16"/>
    </row>
    <row r="218" customFormat="false" ht="15" hidden="false" customHeight="false" outlineLevel="0" collapsed="false">
      <c r="A218" s="23"/>
      <c r="B218" s="16"/>
      <c r="C218" s="16"/>
      <c r="D218" s="16"/>
      <c r="E218" s="16"/>
      <c r="F218" s="24"/>
      <c r="G218" s="24"/>
      <c r="H218" s="18" t="str">
        <f aca="false">IF(OR(F218="",G218=""),"",(G218-F218)*24)</f>
        <v/>
      </c>
      <c r="I218" s="18" t="str">
        <f aca="false">IF(C218="","",SUMIF(Test_Times!$E$5:$E$863,C218&amp;"|"&amp;D218,Test_Times!$L$5:$L$863)+N(E218)*SUMIF(Test_Times!$E$5:$E$863,C218&amp;"|"&amp;D218,Test_Times!$Q$5:$Q$863))</f>
        <v/>
      </c>
      <c r="J218" s="18" t="str">
        <f aca="false">IF(OR(H218="",N(I218)=0),"",H218/I218)</f>
        <v/>
      </c>
      <c r="K218" s="16"/>
    </row>
    <row r="219" customFormat="false" ht="15" hidden="false" customHeight="false" outlineLevel="0" collapsed="false">
      <c r="A219" s="23"/>
      <c r="B219" s="16"/>
      <c r="C219" s="16"/>
      <c r="D219" s="16"/>
      <c r="E219" s="16"/>
      <c r="F219" s="24"/>
      <c r="G219" s="24"/>
      <c r="H219" s="18" t="str">
        <f aca="false">IF(OR(F219="",G219=""),"",(G219-F219)*24)</f>
        <v/>
      </c>
      <c r="I219" s="18" t="str">
        <f aca="false">IF(C219="","",SUMIF(Test_Times!$E$5:$E$863,C219&amp;"|"&amp;D219,Test_Times!$L$5:$L$863)+N(E219)*SUMIF(Test_Times!$E$5:$E$863,C219&amp;"|"&amp;D219,Test_Times!$Q$5:$Q$863))</f>
        <v/>
      </c>
      <c r="J219" s="18" t="str">
        <f aca="false">IF(OR(H219="",N(I219)=0),"",H219/I219)</f>
        <v/>
      </c>
      <c r="K219" s="16"/>
    </row>
    <row r="220" customFormat="false" ht="15" hidden="false" customHeight="false" outlineLevel="0" collapsed="false">
      <c r="A220" s="23"/>
      <c r="B220" s="16"/>
      <c r="C220" s="16"/>
      <c r="D220" s="16"/>
      <c r="E220" s="16"/>
      <c r="F220" s="24"/>
      <c r="G220" s="24"/>
      <c r="H220" s="18" t="str">
        <f aca="false">IF(OR(F220="",G220=""),"",(G220-F220)*24)</f>
        <v/>
      </c>
      <c r="I220" s="18" t="str">
        <f aca="false">IF(C220="","",SUMIF(Test_Times!$E$5:$E$863,C220&amp;"|"&amp;D220,Test_Times!$L$5:$L$863)+N(E220)*SUMIF(Test_Times!$E$5:$E$863,C220&amp;"|"&amp;D220,Test_Times!$Q$5:$Q$863))</f>
        <v/>
      </c>
      <c r="J220" s="18" t="str">
        <f aca="false">IF(OR(H220="",N(I220)=0),"",H220/I220)</f>
        <v/>
      </c>
      <c r="K220" s="16"/>
    </row>
    <row r="221" customFormat="false" ht="15" hidden="false" customHeight="false" outlineLevel="0" collapsed="false">
      <c r="A221" s="23"/>
      <c r="B221" s="16"/>
      <c r="C221" s="16"/>
      <c r="D221" s="16"/>
      <c r="E221" s="16"/>
      <c r="F221" s="24"/>
      <c r="G221" s="24"/>
      <c r="H221" s="18" t="str">
        <f aca="false">IF(OR(F221="",G221=""),"",(G221-F221)*24)</f>
        <v/>
      </c>
      <c r="I221" s="18" t="str">
        <f aca="false">IF(C221="","",SUMIF(Test_Times!$E$5:$E$863,C221&amp;"|"&amp;D221,Test_Times!$L$5:$L$863)+N(E221)*SUMIF(Test_Times!$E$5:$E$863,C221&amp;"|"&amp;D221,Test_Times!$Q$5:$Q$863))</f>
        <v/>
      </c>
      <c r="J221" s="18" t="str">
        <f aca="false">IF(OR(H221="",N(I221)=0),"",H221/I221)</f>
        <v/>
      </c>
      <c r="K221" s="16"/>
    </row>
    <row r="222" customFormat="false" ht="15" hidden="false" customHeight="false" outlineLevel="0" collapsed="false">
      <c r="A222" s="23"/>
      <c r="B222" s="16"/>
      <c r="C222" s="16"/>
      <c r="D222" s="16"/>
      <c r="E222" s="16"/>
      <c r="F222" s="24"/>
      <c r="G222" s="24"/>
      <c r="H222" s="18" t="str">
        <f aca="false">IF(OR(F222="",G222=""),"",(G222-F222)*24)</f>
        <v/>
      </c>
      <c r="I222" s="18" t="str">
        <f aca="false">IF(C222="","",SUMIF(Test_Times!$E$5:$E$863,C222&amp;"|"&amp;D222,Test_Times!$L$5:$L$863)+N(E222)*SUMIF(Test_Times!$E$5:$E$863,C222&amp;"|"&amp;D222,Test_Times!$Q$5:$Q$863))</f>
        <v/>
      </c>
      <c r="J222" s="18" t="str">
        <f aca="false">IF(OR(H222="",N(I222)=0),"",H222/I222)</f>
        <v/>
      </c>
      <c r="K222" s="16"/>
    </row>
    <row r="223" customFormat="false" ht="15" hidden="false" customHeight="false" outlineLevel="0" collapsed="false">
      <c r="A223" s="23"/>
      <c r="B223" s="16"/>
      <c r="C223" s="16"/>
      <c r="D223" s="16"/>
      <c r="E223" s="16"/>
      <c r="F223" s="24"/>
      <c r="G223" s="24"/>
      <c r="H223" s="18" t="str">
        <f aca="false">IF(OR(F223="",G223=""),"",(G223-F223)*24)</f>
        <v/>
      </c>
      <c r="I223" s="18" t="str">
        <f aca="false">IF(C223="","",SUMIF(Test_Times!$E$5:$E$863,C223&amp;"|"&amp;D223,Test_Times!$L$5:$L$863)+N(E223)*SUMIF(Test_Times!$E$5:$E$863,C223&amp;"|"&amp;D223,Test_Times!$Q$5:$Q$863))</f>
        <v/>
      </c>
      <c r="J223" s="18" t="str">
        <f aca="false">IF(OR(H223="",N(I223)=0),"",H223/I223)</f>
        <v/>
      </c>
      <c r="K223" s="16"/>
    </row>
    <row r="224" customFormat="false" ht="15" hidden="false" customHeight="false" outlineLevel="0" collapsed="false">
      <c r="A224" s="23"/>
      <c r="B224" s="16"/>
      <c r="C224" s="16"/>
      <c r="D224" s="16"/>
      <c r="E224" s="16"/>
      <c r="F224" s="24"/>
      <c r="G224" s="24"/>
      <c r="H224" s="18" t="str">
        <f aca="false">IF(OR(F224="",G224=""),"",(G224-F224)*24)</f>
        <v/>
      </c>
      <c r="I224" s="18" t="str">
        <f aca="false">IF(C224="","",SUMIF(Test_Times!$E$5:$E$863,C224&amp;"|"&amp;D224,Test_Times!$L$5:$L$863)+N(E224)*SUMIF(Test_Times!$E$5:$E$863,C224&amp;"|"&amp;D224,Test_Times!$Q$5:$Q$863))</f>
        <v/>
      </c>
      <c r="J224" s="18" t="str">
        <f aca="false">IF(OR(H224="",N(I224)=0),"",H224/I224)</f>
        <v/>
      </c>
      <c r="K224" s="16"/>
    </row>
    <row r="225" customFormat="false" ht="15" hidden="false" customHeight="false" outlineLevel="0" collapsed="false">
      <c r="A225" s="23"/>
      <c r="B225" s="16"/>
      <c r="C225" s="16"/>
      <c r="D225" s="16"/>
      <c r="E225" s="16"/>
      <c r="F225" s="24"/>
      <c r="G225" s="24"/>
      <c r="H225" s="18" t="str">
        <f aca="false">IF(OR(F225="",G225=""),"",(G225-F225)*24)</f>
        <v/>
      </c>
      <c r="I225" s="18" t="str">
        <f aca="false">IF(C225="","",SUMIF(Test_Times!$E$5:$E$863,C225&amp;"|"&amp;D225,Test_Times!$L$5:$L$863)+N(E225)*SUMIF(Test_Times!$E$5:$E$863,C225&amp;"|"&amp;D225,Test_Times!$Q$5:$Q$863))</f>
        <v/>
      </c>
      <c r="J225" s="18" t="str">
        <f aca="false">IF(OR(H225="",N(I225)=0),"",H225/I225)</f>
        <v/>
      </c>
      <c r="K225" s="16"/>
    </row>
    <row r="226" customFormat="false" ht="15" hidden="false" customHeight="false" outlineLevel="0" collapsed="false">
      <c r="A226" s="23"/>
      <c r="B226" s="16"/>
      <c r="C226" s="16"/>
      <c r="D226" s="16"/>
      <c r="E226" s="16"/>
      <c r="F226" s="24"/>
      <c r="G226" s="24"/>
      <c r="H226" s="18" t="str">
        <f aca="false">IF(OR(F226="",G226=""),"",(G226-F226)*24)</f>
        <v/>
      </c>
      <c r="I226" s="18" t="str">
        <f aca="false">IF(C226="","",SUMIF(Test_Times!$E$5:$E$863,C226&amp;"|"&amp;D226,Test_Times!$L$5:$L$863)+N(E226)*SUMIF(Test_Times!$E$5:$E$863,C226&amp;"|"&amp;D226,Test_Times!$Q$5:$Q$863))</f>
        <v/>
      </c>
      <c r="J226" s="18" t="str">
        <f aca="false">IF(OR(H226="",N(I226)=0),"",H226/I226)</f>
        <v/>
      </c>
      <c r="K226" s="16"/>
    </row>
    <row r="227" customFormat="false" ht="15" hidden="false" customHeight="false" outlineLevel="0" collapsed="false">
      <c r="A227" s="23"/>
      <c r="B227" s="16"/>
      <c r="C227" s="16"/>
      <c r="D227" s="16"/>
      <c r="E227" s="16"/>
      <c r="F227" s="24"/>
      <c r="G227" s="24"/>
      <c r="H227" s="18" t="str">
        <f aca="false">IF(OR(F227="",G227=""),"",(G227-F227)*24)</f>
        <v/>
      </c>
      <c r="I227" s="18" t="str">
        <f aca="false">IF(C227="","",SUMIF(Test_Times!$E$5:$E$863,C227&amp;"|"&amp;D227,Test_Times!$L$5:$L$863)+N(E227)*SUMIF(Test_Times!$E$5:$E$863,C227&amp;"|"&amp;D227,Test_Times!$Q$5:$Q$863))</f>
        <v/>
      </c>
      <c r="J227" s="18" t="str">
        <f aca="false">IF(OR(H227="",N(I227)=0),"",H227/I227)</f>
        <v/>
      </c>
      <c r="K227" s="16"/>
    </row>
    <row r="228" customFormat="false" ht="15" hidden="false" customHeight="false" outlineLevel="0" collapsed="false">
      <c r="A228" s="23"/>
      <c r="B228" s="16"/>
      <c r="C228" s="16"/>
      <c r="D228" s="16"/>
      <c r="E228" s="16"/>
      <c r="F228" s="24"/>
      <c r="G228" s="24"/>
      <c r="H228" s="18" t="str">
        <f aca="false">IF(OR(F228="",G228=""),"",(G228-F228)*24)</f>
        <v/>
      </c>
      <c r="I228" s="18" t="str">
        <f aca="false">IF(C228="","",SUMIF(Test_Times!$E$5:$E$863,C228&amp;"|"&amp;D228,Test_Times!$L$5:$L$863)+N(E228)*SUMIF(Test_Times!$E$5:$E$863,C228&amp;"|"&amp;D228,Test_Times!$Q$5:$Q$863))</f>
        <v/>
      </c>
      <c r="J228" s="18" t="str">
        <f aca="false">IF(OR(H228="",N(I228)=0),"",H228/I228)</f>
        <v/>
      </c>
      <c r="K228" s="16"/>
    </row>
    <row r="229" customFormat="false" ht="15" hidden="false" customHeight="false" outlineLevel="0" collapsed="false">
      <c r="A229" s="23"/>
      <c r="B229" s="16"/>
      <c r="C229" s="16"/>
      <c r="D229" s="16"/>
      <c r="E229" s="16"/>
      <c r="F229" s="24"/>
      <c r="G229" s="24"/>
      <c r="H229" s="18" t="str">
        <f aca="false">IF(OR(F229="",G229=""),"",(G229-F229)*24)</f>
        <v/>
      </c>
      <c r="I229" s="18" t="str">
        <f aca="false">IF(C229="","",SUMIF(Test_Times!$E$5:$E$863,C229&amp;"|"&amp;D229,Test_Times!$L$5:$L$863)+N(E229)*SUMIF(Test_Times!$E$5:$E$863,C229&amp;"|"&amp;D229,Test_Times!$Q$5:$Q$863))</f>
        <v/>
      </c>
      <c r="J229" s="18" t="str">
        <f aca="false">IF(OR(H229="",N(I229)=0),"",H229/I229)</f>
        <v/>
      </c>
      <c r="K229" s="16"/>
    </row>
    <row r="230" customFormat="false" ht="15" hidden="false" customHeight="false" outlineLevel="0" collapsed="false">
      <c r="A230" s="23"/>
      <c r="B230" s="16"/>
      <c r="C230" s="16"/>
      <c r="D230" s="16"/>
      <c r="E230" s="16"/>
      <c r="F230" s="24"/>
      <c r="G230" s="24"/>
      <c r="H230" s="18" t="str">
        <f aca="false">IF(OR(F230="",G230=""),"",(G230-F230)*24)</f>
        <v/>
      </c>
      <c r="I230" s="18" t="str">
        <f aca="false">IF(C230="","",SUMIF(Test_Times!$E$5:$E$863,C230&amp;"|"&amp;D230,Test_Times!$L$5:$L$863)+N(E230)*SUMIF(Test_Times!$E$5:$E$863,C230&amp;"|"&amp;D230,Test_Times!$Q$5:$Q$863))</f>
        <v/>
      </c>
      <c r="J230" s="18" t="str">
        <f aca="false">IF(OR(H230="",N(I230)=0),"",H230/I230)</f>
        <v/>
      </c>
      <c r="K230" s="16"/>
    </row>
    <row r="231" customFormat="false" ht="15" hidden="false" customHeight="false" outlineLevel="0" collapsed="false">
      <c r="A231" s="23"/>
      <c r="B231" s="16"/>
      <c r="C231" s="16"/>
      <c r="D231" s="16"/>
      <c r="E231" s="16"/>
      <c r="F231" s="24"/>
      <c r="G231" s="24"/>
      <c r="H231" s="18" t="str">
        <f aca="false">IF(OR(F231="",G231=""),"",(G231-F231)*24)</f>
        <v/>
      </c>
      <c r="I231" s="18" t="str">
        <f aca="false">IF(C231="","",SUMIF(Test_Times!$E$5:$E$863,C231&amp;"|"&amp;D231,Test_Times!$L$5:$L$863)+N(E231)*SUMIF(Test_Times!$E$5:$E$863,C231&amp;"|"&amp;D231,Test_Times!$Q$5:$Q$863))</f>
        <v/>
      </c>
      <c r="J231" s="18" t="str">
        <f aca="false">IF(OR(H231="",N(I231)=0),"",H231/I231)</f>
        <v/>
      </c>
      <c r="K231" s="16"/>
    </row>
    <row r="232" customFormat="false" ht="15" hidden="false" customHeight="false" outlineLevel="0" collapsed="false">
      <c r="A232" s="23"/>
      <c r="B232" s="16"/>
      <c r="C232" s="16"/>
      <c r="D232" s="16"/>
      <c r="E232" s="16"/>
      <c r="F232" s="24"/>
      <c r="G232" s="24"/>
      <c r="H232" s="18" t="str">
        <f aca="false">IF(OR(F232="",G232=""),"",(G232-F232)*24)</f>
        <v/>
      </c>
      <c r="I232" s="18" t="str">
        <f aca="false">IF(C232="","",SUMIF(Test_Times!$E$5:$E$863,C232&amp;"|"&amp;D232,Test_Times!$L$5:$L$863)+N(E232)*SUMIF(Test_Times!$E$5:$E$863,C232&amp;"|"&amp;D232,Test_Times!$Q$5:$Q$863))</f>
        <v/>
      </c>
      <c r="J232" s="18" t="str">
        <f aca="false">IF(OR(H232="",N(I232)=0),"",H232/I232)</f>
        <v/>
      </c>
      <c r="K232" s="16"/>
    </row>
    <row r="233" customFormat="false" ht="15" hidden="false" customHeight="false" outlineLevel="0" collapsed="false">
      <c r="A233" s="23"/>
      <c r="B233" s="16"/>
      <c r="C233" s="16"/>
      <c r="D233" s="16"/>
      <c r="E233" s="16"/>
      <c r="F233" s="24"/>
      <c r="G233" s="24"/>
      <c r="H233" s="18" t="str">
        <f aca="false">IF(OR(F233="",G233=""),"",(G233-F233)*24)</f>
        <v/>
      </c>
      <c r="I233" s="18" t="str">
        <f aca="false">IF(C233="","",SUMIF(Test_Times!$E$5:$E$863,C233&amp;"|"&amp;D233,Test_Times!$L$5:$L$863)+N(E233)*SUMIF(Test_Times!$E$5:$E$863,C233&amp;"|"&amp;D233,Test_Times!$Q$5:$Q$863))</f>
        <v/>
      </c>
      <c r="J233" s="18" t="str">
        <f aca="false">IF(OR(H233="",N(I233)=0),"",H233/I233)</f>
        <v/>
      </c>
      <c r="K233" s="16"/>
    </row>
    <row r="234" customFormat="false" ht="15" hidden="false" customHeight="false" outlineLevel="0" collapsed="false">
      <c r="A234" s="23"/>
      <c r="B234" s="16"/>
      <c r="C234" s="16"/>
      <c r="D234" s="16"/>
      <c r="E234" s="16"/>
      <c r="F234" s="24"/>
      <c r="G234" s="24"/>
      <c r="H234" s="18" t="str">
        <f aca="false">IF(OR(F234="",G234=""),"",(G234-F234)*24)</f>
        <v/>
      </c>
      <c r="I234" s="18" t="str">
        <f aca="false">IF(C234="","",SUMIF(Test_Times!$E$5:$E$863,C234&amp;"|"&amp;D234,Test_Times!$L$5:$L$863)+N(E234)*SUMIF(Test_Times!$E$5:$E$863,C234&amp;"|"&amp;D234,Test_Times!$Q$5:$Q$863))</f>
        <v/>
      </c>
      <c r="J234" s="18" t="str">
        <f aca="false">IF(OR(H234="",N(I234)=0),"",H234/I234)</f>
        <v/>
      </c>
      <c r="K234" s="16"/>
    </row>
    <row r="235" customFormat="false" ht="15" hidden="false" customHeight="false" outlineLevel="0" collapsed="false">
      <c r="A235" s="23"/>
      <c r="B235" s="16"/>
      <c r="C235" s="16"/>
      <c r="D235" s="16"/>
      <c r="E235" s="16"/>
      <c r="F235" s="24"/>
      <c r="G235" s="24"/>
      <c r="H235" s="18" t="str">
        <f aca="false">IF(OR(F235="",G235=""),"",(G235-F235)*24)</f>
        <v/>
      </c>
      <c r="I235" s="18" t="str">
        <f aca="false">IF(C235="","",SUMIF(Test_Times!$E$5:$E$863,C235&amp;"|"&amp;D235,Test_Times!$L$5:$L$863)+N(E235)*SUMIF(Test_Times!$E$5:$E$863,C235&amp;"|"&amp;D235,Test_Times!$Q$5:$Q$863))</f>
        <v/>
      </c>
      <c r="J235" s="18" t="str">
        <f aca="false">IF(OR(H235="",N(I235)=0),"",H235/I235)</f>
        <v/>
      </c>
      <c r="K235" s="16"/>
    </row>
    <row r="236" customFormat="false" ht="15" hidden="false" customHeight="false" outlineLevel="0" collapsed="false">
      <c r="A236" s="23"/>
      <c r="B236" s="16"/>
      <c r="C236" s="16"/>
      <c r="D236" s="16"/>
      <c r="E236" s="16"/>
      <c r="F236" s="24"/>
      <c r="G236" s="24"/>
      <c r="H236" s="18" t="str">
        <f aca="false">IF(OR(F236="",G236=""),"",(G236-F236)*24)</f>
        <v/>
      </c>
      <c r="I236" s="18" t="str">
        <f aca="false">IF(C236="","",SUMIF(Test_Times!$E$5:$E$863,C236&amp;"|"&amp;D236,Test_Times!$L$5:$L$863)+N(E236)*SUMIF(Test_Times!$E$5:$E$863,C236&amp;"|"&amp;D236,Test_Times!$Q$5:$Q$863))</f>
        <v/>
      </c>
      <c r="J236" s="18" t="str">
        <f aca="false">IF(OR(H236="",N(I236)=0),"",H236/I236)</f>
        <v/>
      </c>
      <c r="K236" s="16"/>
    </row>
    <row r="237" customFormat="false" ht="15" hidden="false" customHeight="false" outlineLevel="0" collapsed="false">
      <c r="A237" s="23"/>
      <c r="B237" s="16"/>
      <c r="C237" s="16"/>
      <c r="D237" s="16"/>
      <c r="E237" s="16"/>
      <c r="F237" s="24"/>
      <c r="G237" s="24"/>
      <c r="H237" s="18" t="str">
        <f aca="false">IF(OR(F237="",G237=""),"",(G237-F237)*24)</f>
        <v/>
      </c>
      <c r="I237" s="18" t="str">
        <f aca="false">IF(C237="","",SUMIF(Test_Times!$E$5:$E$863,C237&amp;"|"&amp;D237,Test_Times!$L$5:$L$863)+N(E237)*SUMIF(Test_Times!$E$5:$E$863,C237&amp;"|"&amp;D237,Test_Times!$Q$5:$Q$863))</f>
        <v/>
      </c>
      <c r="J237" s="18" t="str">
        <f aca="false">IF(OR(H237="",N(I237)=0),"",H237/I237)</f>
        <v/>
      </c>
      <c r="K237" s="16"/>
    </row>
    <row r="238" customFormat="false" ht="15" hidden="false" customHeight="false" outlineLevel="0" collapsed="false">
      <c r="A238" s="23"/>
      <c r="B238" s="16"/>
      <c r="C238" s="16"/>
      <c r="D238" s="16"/>
      <c r="E238" s="16"/>
      <c r="F238" s="24"/>
      <c r="G238" s="24"/>
      <c r="H238" s="18" t="str">
        <f aca="false">IF(OR(F238="",G238=""),"",(G238-F238)*24)</f>
        <v/>
      </c>
      <c r="I238" s="18" t="str">
        <f aca="false">IF(C238="","",SUMIF(Test_Times!$E$5:$E$863,C238&amp;"|"&amp;D238,Test_Times!$L$5:$L$863)+N(E238)*SUMIF(Test_Times!$E$5:$E$863,C238&amp;"|"&amp;D238,Test_Times!$Q$5:$Q$863))</f>
        <v/>
      </c>
      <c r="J238" s="18" t="str">
        <f aca="false">IF(OR(H238="",N(I238)=0),"",H238/I238)</f>
        <v/>
      </c>
      <c r="K238" s="16"/>
    </row>
    <row r="239" customFormat="false" ht="15" hidden="false" customHeight="false" outlineLevel="0" collapsed="false">
      <c r="A239" s="23"/>
      <c r="B239" s="16"/>
      <c r="C239" s="16"/>
      <c r="D239" s="16"/>
      <c r="E239" s="16"/>
      <c r="F239" s="24"/>
      <c r="G239" s="24"/>
      <c r="H239" s="18" t="str">
        <f aca="false">IF(OR(F239="",G239=""),"",(G239-F239)*24)</f>
        <v/>
      </c>
      <c r="I239" s="18" t="str">
        <f aca="false">IF(C239="","",SUMIF(Test_Times!$E$5:$E$863,C239&amp;"|"&amp;D239,Test_Times!$L$5:$L$863)+N(E239)*SUMIF(Test_Times!$E$5:$E$863,C239&amp;"|"&amp;D239,Test_Times!$Q$5:$Q$863))</f>
        <v/>
      </c>
      <c r="J239" s="18" t="str">
        <f aca="false">IF(OR(H239="",N(I239)=0),"",H239/I239)</f>
        <v/>
      </c>
      <c r="K239" s="16"/>
    </row>
    <row r="240" customFormat="false" ht="15" hidden="false" customHeight="false" outlineLevel="0" collapsed="false">
      <c r="A240" s="23"/>
      <c r="B240" s="16"/>
      <c r="C240" s="16"/>
      <c r="D240" s="16"/>
      <c r="E240" s="16"/>
      <c r="F240" s="24"/>
      <c r="G240" s="24"/>
      <c r="H240" s="18" t="str">
        <f aca="false">IF(OR(F240="",G240=""),"",(G240-F240)*24)</f>
        <v/>
      </c>
      <c r="I240" s="18" t="str">
        <f aca="false">IF(C240="","",SUMIF(Test_Times!$E$5:$E$863,C240&amp;"|"&amp;D240,Test_Times!$L$5:$L$863)+N(E240)*SUMIF(Test_Times!$E$5:$E$863,C240&amp;"|"&amp;D240,Test_Times!$Q$5:$Q$863))</f>
        <v/>
      </c>
      <c r="J240" s="18" t="str">
        <f aca="false">IF(OR(H240="",N(I240)=0),"",H240/I240)</f>
        <v/>
      </c>
      <c r="K240" s="16"/>
    </row>
    <row r="241" customFormat="false" ht="15" hidden="false" customHeight="false" outlineLevel="0" collapsed="false">
      <c r="A241" s="23"/>
      <c r="B241" s="16"/>
      <c r="C241" s="16"/>
      <c r="D241" s="16"/>
      <c r="E241" s="16"/>
      <c r="F241" s="24"/>
      <c r="G241" s="24"/>
      <c r="H241" s="18" t="str">
        <f aca="false">IF(OR(F241="",G241=""),"",(G241-F241)*24)</f>
        <v/>
      </c>
      <c r="I241" s="18" t="str">
        <f aca="false">IF(C241="","",SUMIF(Test_Times!$E$5:$E$863,C241&amp;"|"&amp;D241,Test_Times!$L$5:$L$863)+N(E241)*SUMIF(Test_Times!$E$5:$E$863,C241&amp;"|"&amp;D241,Test_Times!$Q$5:$Q$863))</f>
        <v/>
      </c>
      <c r="J241" s="18" t="str">
        <f aca="false">IF(OR(H241="",N(I241)=0),"",H241/I241)</f>
        <v/>
      </c>
      <c r="K241" s="16"/>
    </row>
    <row r="242" customFormat="false" ht="15" hidden="false" customHeight="false" outlineLevel="0" collapsed="false">
      <c r="A242" s="23"/>
      <c r="B242" s="16"/>
      <c r="C242" s="16"/>
      <c r="D242" s="16"/>
      <c r="E242" s="16"/>
      <c r="F242" s="24"/>
      <c r="G242" s="24"/>
      <c r="H242" s="18" t="str">
        <f aca="false">IF(OR(F242="",G242=""),"",(G242-F242)*24)</f>
        <v/>
      </c>
      <c r="I242" s="18" t="str">
        <f aca="false">IF(C242="","",SUMIF(Test_Times!$E$5:$E$863,C242&amp;"|"&amp;D242,Test_Times!$L$5:$L$863)+N(E242)*SUMIF(Test_Times!$E$5:$E$863,C242&amp;"|"&amp;D242,Test_Times!$Q$5:$Q$863))</f>
        <v/>
      </c>
      <c r="J242" s="18" t="str">
        <f aca="false">IF(OR(H242="",N(I242)=0),"",H242/I242)</f>
        <v/>
      </c>
      <c r="K242" s="16"/>
    </row>
    <row r="243" customFormat="false" ht="15" hidden="false" customHeight="false" outlineLevel="0" collapsed="false">
      <c r="A243" s="23"/>
      <c r="B243" s="16"/>
      <c r="C243" s="16"/>
      <c r="D243" s="16"/>
      <c r="E243" s="16"/>
      <c r="F243" s="24"/>
      <c r="G243" s="24"/>
      <c r="H243" s="18" t="str">
        <f aca="false">IF(OR(F243="",G243=""),"",(G243-F243)*24)</f>
        <v/>
      </c>
      <c r="I243" s="18" t="str">
        <f aca="false">IF(C243="","",SUMIF(Test_Times!$E$5:$E$863,C243&amp;"|"&amp;D243,Test_Times!$L$5:$L$863)+N(E243)*SUMIF(Test_Times!$E$5:$E$863,C243&amp;"|"&amp;D243,Test_Times!$Q$5:$Q$863))</f>
        <v/>
      </c>
      <c r="J243" s="18" t="str">
        <f aca="false">IF(OR(H243="",N(I243)=0),"",H243/I243)</f>
        <v/>
      </c>
      <c r="K243" s="16"/>
    </row>
    <row r="244" customFormat="false" ht="15" hidden="false" customHeight="false" outlineLevel="0" collapsed="false">
      <c r="A244" s="23"/>
      <c r="B244" s="16"/>
      <c r="C244" s="16"/>
      <c r="D244" s="16"/>
      <c r="E244" s="16"/>
      <c r="F244" s="24"/>
      <c r="G244" s="24"/>
      <c r="H244" s="18" t="str">
        <f aca="false">IF(OR(F244="",G244=""),"",(G244-F244)*24)</f>
        <v/>
      </c>
      <c r="I244" s="18" t="str">
        <f aca="false">IF(C244="","",SUMIF(Test_Times!$E$5:$E$863,C244&amp;"|"&amp;D244,Test_Times!$L$5:$L$863)+N(E244)*SUMIF(Test_Times!$E$5:$E$863,C244&amp;"|"&amp;D244,Test_Times!$Q$5:$Q$863))</f>
        <v/>
      </c>
      <c r="J244" s="18" t="str">
        <f aca="false">IF(OR(H244="",N(I244)=0),"",H244/I244)</f>
        <v/>
      </c>
      <c r="K244" s="16"/>
    </row>
    <row r="245" customFormat="false" ht="15" hidden="false" customHeight="false" outlineLevel="0" collapsed="false">
      <c r="A245" s="23"/>
      <c r="B245" s="16"/>
      <c r="C245" s="16"/>
      <c r="D245" s="16"/>
      <c r="E245" s="16"/>
      <c r="F245" s="24"/>
      <c r="G245" s="24"/>
      <c r="H245" s="18" t="str">
        <f aca="false">IF(OR(F245="",G245=""),"",(G245-F245)*24)</f>
        <v/>
      </c>
      <c r="I245" s="18" t="str">
        <f aca="false">IF(C245="","",SUMIF(Test_Times!$E$5:$E$863,C245&amp;"|"&amp;D245,Test_Times!$L$5:$L$863)+N(E245)*SUMIF(Test_Times!$E$5:$E$863,C245&amp;"|"&amp;D245,Test_Times!$Q$5:$Q$863))</f>
        <v/>
      </c>
      <c r="J245" s="18" t="str">
        <f aca="false">IF(OR(H245="",N(I245)=0),"",H245/I245)</f>
        <v/>
      </c>
      <c r="K245" s="16"/>
    </row>
    <row r="246" customFormat="false" ht="15" hidden="false" customHeight="false" outlineLevel="0" collapsed="false">
      <c r="A246" s="23"/>
      <c r="B246" s="16"/>
      <c r="C246" s="16"/>
      <c r="D246" s="16"/>
      <c r="E246" s="16"/>
      <c r="F246" s="24"/>
      <c r="G246" s="24"/>
      <c r="H246" s="18" t="str">
        <f aca="false">IF(OR(F246="",G246=""),"",(G246-F246)*24)</f>
        <v/>
      </c>
      <c r="I246" s="18" t="str">
        <f aca="false">IF(C246="","",SUMIF(Test_Times!$E$5:$E$863,C246&amp;"|"&amp;D246,Test_Times!$L$5:$L$863)+N(E246)*SUMIF(Test_Times!$E$5:$E$863,C246&amp;"|"&amp;D246,Test_Times!$Q$5:$Q$863))</f>
        <v/>
      </c>
      <c r="J246" s="18" t="str">
        <f aca="false">IF(OR(H246="",N(I246)=0),"",H246/I246)</f>
        <v/>
      </c>
      <c r="K246" s="16"/>
    </row>
    <row r="247" customFormat="false" ht="15" hidden="false" customHeight="false" outlineLevel="0" collapsed="false">
      <c r="A247" s="23"/>
      <c r="B247" s="16"/>
      <c r="C247" s="16"/>
      <c r="D247" s="16"/>
      <c r="E247" s="16"/>
      <c r="F247" s="24"/>
      <c r="G247" s="24"/>
      <c r="H247" s="18" t="str">
        <f aca="false">IF(OR(F247="",G247=""),"",(G247-F247)*24)</f>
        <v/>
      </c>
      <c r="I247" s="18" t="str">
        <f aca="false">IF(C247="","",SUMIF(Test_Times!$E$5:$E$863,C247&amp;"|"&amp;D247,Test_Times!$L$5:$L$863)+N(E247)*SUMIF(Test_Times!$E$5:$E$863,C247&amp;"|"&amp;D247,Test_Times!$Q$5:$Q$863))</f>
        <v/>
      </c>
      <c r="J247" s="18" t="str">
        <f aca="false">IF(OR(H247="",N(I247)=0),"",H247/I247)</f>
        <v/>
      </c>
      <c r="K247" s="16"/>
    </row>
    <row r="248" customFormat="false" ht="15" hidden="false" customHeight="false" outlineLevel="0" collapsed="false">
      <c r="A248" s="23"/>
      <c r="B248" s="16"/>
      <c r="C248" s="16"/>
      <c r="D248" s="16"/>
      <c r="E248" s="16"/>
      <c r="F248" s="24"/>
      <c r="G248" s="24"/>
      <c r="H248" s="18" t="str">
        <f aca="false">IF(OR(F248="",G248=""),"",(G248-F248)*24)</f>
        <v/>
      </c>
      <c r="I248" s="18" t="str">
        <f aca="false">IF(C248="","",SUMIF(Test_Times!$E$5:$E$863,C248&amp;"|"&amp;D248,Test_Times!$L$5:$L$863)+N(E248)*SUMIF(Test_Times!$E$5:$E$863,C248&amp;"|"&amp;D248,Test_Times!$Q$5:$Q$863))</f>
        <v/>
      </c>
      <c r="J248" s="18" t="str">
        <f aca="false">IF(OR(H248="",N(I248)=0),"",H248/I248)</f>
        <v/>
      </c>
      <c r="K248" s="16"/>
    </row>
    <row r="249" customFormat="false" ht="15" hidden="false" customHeight="false" outlineLevel="0" collapsed="false">
      <c r="A249" s="23"/>
      <c r="B249" s="16"/>
      <c r="C249" s="16"/>
      <c r="D249" s="16"/>
      <c r="E249" s="16"/>
      <c r="F249" s="24"/>
      <c r="G249" s="24"/>
      <c r="H249" s="18" t="str">
        <f aca="false">IF(OR(F249="",G249=""),"",(G249-F249)*24)</f>
        <v/>
      </c>
      <c r="I249" s="18" t="str">
        <f aca="false">IF(C249="","",SUMIF(Test_Times!$E$5:$E$863,C249&amp;"|"&amp;D249,Test_Times!$L$5:$L$863)+N(E249)*SUMIF(Test_Times!$E$5:$E$863,C249&amp;"|"&amp;D249,Test_Times!$Q$5:$Q$863))</f>
        <v/>
      </c>
      <c r="J249" s="18" t="str">
        <f aca="false">IF(OR(H249="",N(I249)=0),"",H249/I249)</f>
        <v/>
      </c>
      <c r="K249" s="16"/>
    </row>
    <row r="250" customFormat="false" ht="15" hidden="false" customHeight="false" outlineLevel="0" collapsed="false">
      <c r="A250" s="23"/>
      <c r="B250" s="16"/>
      <c r="C250" s="16"/>
      <c r="D250" s="16"/>
      <c r="E250" s="16"/>
      <c r="F250" s="24"/>
      <c r="G250" s="24"/>
      <c r="H250" s="18" t="str">
        <f aca="false">IF(OR(F250="",G250=""),"",(G250-F250)*24)</f>
        <v/>
      </c>
      <c r="I250" s="18" t="str">
        <f aca="false">IF(C250="","",SUMIF(Test_Times!$E$5:$E$863,C250&amp;"|"&amp;D250,Test_Times!$L$5:$L$863)+N(E250)*SUMIF(Test_Times!$E$5:$E$863,C250&amp;"|"&amp;D250,Test_Times!$Q$5:$Q$863))</f>
        <v/>
      </c>
      <c r="J250" s="18" t="str">
        <f aca="false">IF(OR(H250="",N(I250)=0),"",H250/I250)</f>
        <v/>
      </c>
      <c r="K250" s="16"/>
    </row>
    <row r="251" customFormat="false" ht="15" hidden="false" customHeight="false" outlineLevel="0" collapsed="false">
      <c r="A251" s="23"/>
      <c r="B251" s="16"/>
      <c r="C251" s="16"/>
      <c r="D251" s="16"/>
      <c r="E251" s="16"/>
      <c r="F251" s="24"/>
      <c r="G251" s="24"/>
      <c r="H251" s="18" t="str">
        <f aca="false">IF(OR(F251="",G251=""),"",(G251-F251)*24)</f>
        <v/>
      </c>
      <c r="I251" s="18" t="str">
        <f aca="false">IF(C251="","",SUMIF(Test_Times!$E$5:$E$863,C251&amp;"|"&amp;D251,Test_Times!$L$5:$L$863)+N(E251)*SUMIF(Test_Times!$E$5:$E$863,C251&amp;"|"&amp;D251,Test_Times!$Q$5:$Q$863))</f>
        <v/>
      </c>
      <c r="J251" s="18" t="str">
        <f aca="false">IF(OR(H251="",N(I251)=0),"",H251/I251)</f>
        <v/>
      </c>
      <c r="K251" s="16"/>
    </row>
    <row r="252" customFormat="false" ht="15" hidden="false" customHeight="false" outlineLevel="0" collapsed="false">
      <c r="A252" s="23"/>
      <c r="B252" s="16"/>
      <c r="C252" s="16"/>
      <c r="D252" s="16"/>
      <c r="E252" s="16"/>
      <c r="F252" s="24"/>
      <c r="G252" s="24"/>
      <c r="H252" s="18" t="str">
        <f aca="false">IF(OR(F252="",G252=""),"",(G252-F252)*24)</f>
        <v/>
      </c>
      <c r="I252" s="18" t="str">
        <f aca="false">IF(C252="","",SUMIF(Test_Times!$E$5:$E$863,C252&amp;"|"&amp;D252,Test_Times!$L$5:$L$863)+N(E252)*SUMIF(Test_Times!$E$5:$E$863,C252&amp;"|"&amp;D252,Test_Times!$Q$5:$Q$863))</f>
        <v/>
      </c>
      <c r="J252" s="18" t="str">
        <f aca="false">IF(OR(H252="",N(I252)=0),"",H252/I252)</f>
        <v/>
      </c>
      <c r="K252" s="16"/>
    </row>
    <row r="253" customFormat="false" ht="15" hidden="false" customHeight="false" outlineLevel="0" collapsed="false">
      <c r="A253" s="23"/>
      <c r="B253" s="16"/>
      <c r="C253" s="16"/>
      <c r="D253" s="16"/>
      <c r="E253" s="16"/>
      <c r="F253" s="24"/>
      <c r="G253" s="24"/>
      <c r="H253" s="18" t="str">
        <f aca="false">IF(OR(F253="",G253=""),"",(G253-F253)*24)</f>
        <v/>
      </c>
      <c r="I253" s="18" t="str">
        <f aca="false">IF(C253="","",SUMIF(Test_Times!$E$5:$E$863,C253&amp;"|"&amp;D253,Test_Times!$L$5:$L$863)+N(E253)*SUMIF(Test_Times!$E$5:$E$863,C253&amp;"|"&amp;D253,Test_Times!$Q$5:$Q$863))</f>
        <v/>
      </c>
      <c r="J253" s="18" t="str">
        <f aca="false">IF(OR(H253="",N(I253)=0),"",H253/I253)</f>
        <v/>
      </c>
      <c r="K253" s="16"/>
    </row>
    <row r="254" customFormat="false" ht="15" hidden="false" customHeight="false" outlineLevel="0" collapsed="false">
      <c r="A254" s="23"/>
      <c r="B254" s="16"/>
      <c r="C254" s="16"/>
      <c r="D254" s="16"/>
      <c r="E254" s="16"/>
      <c r="F254" s="24"/>
      <c r="G254" s="24"/>
      <c r="H254" s="18" t="str">
        <f aca="false">IF(OR(F254="",G254=""),"",(G254-F254)*24)</f>
        <v/>
      </c>
      <c r="I254" s="18" t="str">
        <f aca="false">IF(C254="","",SUMIF(Test_Times!$E$5:$E$863,C254&amp;"|"&amp;D254,Test_Times!$L$5:$L$863)+N(E254)*SUMIF(Test_Times!$E$5:$E$863,C254&amp;"|"&amp;D254,Test_Times!$Q$5:$Q$863))</f>
        <v/>
      </c>
      <c r="J254" s="18" t="str">
        <f aca="false">IF(OR(H254="",N(I254)=0),"",H254/I254)</f>
        <v/>
      </c>
      <c r="K254" s="16"/>
    </row>
    <row r="255" customFormat="false" ht="15" hidden="false" customHeight="false" outlineLevel="0" collapsed="false">
      <c r="A255" s="23"/>
      <c r="B255" s="16"/>
      <c r="C255" s="16"/>
      <c r="D255" s="16"/>
      <c r="E255" s="16"/>
      <c r="F255" s="24"/>
      <c r="G255" s="24"/>
      <c r="H255" s="18" t="str">
        <f aca="false">IF(OR(F255="",G255=""),"",(G255-F255)*24)</f>
        <v/>
      </c>
      <c r="I255" s="18" t="str">
        <f aca="false">IF(C255="","",SUMIF(Test_Times!$E$5:$E$863,C255&amp;"|"&amp;D255,Test_Times!$L$5:$L$863)+N(E255)*SUMIF(Test_Times!$E$5:$E$863,C255&amp;"|"&amp;D255,Test_Times!$Q$5:$Q$863))</f>
        <v/>
      </c>
      <c r="J255" s="18" t="str">
        <f aca="false">IF(OR(H255="",N(I255)=0),"",H255/I255)</f>
        <v/>
      </c>
      <c r="K255" s="16"/>
    </row>
    <row r="256" customFormat="false" ht="15" hidden="false" customHeight="false" outlineLevel="0" collapsed="false">
      <c r="A256" s="23"/>
      <c r="B256" s="16"/>
      <c r="C256" s="16"/>
      <c r="D256" s="16"/>
      <c r="E256" s="16"/>
      <c r="F256" s="24"/>
      <c r="G256" s="24"/>
      <c r="H256" s="18" t="str">
        <f aca="false">IF(OR(F256="",G256=""),"",(G256-F256)*24)</f>
        <v/>
      </c>
      <c r="I256" s="18" t="str">
        <f aca="false">IF(C256="","",SUMIF(Test_Times!$E$5:$E$863,C256&amp;"|"&amp;D256,Test_Times!$L$5:$L$863)+N(E256)*SUMIF(Test_Times!$E$5:$E$863,C256&amp;"|"&amp;D256,Test_Times!$Q$5:$Q$863))</f>
        <v/>
      </c>
      <c r="J256" s="18" t="str">
        <f aca="false">IF(OR(H256="",N(I256)=0),"",H256/I256)</f>
        <v/>
      </c>
      <c r="K256" s="16"/>
    </row>
    <row r="257" customFormat="false" ht="15" hidden="false" customHeight="false" outlineLevel="0" collapsed="false">
      <c r="A257" s="23"/>
      <c r="B257" s="16"/>
      <c r="C257" s="16"/>
      <c r="D257" s="16"/>
      <c r="E257" s="16"/>
      <c r="F257" s="24"/>
      <c r="G257" s="24"/>
      <c r="H257" s="18" t="str">
        <f aca="false">IF(OR(F257="",G257=""),"",(G257-F257)*24)</f>
        <v/>
      </c>
      <c r="I257" s="18" t="str">
        <f aca="false">IF(C257="","",SUMIF(Test_Times!$E$5:$E$863,C257&amp;"|"&amp;D257,Test_Times!$L$5:$L$863)+N(E257)*SUMIF(Test_Times!$E$5:$E$863,C257&amp;"|"&amp;D257,Test_Times!$Q$5:$Q$863))</f>
        <v/>
      </c>
      <c r="J257" s="18" t="str">
        <f aca="false">IF(OR(H257="",N(I257)=0),"",H257/I257)</f>
        <v/>
      </c>
      <c r="K257" s="16"/>
    </row>
    <row r="258" customFormat="false" ht="15" hidden="false" customHeight="false" outlineLevel="0" collapsed="false">
      <c r="A258" s="23"/>
      <c r="B258" s="16"/>
      <c r="C258" s="16"/>
      <c r="D258" s="16"/>
      <c r="E258" s="16"/>
      <c r="F258" s="24"/>
      <c r="G258" s="24"/>
      <c r="H258" s="18" t="str">
        <f aca="false">IF(OR(F258="",G258=""),"",(G258-F258)*24)</f>
        <v/>
      </c>
      <c r="I258" s="18" t="str">
        <f aca="false">IF(C258="","",SUMIF(Test_Times!$E$5:$E$863,C258&amp;"|"&amp;D258,Test_Times!$L$5:$L$863)+N(E258)*SUMIF(Test_Times!$E$5:$E$863,C258&amp;"|"&amp;D258,Test_Times!$Q$5:$Q$863))</f>
        <v/>
      </c>
      <c r="J258" s="18" t="str">
        <f aca="false">IF(OR(H258="",N(I258)=0),"",H258/I258)</f>
        <v/>
      </c>
      <c r="K258" s="16"/>
    </row>
    <row r="259" customFormat="false" ht="15" hidden="false" customHeight="false" outlineLevel="0" collapsed="false">
      <c r="A259" s="23"/>
      <c r="B259" s="16"/>
      <c r="C259" s="16"/>
      <c r="D259" s="16"/>
      <c r="E259" s="16"/>
      <c r="F259" s="24"/>
      <c r="G259" s="24"/>
      <c r="H259" s="18" t="str">
        <f aca="false">IF(OR(F259="",G259=""),"",(G259-F259)*24)</f>
        <v/>
      </c>
      <c r="I259" s="18" t="str">
        <f aca="false">IF(C259="","",SUMIF(Test_Times!$E$5:$E$863,C259&amp;"|"&amp;D259,Test_Times!$L$5:$L$863)+N(E259)*SUMIF(Test_Times!$E$5:$E$863,C259&amp;"|"&amp;D259,Test_Times!$Q$5:$Q$863))</f>
        <v/>
      </c>
      <c r="J259" s="18" t="str">
        <f aca="false">IF(OR(H259="",N(I259)=0),"",H259/I259)</f>
        <v/>
      </c>
      <c r="K259" s="16"/>
    </row>
    <row r="260" customFormat="false" ht="15" hidden="false" customHeight="false" outlineLevel="0" collapsed="false">
      <c r="A260" s="23"/>
      <c r="B260" s="16"/>
      <c r="C260" s="16"/>
      <c r="D260" s="16"/>
      <c r="E260" s="16"/>
      <c r="F260" s="24"/>
      <c r="G260" s="24"/>
      <c r="H260" s="18" t="str">
        <f aca="false">IF(OR(F260="",G260=""),"",(G260-F260)*24)</f>
        <v/>
      </c>
      <c r="I260" s="18" t="str">
        <f aca="false">IF(C260="","",SUMIF(Test_Times!$E$5:$E$863,C260&amp;"|"&amp;D260,Test_Times!$L$5:$L$863)+N(E260)*SUMIF(Test_Times!$E$5:$E$863,C260&amp;"|"&amp;D260,Test_Times!$Q$5:$Q$863))</f>
        <v/>
      </c>
      <c r="J260" s="18" t="str">
        <f aca="false">IF(OR(H260="",N(I260)=0),"",H260/I260)</f>
        <v/>
      </c>
      <c r="K260" s="16"/>
    </row>
    <row r="261" customFormat="false" ht="15" hidden="false" customHeight="false" outlineLevel="0" collapsed="false">
      <c r="A261" s="23"/>
      <c r="B261" s="16"/>
      <c r="C261" s="16"/>
      <c r="D261" s="16"/>
      <c r="E261" s="16"/>
      <c r="F261" s="24"/>
      <c r="G261" s="24"/>
      <c r="H261" s="18" t="str">
        <f aca="false">IF(OR(F261="",G261=""),"",(G261-F261)*24)</f>
        <v/>
      </c>
      <c r="I261" s="18" t="str">
        <f aca="false">IF(C261="","",SUMIF(Test_Times!$E$5:$E$863,C261&amp;"|"&amp;D261,Test_Times!$L$5:$L$863)+N(E261)*SUMIF(Test_Times!$E$5:$E$863,C261&amp;"|"&amp;D261,Test_Times!$Q$5:$Q$863))</f>
        <v/>
      </c>
      <c r="J261" s="18" t="str">
        <f aca="false">IF(OR(H261="",N(I261)=0),"",H261/I261)</f>
        <v/>
      </c>
      <c r="K261" s="16"/>
    </row>
    <row r="262" customFormat="false" ht="15" hidden="false" customHeight="false" outlineLevel="0" collapsed="false">
      <c r="A262" s="23"/>
      <c r="B262" s="16"/>
      <c r="C262" s="16"/>
      <c r="D262" s="16"/>
      <c r="E262" s="16"/>
      <c r="F262" s="24"/>
      <c r="G262" s="24"/>
      <c r="H262" s="18" t="str">
        <f aca="false">IF(OR(F262="",G262=""),"",(G262-F262)*24)</f>
        <v/>
      </c>
      <c r="I262" s="18" t="str">
        <f aca="false">IF(C262="","",SUMIF(Test_Times!$E$5:$E$863,C262&amp;"|"&amp;D262,Test_Times!$L$5:$L$863)+N(E262)*SUMIF(Test_Times!$E$5:$E$863,C262&amp;"|"&amp;D262,Test_Times!$Q$5:$Q$863))</f>
        <v/>
      </c>
      <c r="J262" s="18" t="str">
        <f aca="false">IF(OR(H262="",N(I262)=0),"",H262/I262)</f>
        <v/>
      </c>
      <c r="K262" s="16"/>
    </row>
    <row r="263" customFormat="false" ht="15" hidden="false" customHeight="false" outlineLevel="0" collapsed="false">
      <c r="A263" s="23"/>
      <c r="B263" s="16"/>
      <c r="C263" s="16"/>
      <c r="D263" s="16"/>
      <c r="E263" s="16"/>
      <c r="F263" s="24"/>
      <c r="G263" s="24"/>
      <c r="H263" s="18" t="str">
        <f aca="false">IF(OR(F263="",G263=""),"",(G263-F263)*24)</f>
        <v/>
      </c>
      <c r="I263" s="18" t="str">
        <f aca="false">IF(C263="","",SUMIF(Test_Times!$E$5:$E$863,C263&amp;"|"&amp;D263,Test_Times!$L$5:$L$863)+N(E263)*SUMIF(Test_Times!$E$5:$E$863,C263&amp;"|"&amp;D263,Test_Times!$Q$5:$Q$863))</f>
        <v/>
      </c>
      <c r="J263" s="18" t="str">
        <f aca="false">IF(OR(H263="",N(I263)=0),"",H263/I263)</f>
        <v/>
      </c>
      <c r="K263" s="16"/>
    </row>
    <row r="264" customFormat="false" ht="15" hidden="false" customHeight="false" outlineLevel="0" collapsed="false">
      <c r="A264" s="23"/>
      <c r="B264" s="16"/>
      <c r="C264" s="16"/>
      <c r="D264" s="16"/>
      <c r="E264" s="16"/>
      <c r="F264" s="24"/>
      <c r="G264" s="24"/>
      <c r="H264" s="18" t="str">
        <f aca="false">IF(OR(F264="",G264=""),"",(G264-F264)*24)</f>
        <v/>
      </c>
      <c r="I264" s="18" t="str">
        <f aca="false">IF(C264="","",SUMIF(Test_Times!$E$5:$E$863,C264&amp;"|"&amp;D264,Test_Times!$L$5:$L$863)+N(E264)*SUMIF(Test_Times!$E$5:$E$863,C264&amp;"|"&amp;D264,Test_Times!$Q$5:$Q$863))</f>
        <v/>
      </c>
      <c r="J264" s="18" t="str">
        <f aca="false">IF(OR(H264="",N(I264)=0),"",H264/I264)</f>
        <v/>
      </c>
      <c r="K264" s="16"/>
    </row>
    <row r="265" customFormat="false" ht="15" hidden="false" customHeight="false" outlineLevel="0" collapsed="false">
      <c r="A265" s="23"/>
      <c r="B265" s="16"/>
      <c r="C265" s="16"/>
      <c r="D265" s="16"/>
      <c r="E265" s="16"/>
      <c r="F265" s="24"/>
      <c r="G265" s="24"/>
      <c r="H265" s="18" t="str">
        <f aca="false">IF(OR(F265="",G265=""),"",(G265-F265)*24)</f>
        <v/>
      </c>
      <c r="I265" s="18" t="str">
        <f aca="false">IF(C265="","",SUMIF(Test_Times!$E$5:$E$863,C265&amp;"|"&amp;D265,Test_Times!$L$5:$L$863)+N(E265)*SUMIF(Test_Times!$E$5:$E$863,C265&amp;"|"&amp;D265,Test_Times!$Q$5:$Q$863))</f>
        <v/>
      </c>
      <c r="J265" s="18" t="str">
        <f aca="false">IF(OR(H265="",N(I265)=0),"",H265/I265)</f>
        <v/>
      </c>
      <c r="K265" s="16"/>
    </row>
    <row r="266" customFormat="false" ht="15" hidden="false" customHeight="false" outlineLevel="0" collapsed="false">
      <c r="A266" s="23"/>
      <c r="B266" s="16"/>
      <c r="C266" s="16"/>
      <c r="D266" s="16"/>
      <c r="E266" s="16"/>
      <c r="F266" s="24"/>
      <c r="G266" s="24"/>
      <c r="H266" s="18" t="str">
        <f aca="false">IF(OR(F266="",G266=""),"",(G266-F266)*24)</f>
        <v/>
      </c>
      <c r="I266" s="18" t="str">
        <f aca="false">IF(C266="","",SUMIF(Test_Times!$E$5:$E$863,C266&amp;"|"&amp;D266,Test_Times!$L$5:$L$863)+N(E266)*SUMIF(Test_Times!$E$5:$E$863,C266&amp;"|"&amp;D266,Test_Times!$Q$5:$Q$863))</f>
        <v/>
      </c>
      <c r="J266" s="18" t="str">
        <f aca="false">IF(OR(H266="",N(I266)=0),"",H266/I266)</f>
        <v/>
      </c>
      <c r="K266" s="16"/>
    </row>
    <row r="267" customFormat="false" ht="15" hidden="false" customHeight="false" outlineLevel="0" collapsed="false">
      <c r="A267" s="23"/>
      <c r="B267" s="16"/>
      <c r="C267" s="16"/>
      <c r="D267" s="16"/>
      <c r="E267" s="16"/>
      <c r="F267" s="24"/>
      <c r="G267" s="24"/>
      <c r="H267" s="18" t="str">
        <f aca="false">IF(OR(F267="",G267=""),"",(G267-F267)*24)</f>
        <v/>
      </c>
      <c r="I267" s="18" t="str">
        <f aca="false">IF(C267="","",SUMIF(Test_Times!$E$5:$E$863,C267&amp;"|"&amp;D267,Test_Times!$L$5:$L$863)+N(E267)*SUMIF(Test_Times!$E$5:$E$863,C267&amp;"|"&amp;D267,Test_Times!$Q$5:$Q$863))</f>
        <v/>
      </c>
      <c r="J267" s="18" t="str">
        <f aca="false">IF(OR(H267="",N(I267)=0),"",H267/I267)</f>
        <v/>
      </c>
      <c r="K267" s="16"/>
    </row>
    <row r="268" customFormat="false" ht="15" hidden="false" customHeight="false" outlineLevel="0" collapsed="false">
      <c r="A268" s="23"/>
      <c r="B268" s="16"/>
      <c r="C268" s="16"/>
      <c r="D268" s="16"/>
      <c r="E268" s="16"/>
      <c r="F268" s="24"/>
      <c r="G268" s="24"/>
      <c r="H268" s="18" t="str">
        <f aca="false">IF(OR(F268="",G268=""),"",(G268-F268)*24)</f>
        <v/>
      </c>
      <c r="I268" s="18" t="str">
        <f aca="false">IF(C268="","",SUMIF(Test_Times!$E$5:$E$863,C268&amp;"|"&amp;D268,Test_Times!$L$5:$L$863)+N(E268)*SUMIF(Test_Times!$E$5:$E$863,C268&amp;"|"&amp;D268,Test_Times!$Q$5:$Q$863))</f>
        <v/>
      </c>
      <c r="J268" s="18" t="str">
        <f aca="false">IF(OR(H268="",N(I268)=0),"",H268/I268)</f>
        <v/>
      </c>
      <c r="K268" s="16"/>
    </row>
    <row r="269" customFormat="false" ht="15" hidden="false" customHeight="false" outlineLevel="0" collapsed="false">
      <c r="A269" s="23"/>
      <c r="B269" s="16"/>
      <c r="C269" s="16"/>
      <c r="D269" s="16"/>
      <c r="E269" s="16"/>
      <c r="F269" s="24"/>
      <c r="G269" s="24"/>
      <c r="H269" s="18" t="str">
        <f aca="false">IF(OR(F269="",G269=""),"",(G269-F269)*24)</f>
        <v/>
      </c>
      <c r="I269" s="18" t="str">
        <f aca="false">IF(C269="","",SUMIF(Test_Times!$E$5:$E$863,C269&amp;"|"&amp;D269,Test_Times!$L$5:$L$863)+N(E269)*SUMIF(Test_Times!$E$5:$E$863,C269&amp;"|"&amp;D269,Test_Times!$Q$5:$Q$863))</f>
        <v/>
      </c>
      <c r="J269" s="18" t="str">
        <f aca="false">IF(OR(H269="",N(I269)=0),"",H269/I269)</f>
        <v/>
      </c>
      <c r="K269" s="16"/>
    </row>
    <row r="270" customFormat="false" ht="15" hidden="false" customHeight="false" outlineLevel="0" collapsed="false">
      <c r="A270" s="23"/>
      <c r="B270" s="16"/>
      <c r="C270" s="16"/>
      <c r="D270" s="16"/>
      <c r="E270" s="16"/>
      <c r="F270" s="24"/>
      <c r="G270" s="24"/>
      <c r="H270" s="18" t="str">
        <f aca="false">IF(OR(F270="",G270=""),"",(G270-F270)*24)</f>
        <v/>
      </c>
      <c r="I270" s="18" t="str">
        <f aca="false">IF(C270="","",SUMIF(Test_Times!$E$5:$E$863,C270&amp;"|"&amp;D270,Test_Times!$L$5:$L$863)+N(E270)*SUMIF(Test_Times!$E$5:$E$863,C270&amp;"|"&amp;D270,Test_Times!$Q$5:$Q$863))</f>
        <v/>
      </c>
      <c r="J270" s="18" t="str">
        <f aca="false">IF(OR(H270="",N(I270)=0),"",H270/I270)</f>
        <v/>
      </c>
      <c r="K270" s="16"/>
    </row>
    <row r="271" customFormat="false" ht="15" hidden="false" customHeight="false" outlineLevel="0" collapsed="false">
      <c r="A271" s="23"/>
      <c r="B271" s="16"/>
      <c r="C271" s="16"/>
      <c r="D271" s="16"/>
      <c r="E271" s="16"/>
      <c r="F271" s="24"/>
      <c r="G271" s="24"/>
      <c r="H271" s="18" t="str">
        <f aca="false">IF(OR(F271="",G271=""),"",(G271-F271)*24)</f>
        <v/>
      </c>
      <c r="I271" s="18" t="str">
        <f aca="false">IF(C271="","",SUMIF(Test_Times!$E$5:$E$863,C271&amp;"|"&amp;D271,Test_Times!$L$5:$L$863)+N(E271)*SUMIF(Test_Times!$E$5:$E$863,C271&amp;"|"&amp;D271,Test_Times!$Q$5:$Q$863))</f>
        <v/>
      </c>
      <c r="J271" s="18" t="str">
        <f aca="false">IF(OR(H271="",N(I271)=0),"",H271/I271)</f>
        <v/>
      </c>
      <c r="K271" s="16"/>
    </row>
    <row r="272" customFormat="false" ht="15" hidden="false" customHeight="false" outlineLevel="0" collapsed="false">
      <c r="A272" s="23"/>
      <c r="B272" s="16"/>
      <c r="C272" s="16"/>
      <c r="D272" s="16"/>
      <c r="E272" s="16"/>
      <c r="F272" s="24"/>
      <c r="G272" s="24"/>
      <c r="H272" s="18" t="str">
        <f aca="false">IF(OR(F272="",G272=""),"",(G272-F272)*24)</f>
        <v/>
      </c>
      <c r="I272" s="18" t="str">
        <f aca="false">IF(C272="","",SUMIF(Test_Times!$E$5:$E$863,C272&amp;"|"&amp;D272,Test_Times!$L$5:$L$863)+N(E272)*SUMIF(Test_Times!$E$5:$E$863,C272&amp;"|"&amp;D272,Test_Times!$Q$5:$Q$863))</f>
        <v/>
      </c>
      <c r="J272" s="18" t="str">
        <f aca="false">IF(OR(H272="",N(I272)=0),"",H272/I272)</f>
        <v/>
      </c>
      <c r="K272" s="16"/>
    </row>
    <row r="273" customFormat="false" ht="15" hidden="false" customHeight="false" outlineLevel="0" collapsed="false">
      <c r="A273" s="23"/>
      <c r="B273" s="16"/>
      <c r="C273" s="16"/>
      <c r="D273" s="16"/>
      <c r="E273" s="16"/>
      <c r="F273" s="24"/>
      <c r="G273" s="24"/>
      <c r="H273" s="18" t="str">
        <f aca="false">IF(OR(F273="",G273=""),"",(G273-F273)*24)</f>
        <v/>
      </c>
      <c r="I273" s="18" t="str">
        <f aca="false">IF(C273="","",SUMIF(Test_Times!$E$5:$E$863,C273&amp;"|"&amp;D273,Test_Times!$L$5:$L$863)+N(E273)*SUMIF(Test_Times!$E$5:$E$863,C273&amp;"|"&amp;D273,Test_Times!$Q$5:$Q$863))</f>
        <v/>
      </c>
      <c r="J273" s="18" t="str">
        <f aca="false">IF(OR(H273="",N(I273)=0),"",H273/I273)</f>
        <v/>
      </c>
      <c r="K273" s="16"/>
    </row>
    <row r="274" customFormat="false" ht="15" hidden="false" customHeight="false" outlineLevel="0" collapsed="false">
      <c r="A274" s="23"/>
      <c r="B274" s="16"/>
      <c r="C274" s="16"/>
      <c r="D274" s="16"/>
      <c r="E274" s="16"/>
      <c r="F274" s="24"/>
      <c r="G274" s="24"/>
      <c r="H274" s="18" t="str">
        <f aca="false">IF(OR(F274="",G274=""),"",(G274-F274)*24)</f>
        <v/>
      </c>
      <c r="I274" s="18" t="str">
        <f aca="false">IF(C274="","",SUMIF(Test_Times!$E$5:$E$863,C274&amp;"|"&amp;D274,Test_Times!$L$5:$L$863)+N(E274)*SUMIF(Test_Times!$E$5:$E$863,C274&amp;"|"&amp;D274,Test_Times!$Q$5:$Q$863))</f>
        <v/>
      </c>
      <c r="J274" s="18" t="str">
        <f aca="false">IF(OR(H274="",N(I274)=0),"",H274/I274)</f>
        <v/>
      </c>
      <c r="K274" s="16"/>
    </row>
    <row r="275" customFormat="false" ht="15" hidden="false" customHeight="false" outlineLevel="0" collapsed="false">
      <c r="A275" s="23"/>
      <c r="B275" s="16"/>
      <c r="C275" s="16"/>
      <c r="D275" s="16"/>
      <c r="E275" s="16"/>
      <c r="F275" s="24"/>
      <c r="G275" s="24"/>
      <c r="H275" s="18" t="str">
        <f aca="false">IF(OR(F275="",G275=""),"",(G275-F275)*24)</f>
        <v/>
      </c>
      <c r="I275" s="18" t="str">
        <f aca="false">IF(C275="","",SUMIF(Test_Times!$E$5:$E$863,C275&amp;"|"&amp;D275,Test_Times!$L$5:$L$863)+N(E275)*SUMIF(Test_Times!$E$5:$E$863,C275&amp;"|"&amp;D275,Test_Times!$Q$5:$Q$863))</f>
        <v/>
      </c>
      <c r="J275" s="18" t="str">
        <f aca="false">IF(OR(H275="",N(I275)=0),"",H275/I275)</f>
        <v/>
      </c>
      <c r="K275" s="16"/>
    </row>
    <row r="276" customFormat="false" ht="15" hidden="false" customHeight="false" outlineLevel="0" collapsed="false">
      <c r="A276" s="23"/>
      <c r="B276" s="16"/>
      <c r="C276" s="16"/>
      <c r="D276" s="16"/>
      <c r="E276" s="16"/>
      <c r="F276" s="24"/>
      <c r="G276" s="24"/>
      <c r="H276" s="18" t="str">
        <f aca="false">IF(OR(F276="",G276=""),"",(G276-F276)*24)</f>
        <v/>
      </c>
      <c r="I276" s="18" t="str">
        <f aca="false">IF(C276="","",SUMIF(Test_Times!$E$5:$E$863,C276&amp;"|"&amp;D276,Test_Times!$L$5:$L$863)+N(E276)*SUMIF(Test_Times!$E$5:$E$863,C276&amp;"|"&amp;D276,Test_Times!$Q$5:$Q$863))</f>
        <v/>
      </c>
      <c r="J276" s="18" t="str">
        <f aca="false">IF(OR(H276="",N(I276)=0),"",H276/I276)</f>
        <v/>
      </c>
      <c r="K276" s="16"/>
    </row>
    <row r="277" customFormat="false" ht="15" hidden="false" customHeight="false" outlineLevel="0" collapsed="false">
      <c r="A277" s="23"/>
      <c r="B277" s="16"/>
      <c r="C277" s="16"/>
      <c r="D277" s="16"/>
      <c r="E277" s="16"/>
      <c r="F277" s="24"/>
      <c r="G277" s="24"/>
      <c r="H277" s="18" t="str">
        <f aca="false">IF(OR(F277="",G277=""),"",(G277-F277)*24)</f>
        <v/>
      </c>
      <c r="I277" s="18" t="str">
        <f aca="false">IF(C277="","",SUMIF(Test_Times!$E$5:$E$863,C277&amp;"|"&amp;D277,Test_Times!$L$5:$L$863)+N(E277)*SUMIF(Test_Times!$E$5:$E$863,C277&amp;"|"&amp;D277,Test_Times!$Q$5:$Q$863))</f>
        <v/>
      </c>
      <c r="J277" s="18" t="str">
        <f aca="false">IF(OR(H277="",N(I277)=0),"",H277/I277)</f>
        <v/>
      </c>
      <c r="K277" s="16"/>
    </row>
    <row r="278" customFormat="false" ht="15" hidden="false" customHeight="false" outlineLevel="0" collapsed="false">
      <c r="A278" s="23"/>
      <c r="B278" s="16"/>
      <c r="C278" s="16"/>
      <c r="D278" s="16"/>
      <c r="E278" s="16"/>
      <c r="F278" s="24"/>
      <c r="G278" s="24"/>
      <c r="H278" s="18" t="str">
        <f aca="false">IF(OR(F278="",G278=""),"",(G278-F278)*24)</f>
        <v/>
      </c>
      <c r="I278" s="18" t="str">
        <f aca="false">IF(C278="","",SUMIF(Test_Times!$E$5:$E$863,C278&amp;"|"&amp;D278,Test_Times!$L$5:$L$863)+N(E278)*SUMIF(Test_Times!$E$5:$E$863,C278&amp;"|"&amp;D278,Test_Times!$Q$5:$Q$863))</f>
        <v/>
      </c>
      <c r="J278" s="18" t="str">
        <f aca="false">IF(OR(H278="",N(I278)=0),"",H278/I278)</f>
        <v/>
      </c>
      <c r="K278" s="16"/>
    </row>
    <row r="279" customFormat="false" ht="15" hidden="false" customHeight="false" outlineLevel="0" collapsed="false">
      <c r="A279" s="23"/>
      <c r="B279" s="16"/>
      <c r="C279" s="16"/>
      <c r="D279" s="16"/>
      <c r="E279" s="16"/>
      <c r="F279" s="24"/>
      <c r="G279" s="24"/>
      <c r="H279" s="18" t="str">
        <f aca="false">IF(OR(F279="",G279=""),"",(G279-F279)*24)</f>
        <v/>
      </c>
      <c r="I279" s="18" t="str">
        <f aca="false">IF(C279="","",SUMIF(Test_Times!$E$5:$E$863,C279&amp;"|"&amp;D279,Test_Times!$L$5:$L$863)+N(E279)*SUMIF(Test_Times!$E$5:$E$863,C279&amp;"|"&amp;D279,Test_Times!$Q$5:$Q$863))</f>
        <v/>
      </c>
      <c r="J279" s="18" t="str">
        <f aca="false">IF(OR(H279="",N(I279)=0),"",H279/I279)</f>
        <v/>
      </c>
      <c r="K279" s="16"/>
    </row>
    <row r="280" customFormat="false" ht="15" hidden="false" customHeight="false" outlineLevel="0" collapsed="false">
      <c r="A280" s="23"/>
      <c r="B280" s="16"/>
      <c r="C280" s="16"/>
      <c r="D280" s="16"/>
      <c r="E280" s="16"/>
      <c r="F280" s="24"/>
      <c r="G280" s="24"/>
      <c r="H280" s="18" t="str">
        <f aca="false">IF(OR(F280="",G280=""),"",(G280-F280)*24)</f>
        <v/>
      </c>
      <c r="I280" s="18" t="str">
        <f aca="false">IF(C280="","",SUMIF(Test_Times!$E$5:$E$863,C280&amp;"|"&amp;D280,Test_Times!$L$5:$L$863)+N(E280)*SUMIF(Test_Times!$E$5:$E$863,C280&amp;"|"&amp;D280,Test_Times!$Q$5:$Q$863))</f>
        <v/>
      </c>
      <c r="J280" s="18" t="str">
        <f aca="false">IF(OR(H280="",N(I280)=0),"",H280/I280)</f>
        <v/>
      </c>
      <c r="K280" s="16"/>
    </row>
    <row r="281" customFormat="false" ht="15" hidden="false" customHeight="false" outlineLevel="0" collapsed="false">
      <c r="A281" s="23"/>
      <c r="B281" s="16"/>
      <c r="C281" s="16"/>
      <c r="D281" s="16"/>
      <c r="E281" s="16"/>
      <c r="F281" s="24"/>
      <c r="G281" s="24"/>
      <c r="H281" s="18" t="str">
        <f aca="false">IF(OR(F281="",G281=""),"",(G281-F281)*24)</f>
        <v/>
      </c>
      <c r="I281" s="18" t="str">
        <f aca="false">IF(C281="","",SUMIF(Test_Times!$E$5:$E$863,C281&amp;"|"&amp;D281,Test_Times!$L$5:$L$863)+N(E281)*SUMIF(Test_Times!$E$5:$E$863,C281&amp;"|"&amp;D281,Test_Times!$Q$5:$Q$863))</f>
        <v/>
      </c>
      <c r="J281" s="18" t="str">
        <f aca="false">IF(OR(H281="",N(I281)=0),"",H281/I281)</f>
        <v/>
      </c>
      <c r="K281" s="16"/>
    </row>
    <row r="282" customFormat="false" ht="15" hidden="false" customHeight="false" outlineLevel="0" collapsed="false">
      <c r="A282" s="23"/>
      <c r="B282" s="16"/>
      <c r="C282" s="16"/>
      <c r="D282" s="16"/>
      <c r="E282" s="16"/>
      <c r="F282" s="24"/>
      <c r="G282" s="24"/>
      <c r="H282" s="18" t="str">
        <f aca="false">IF(OR(F282="",G282=""),"",(G282-F282)*24)</f>
        <v/>
      </c>
      <c r="I282" s="18" t="str">
        <f aca="false">IF(C282="","",SUMIF(Test_Times!$E$5:$E$863,C282&amp;"|"&amp;D282,Test_Times!$L$5:$L$863)+N(E282)*SUMIF(Test_Times!$E$5:$E$863,C282&amp;"|"&amp;D282,Test_Times!$Q$5:$Q$863))</f>
        <v/>
      </c>
      <c r="J282" s="18" t="str">
        <f aca="false">IF(OR(H282="",N(I282)=0),"",H282/I282)</f>
        <v/>
      </c>
      <c r="K282" s="16"/>
    </row>
    <row r="283" customFormat="false" ht="15" hidden="false" customHeight="false" outlineLevel="0" collapsed="false">
      <c r="A283" s="23"/>
      <c r="B283" s="16"/>
      <c r="C283" s="16"/>
      <c r="D283" s="16"/>
      <c r="E283" s="16"/>
      <c r="F283" s="24"/>
      <c r="G283" s="24"/>
      <c r="H283" s="18" t="str">
        <f aca="false">IF(OR(F283="",G283=""),"",(G283-F283)*24)</f>
        <v/>
      </c>
      <c r="I283" s="18" t="str">
        <f aca="false">IF(C283="","",SUMIF(Test_Times!$E$5:$E$863,C283&amp;"|"&amp;D283,Test_Times!$L$5:$L$863)+N(E283)*SUMIF(Test_Times!$E$5:$E$863,C283&amp;"|"&amp;D283,Test_Times!$Q$5:$Q$863))</f>
        <v/>
      </c>
      <c r="J283" s="18" t="str">
        <f aca="false">IF(OR(H283="",N(I283)=0),"",H283/I283)</f>
        <v/>
      </c>
      <c r="K283" s="16"/>
    </row>
    <row r="284" customFormat="false" ht="15" hidden="false" customHeight="false" outlineLevel="0" collapsed="false">
      <c r="A284" s="23"/>
      <c r="B284" s="16"/>
      <c r="C284" s="16"/>
      <c r="D284" s="16"/>
      <c r="E284" s="16"/>
      <c r="F284" s="24"/>
      <c r="G284" s="24"/>
      <c r="H284" s="18" t="str">
        <f aca="false">IF(OR(F284="",G284=""),"",(G284-F284)*24)</f>
        <v/>
      </c>
      <c r="I284" s="18" t="str">
        <f aca="false">IF(C284="","",SUMIF(Test_Times!$E$5:$E$863,C284&amp;"|"&amp;D284,Test_Times!$L$5:$L$863)+N(E284)*SUMIF(Test_Times!$E$5:$E$863,C284&amp;"|"&amp;D284,Test_Times!$Q$5:$Q$863))</f>
        <v/>
      </c>
      <c r="J284" s="18" t="str">
        <f aca="false">IF(OR(H284="",N(I284)=0),"",H284/I284)</f>
        <v/>
      </c>
      <c r="K284" s="16"/>
    </row>
    <row r="285" customFormat="false" ht="15" hidden="false" customHeight="false" outlineLevel="0" collapsed="false">
      <c r="A285" s="23"/>
      <c r="B285" s="16"/>
      <c r="C285" s="16"/>
      <c r="D285" s="16"/>
      <c r="E285" s="16"/>
      <c r="F285" s="24"/>
      <c r="G285" s="24"/>
      <c r="H285" s="18" t="str">
        <f aca="false">IF(OR(F285="",G285=""),"",(G285-F285)*24)</f>
        <v/>
      </c>
      <c r="I285" s="18" t="str">
        <f aca="false">IF(C285="","",SUMIF(Test_Times!$E$5:$E$863,C285&amp;"|"&amp;D285,Test_Times!$L$5:$L$863)+N(E285)*SUMIF(Test_Times!$E$5:$E$863,C285&amp;"|"&amp;D285,Test_Times!$Q$5:$Q$863))</f>
        <v/>
      </c>
      <c r="J285" s="18" t="str">
        <f aca="false">IF(OR(H285="",N(I285)=0),"",H285/I285)</f>
        <v/>
      </c>
      <c r="K285" s="16"/>
    </row>
    <row r="286" customFormat="false" ht="15" hidden="false" customHeight="false" outlineLevel="0" collapsed="false">
      <c r="A286" s="23"/>
      <c r="B286" s="16"/>
      <c r="C286" s="16"/>
      <c r="D286" s="16"/>
      <c r="E286" s="16"/>
      <c r="F286" s="24"/>
      <c r="G286" s="24"/>
      <c r="H286" s="18" t="str">
        <f aca="false">IF(OR(F286="",G286=""),"",(G286-F286)*24)</f>
        <v/>
      </c>
      <c r="I286" s="18" t="str">
        <f aca="false">IF(C286="","",SUMIF(Test_Times!$E$5:$E$863,C286&amp;"|"&amp;D286,Test_Times!$L$5:$L$863)+N(E286)*SUMIF(Test_Times!$E$5:$E$863,C286&amp;"|"&amp;D286,Test_Times!$Q$5:$Q$863))</f>
        <v/>
      </c>
      <c r="J286" s="18" t="str">
        <f aca="false">IF(OR(H286="",N(I286)=0),"",H286/I286)</f>
        <v/>
      </c>
      <c r="K286" s="16"/>
    </row>
    <row r="287" customFormat="false" ht="15" hidden="false" customHeight="false" outlineLevel="0" collapsed="false">
      <c r="A287" s="23"/>
      <c r="B287" s="16"/>
      <c r="C287" s="16"/>
      <c r="D287" s="16"/>
      <c r="E287" s="16"/>
      <c r="F287" s="24"/>
      <c r="G287" s="24"/>
      <c r="H287" s="18" t="str">
        <f aca="false">IF(OR(F287="",G287=""),"",(G287-F287)*24)</f>
        <v/>
      </c>
      <c r="I287" s="18" t="str">
        <f aca="false">IF(C287="","",SUMIF(Test_Times!$E$5:$E$863,C287&amp;"|"&amp;D287,Test_Times!$L$5:$L$863)+N(E287)*SUMIF(Test_Times!$E$5:$E$863,C287&amp;"|"&amp;D287,Test_Times!$Q$5:$Q$863))</f>
        <v/>
      </c>
      <c r="J287" s="18" t="str">
        <f aca="false">IF(OR(H287="",N(I287)=0),"",H287/I287)</f>
        <v/>
      </c>
      <c r="K287" s="16"/>
    </row>
    <row r="288" customFormat="false" ht="15" hidden="false" customHeight="false" outlineLevel="0" collapsed="false">
      <c r="A288" s="23"/>
      <c r="B288" s="16"/>
      <c r="C288" s="16"/>
      <c r="D288" s="16"/>
      <c r="E288" s="16"/>
      <c r="F288" s="24"/>
      <c r="G288" s="24"/>
      <c r="H288" s="18" t="str">
        <f aca="false">IF(OR(F288="",G288=""),"",(G288-F288)*24)</f>
        <v/>
      </c>
      <c r="I288" s="18" t="str">
        <f aca="false">IF(C288="","",SUMIF(Test_Times!$E$5:$E$863,C288&amp;"|"&amp;D288,Test_Times!$L$5:$L$863)+N(E288)*SUMIF(Test_Times!$E$5:$E$863,C288&amp;"|"&amp;D288,Test_Times!$Q$5:$Q$863))</f>
        <v/>
      </c>
      <c r="J288" s="18" t="str">
        <f aca="false">IF(OR(H288="",N(I288)=0),"",H288/I288)</f>
        <v/>
      </c>
      <c r="K288" s="16"/>
    </row>
    <row r="289" customFormat="false" ht="15" hidden="false" customHeight="false" outlineLevel="0" collapsed="false">
      <c r="A289" s="23"/>
      <c r="B289" s="16"/>
      <c r="C289" s="16"/>
      <c r="D289" s="16"/>
      <c r="E289" s="16"/>
      <c r="F289" s="24"/>
      <c r="G289" s="24"/>
      <c r="H289" s="18" t="str">
        <f aca="false">IF(OR(F289="",G289=""),"",(G289-F289)*24)</f>
        <v/>
      </c>
      <c r="I289" s="18" t="str">
        <f aca="false">IF(C289="","",SUMIF(Test_Times!$E$5:$E$863,C289&amp;"|"&amp;D289,Test_Times!$L$5:$L$863)+N(E289)*SUMIF(Test_Times!$E$5:$E$863,C289&amp;"|"&amp;D289,Test_Times!$Q$5:$Q$863))</f>
        <v/>
      </c>
      <c r="J289" s="18" t="str">
        <f aca="false">IF(OR(H289="",N(I289)=0),"",H289/I289)</f>
        <v/>
      </c>
      <c r="K289" s="16"/>
    </row>
    <row r="290" customFormat="false" ht="15" hidden="false" customHeight="false" outlineLevel="0" collapsed="false">
      <c r="A290" s="23"/>
      <c r="B290" s="16"/>
      <c r="C290" s="16"/>
      <c r="D290" s="16"/>
      <c r="E290" s="16"/>
      <c r="F290" s="24"/>
      <c r="G290" s="24"/>
      <c r="H290" s="18" t="str">
        <f aca="false">IF(OR(F290="",G290=""),"",(G290-F290)*24)</f>
        <v/>
      </c>
      <c r="I290" s="18" t="str">
        <f aca="false">IF(C290="","",SUMIF(Test_Times!$E$5:$E$863,C290&amp;"|"&amp;D290,Test_Times!$L$5:$L$863)+N(E290)*SUMIF(Test_Times!$E$5:$E$863,C290&amp;"|"&amp;D290,Test_Times!$Q$5:$Q$863))</f>
        <v/>
      </c>
      <c r="J290" s="18" t="str">
        <f aca="false">IF(OR(H290="",N(I290)=0),"",H290/I290)</f>
        <v/>
      </c>
      <c r="K290" s="16"/>
    </row>
    <row r="291" customFormat="false" ht="15" hidden="false" customHeight="false" outlineLevel="0" collapsed="false">
      <c r="A291" s="23"/>
      <c r="B291" s="16"/>
      <c r="C291" s="16"/>
      <c r="D291" s="16"/>
      <c r="E291" s="16"/>
      <c r="F291" s="24"/>
      <c r="G291" s="24"/>
      <c r="H291" s="18" t="str">
        <f aca="false">IF(OR(F291="",G291=""),"",(G291-F291)*24)</f>
        <v/>
      </c>
      <c r="I291" s="18" t="str">
        <f aca="false">IF(C291="","",SUMIF(Test_Times!$E$5:$E$863,C291&amp;"|"&amp;D291,Test_Times!$L$5:$L$863)+N(E291)*SUMIF(Test_Times!$E$5:$E$863,C291&amp;"|"&amp;D291,Test_Times!$Q$5:$Q$863))</f>
        <v/>
      </c>
      <c r="J291" s="18" t="str">
        <f aca="false">IF(OR(H291="",N(I291)=0),"",H291/I291)</f>
        <v/>
      </c>
      <c r="K291" s="16"/>
    </row>
    <row r="292" customFormat="false" ht="15" hidden="false" customHeight="false" outlineLevel="0" collapsed="false">
      <c r="A292" s="23"/>
      <c r="B292" s="16"/>
      <c r="C292" s="16"/>
      <c r="D292" s="16"/>
      <c r="E292" s="16"/>
      <c r="F292" s="24"/>
      <c r="G292" s="24"/>
      <c r="H292" s="18" t="str">
        <f aca="false">IF(OR(F292="",G292=""),"",(G292-F292)*24)</f>
        <v/>
      </c>
      <c r="I292" s="18" t="str">
        <f aca="false">IF(C292="","",SUMIF(Test_Times!$E$5:$E$863,C292&amp;"|"&amp;D292,Test_Times!$L$5:$L$863)+N(E292)*SUMIF(Test_Times!$E$5:$E$863,C292&amp;"|"&amp;D292,Test_Times!$Q$5:$Q$863))</f>
        <v/>
      </c>
      <c r="J292" s="18" t="str">
        <f aca="false">IF(OR(H292="",N(I292)=0),"",H292/I292)</f>
        <v/>
      </c>
      <c r="K292" s="16"/>
    </row>
    <row r="293" customFormat="false" ht="15" hidden="false" customHeight="false" outlineLevel="0" collapsed="false">
      <c r="A293" s="23"/>
      <c r="B293" s="16"/>
      <c r="C293" s="16"/>
      <c r="D293" s="16"/>
      <c r="E293" s="16"/>
      <c r="F293" s="24"/>
      <c r="G293" s="24"/>
      <c r="H293" s="18" t="str">
        <f aca="false">IF(OR(F293="",G293=""),"",(G293-F293)*24)</f>
        <v/>
      </c>
      <c r="I293" s="18" t="str">
        <f aca="false">IF(C293="","",SUMIF(Test_Times!$E$5:$E$863,C293&amp;"|"&amp;D293,Test_Times!$L$5:$L$863)+N(E293)*SUMIF(Test_Times!$E$5:$E$863,C293&amp;"|"&amp;D293,Test_Times!$Q$5:$Q$863))</f>
        <v/>
      </c>
      <c r="J293" s="18" t="str">
        <f aca="false">IF(OR(H293="",N(I293)=0),"",H293/I293)</f>
        <v/>
      </c>
      <c r="K293" s="16"/>
    </row>
    <row r="294" customFormat="false" ht="15" hidden="false" customHeight="false" outlineLevel="0" collapsed="false">
      <c r="A294" s="23"/>
      <c r="B294" s="16"/>
      <c r="C294" s="16"/>
      <c r="D294" s="16"/>
      <c r="E294" s="16"/>
      <c r="F294" s="24"/>
      <c r="G294" s="24"/>
      <c r="H294" s="18" t="str">
        <f aca="false">IF(OR(F294="",G294=""),"",(G294-F294)*24)</f>
        <v/>
      </c>
      <c r="I294" s="18" t="str">
        <f aca="false">IF(C294="","",SUMIF(Test_Times!$E$5:$E$863,C294&amp;"|"&amp;D294,Test_Times!$L$5:$L$863)+N(E294)*SUMIF(Test_Times!$E$5:$E$863,C294&amp;"|"&amp;D294,Test_Times!$Q$5:$Q$863))</f>
        <v/>
      </c>
      <c r="J294" s="18" t="str">
        <f aca="false">IF(OR(H294="",N(I294)=0),"",H294/I294)</f>
        <v/>
      </c>
      <c r="K294" s="16"/>
    </row>
    <row r="295" customFormat="false" ht="15" hidden="false" customHeight="false" outlineLevel="0" collapsed="false">
      <c r="A295" s="23"/>
      <c r="B295" s="16"/>
      <c r="C295" s="16"/>
      <c r="D295" s="16"/>
      <c r="E295" s="16"/>
      <c r="F295" s="24"/>
      <c r="G295" s="24"/>
      <c r="H295" s="18" t="str">
        <f aca="false">IF(OR(F295="",G295=""),"",(G295-F295)*24)</f>
        <v/>
      </c>
      <c r="I295" s="18" t="str">
        <f aca="false">IF(C295="","",SUMIF(Test_Times!$E$5:$E$863,C295&amp;"|"&amp;D295,Test_Times!$L$5:$L$863)+N(E295)*SUMIF(Test_Times!$E$5:$E$863,C295&amp;"|"&amp;D295,Test_Times!$Q$5:$Q$863))</f>
        <v/>
      </c>
      <c r="J295" s="18" t="str">
        <f aca="false">IF(OR(H295="",N(I295)=0),"",H295/I295)</f>
        <v/>
      </c>
      <c r="K295" s="16"/>
    </row>
    <row r="296" customFormat="false" ht="15" hidden="false" customHeight="false" outlineLevel="0" collapsed="false">
      <c r="A296" s="23"/>
      <c r="B296" s="16"/>
      <c r="C296" s="16"/>
      <c r="D296" s="16"/>
      <c r="E296" s="16"/>
      <c r="F296" s="24"/>
      <c r="G296" s="24"/>
      <c r="H296" s="18" t="str">
        <f aca="false">IF(OR(F296="",G296=""),"",(G296-F296)*24)</f>
        <v/>
      </c>
      <c r="I296" s="18" t="str">
        <f aca="false">IF(C296="","",SUMIF(Test_Times!$E$5:$E$863,C296&amp;"|"&amp;D296,Test_Times!$L$5:$L$863)+N(E296)*SUMIF(Test_Times!$E$5:$E$863,C296&amp;"|"&amp;D296,Test_Times!$Q$5:$Q$863))</f>
        <v/>
      </c>
      <c r="J296" s="18" t="str">
        <f aca="false">IF(OR(H296="",N(I296)=0),"",H296/I296)</f>
        <v/>
      </c>
      <c r="K296" s="16"/>
    </row>
    <row r="297" customFormat="false" ht="15" hidden="false" customHeight="false" outlineLevel="0" collapsed="false">
      <c r="A297" s="23"/>
      <c r="B297" s="16"/>
      <c r="C297" s="16"/>
      <c r="D297" s="16"/>
      <c r="E297" s="16"/>
      <c r="F297" s="24"/>
      <c r="G297" s="24"/>
      <c r="H297" s="18" t="str">
        <f aca="false">IF(OR(F297="",G297=""),"",(G297-F297)*24)</f>
        <v/>
      </c>
      <c r="I297" s="18" t="str">
        <f aca="false">IF(C297="","",SUMIF(Test_Times!$E$5:$E$863,C297&amp;"|"&amp;D297,Test_Times!$L$5:$L$863)+N(E297)*SUMIF(Test_Times!$E$5:$E$863,C297&amp;"|"&amp;D297,Test_Times!$Q$5:$Q$863))</f>
        <v/>
      </c>
      <c r="J297" s="18" t="str">
        <f aca="false">IF(OR(H297="",N(I297)=0),"",H297/I297)</f>
        <v/>
      </c>
      <c r="K297" s="16"/>
    </row>
    <row r="298" customFormat="false" ht="15" hidden="false" customHeight="false" outlineLevel="0" collapsed="false">
      <c r="A298" s="23"/>
      <c r="B298" s="16"/>
      <c r="C298" s="16"/>
      <c r="D298" s="16"/>
      <c r="E298" s="16"/>
      <c r="F298" s="24"/>
      <c r="G298" s="24"/>
      <c r="H298" s="18" t="str">
        <f aca="false">IF(OR(F298="",G298=""),"",(G298-F298)*24)</f>
        <v/>
      </c>
      <c r="I298" s="18" t="str">
        <f aca="false">IF(C298="","",SUMIF(Test_Times!$E$5:$E$863,C298&amp;"|"&amp;D298,Test_Times!$L$5:$L$863)+N(E298)*SUMIF(Test_Times!$E$5:$E$863,C298&amp;"|"&amp;D298,Test_Times!$Q$5:$Q$863))</f>
        <v/>
      </c>
      <c r="J298" s="18" t="str">
        <f aca="false">IF(OR(H298="",N(I298)=0),"",H298/I298)</f>
        <v/>
      </c>
      <c r="K298" s="16"/>
    </row>
    <row r="299" customFormat="false" ht="15" hidden="false" customHeight="false" outlineLevel="0" collapsed="false">
      <c r="A299" s="23"/>
      <c r="B299" s="16"/>
      <c r="C299" s="16"/>
      <c r="D299" s="16"/>
      <c r="E299" s="16"/>
      <c r="F299" s="24"/>
      <c r="G299" s="24"/>
      <c r="H299" s="18" t="str">
        <f aca="false">IF(OR(F299="",G299=""),"",(G299-F299)*24)</f>
        <v/>
      </c>
      <c r="I299" s="18" t="str">
        <f aca="false">IF(C299="","",SUMIF(Test_Times!$E$5:$E$863,C299&amp;"|"&amp;D299,Test_Times!$L$5:$L$863)+N(E299)*SUMIF(Test_Times!$E$5:$E$863,C299&amp;"|"&amp;D299,Test_Times!$Q$5:$Q$863))</f>
        <v/>
      </c>
      <c r="J299" s="18" t="str">
        <f aca="false">IF(OR(H299="",N(I299)=0),"",H299/I299)</f>
        <v/>
      </c>
      <c r="K299" s="16"/>
    </row>
    <row r="300" customFormat="false" ht="15" hidden="false" customHeight="false" outlineLevel="0" collapsed="false">
      <c r="A300" s="23"/>
      <c r="B300" s="16"/>
      <c r="C300" s="16"/>
      <c r="D300" s="16"/>
      <c r="E300" s="16"/>
      <c r="F300" s="24"/>
      <c r="G300" s="24"/>
      <c r="H300" s="18" t="str">
        <f aca="false">IF(OR(F300="",G300=""),"",(G300-F300)*24)</f>
        <v/>
      </c>
      <c r="I300" s="18" t="str">
        <f aca="false">IF(C300="","",SUMIF(Test_Times!$E$5:$E$863,C300&amp;"|"&amp;D300,Test_Times!$L$5:$L$863)+N(E300)*SUMIF(Test_Times!$E$5:$E$863,C300&amp;"|"&amp;D300,Test_Times!$Q$5:$Q$863))</f>
        <v/>
      </c>
      <c r="J300" s="18" t="str">
        <f aca="false">IF(OR(H300="",N(I300)=0),"",H300/I300)</f>
        <v/>
      </c>
      <c r="K300" s="16"/>
    </row>
    <row r="301" customFormat="false" ht="15" hidden="false" customHeight="false" outlineLevel="0" collapsed="false">
      <c r="A301" s="23"/>
      <c r="B301" s="16"/>
      <c r="C301" s="16"/>
      <c r="D301" s="16"/>
      <c r="E301" s="16"/>
      <c r="F301" s="24"/>
      <c r="G301" s="24"/>
      <c r="H301" s="18" t="str">
        <f aca="false">IF(OR(F301="",G301=""),"",(G301-F301)*24)</f>
        <v/>
      </c>
      <c r="I301" s="18" t="str">
        <f aca="false">IF(C301="","",SUMIF(Test_Times!$E$5:$E$863,C301&amp;"|"&amp;D301,Test_Times!$L$5:$L$863)+N(E301)*SUMIF(Test_Times!$E$5:$E$863,C301&amp;"|"&amp;D301,Test_Times!$Q$5:$Q$863))</f>
        <v/>
      </c>
      <c r="J301" s="18" t="str">
        <f aca="false">IF(OR(H301="",N(I301)=0),"",H301/I301)</f>
        <v/>
      </c>
      <c r="K301" s="16"/>
    </row>
    <row r="302" customFormat="false" ht="15" hidden="false" customHeight="false" outlineLevel="0" collapsed="false">
      <c r="A302" s="23"/>
      <c r="B302" s="16"/>
      <c r="C302" s="16"/>
      <c r="D302" s="16"/>
      <c r="E302" s="16"/>
      <c r="F302" s="24"/>
      <c r="G302" s="24"/>
      <c r="H302" s="18" t="str">
        <f aca="false">IF(OR(F302="",G302=""),"",(G302-F302)*24)</f>
        <v/>
      </c>
      <c r="I302" s="18" t="str">
        <f aca="false">IF(C302="","",SUMIF(Test_Times!$E$5:$E$863,C302&amp;"|"&amp;D302,Test_Times!$L$5:$L$863)+N(E302)*SUMIF(Test_Times!$E$5:$E$863,C302&amp;"|"&amp;D302,Test_Times!$Q$5:$Q$863))</f>
        <v/>
      </c>
      <c r="J302" s="18" t="str">
        <f aca="false">IF(OR(H302="",N(I302)=0),"",H302/I302)</f>
        <v/>
      </c>
      <c r="K302" s="16"/>
    </row>
    <row r="303" customFormat="false" ht="15" hidden="false" customHeight="false" outlineLevel="0" collapsed="false">
      <c r="A303" s="23"/>
      <c r="B303" s="16"/>
      <c r="C303" s="16"/>
      <c r="D303" s="16"/>
      <c r="E303" s="16"/>
      <c r="F303" s="24"/>
      <c r="G303" s="24"/>
      <c r="H303" s="18" t="str">
        <f aca="false">IF(OR(F303="",G303=""),"",(G303-F303)*24)</f>
        <v/>
      </c>
      <c r="I303" s="18" t="str">
        <f aca="false">IF(C303="","",SUMIF(Test_Times!$E$5:$E$863,C303&amp;"|"&amp;D303,Test_Times!$L$5:$L$863)+N(E303)*SUMIF(Test_Times!$E$5:$E$863,C303&amp;"|"&amp;D303,Test_Times!$Q$5:$Q$863))</f>
        <v/>
      </c>
      <c r="J303" s="18" t="str">
        <f aca="false">IF(OR(H303="",N(I303)=0),"",H303/I303)</f>
        <v/>
      </c>
      <c r="K303" s="16"/>
    </row>
    <row r="304" customFormat="false" ht="15" hidden="false" customHeight="false" outlineLevel="0" collapsed="false">
      <c r="A304" s="23"/>
      <c r="B304" s="16"/>
      <c r="C304" s="16"/>
      <c r="D304" s="16"/>
      <c r="E304" s="16"/>
      <c r="F304" s="24"/>
      <c r="G304" s="24"/>
      <c r="H304" s="18" t="str">
        <f aca="false">IF(OR(F304="",G304=""),"",(G304-F304)*24)</f>
        <v/>
      </c>
      <c r="I304" s="18" t="str">
        <f aca="false">IF(C304="","",SUMIF(Test_Times!$E$5:$E$863,C304&amp;"|"&amp;D304,Test_Times!$L$5:$L$863)+N(E304)*SUMIF(Test_Times!$E$5:$E$863,C304&amp;"|"&amp;D304,Test_Times!$Q$5:$Q$863))</f>
        <v/>
      </c>
      <c r="J304" s="18" t="str">
        <f aca="false">IF(OR(H304="",N(I304)=0),"",H304/I304)</f>
        <v/>
      </c>
      <c r="K304" s="16"/>
    </row>
    <row r="305" customFormat="false" ht="15" hidden="false" customHeight="false" outlineLevel="0" collapsed="false">
      <c r="A305" s="23"/>
      <c r="B305" s="16"/>
      <c r="C305" s="16"/>
      <c r="D305" s="16"/>
      <c r="E305" s="16"/>
      <c r="F305" s="24"/>
      <c r="G305" s="24"/>
      <c r="H305" s="18" t="str">
        <f aca="false">IF(OR(F305="",G305=""),"",(G305-F305)*24)</f>
        <v/>
      </c>
      <c r="I305" s="18" t="str">
        <f aca="false">IF(C305="","",SUMIF(Test_Times!$E$5:$E$863,C305&amp;"|"&amp;D305,Test_Times!$L$5:$L$863)+N(E305)*SUMIF(Test_Times!$E$5:$E$863,C305&amp;"|"&amp;D305,Test_Times!$Q$5:$Q$863))</f>
        <v/>
      </c>
      <c r="J305" s="18" t="str">
        <f aca="false">IF(OR(H305="",N(I305)=0),"",H305/I305)</f>
        <v/>
      </c>
      <c r="K305" s="16"/>
    </row>
    <row r="306" customFormat="false" ht="15" hidden="false" customHeight="false" outlineLevel="0" collapsed="false">
      <c r="A306" s="23"/>
      <c r="B306" s="16"/>
      <c r="C306" s="16"/>
      <c r="D306" s="16"/>
      <c r="E306" s="16"/>
      <c r="F306" s="24"/>
      <c r="G306" s="24"/>
      <c r="H306" s="18" t="str">
        <f aca="false">IF(OR(F306="",G306=""),"",(G306-F306)*24)</f>
        <v/>
      </c>
      <c r="I306" s="18" t="str">
        <f aca="false">IF(C306="","",SUMIF(Test_Times!$E$5:$E$863,C306&amp;"|"&amp;D306,Test_Times!$L$5:$L$863)+N(E306)*SUMIF(Test_Times!$E$5:$E$863,C306&amp;"|"&amp;D306,Test_Times!$Q$5:$Q$863))</f>
        <v/>
      </c>
      <c r="J306" s="18" t="str">
        <f aca="false">IF(OR(H306="",N(I306)=0),"",H306/I306)</f>
        <v/>
      </c>
      <c r="K306" s="16"/>
    </row>
    <row r="307" customFormat="false" ht="15" hidden="false" customHeight="false" outlineLevel="0" collapsed="false">
      <c r="A307" s="23"/>
      <c r="B307" s="16"/>
      <c r="C307" s="16"/>
      <c r="D307" s="16"/>
      <c r="E307" s="16"/>
      <c r="F307" s="24"/>
      <c r="G307" s="24"/>
      <c r="H307" s="18" t="str">
        <f aca="false">IF(OR(F307="",G307=""),"",(G307-F307)*24)</f>
        <v/>
      </c>
      <c r="I307" s="18" t="str">
        <f aca="false">IF(C307="","",SUMIF(Test_Times!$E$5:$E$863,C307&amp;"|"&amp;D307,Test_Times!$L$5:$L$863)+N(E307)*SUMIF(Test_Times!$E$5:$E$863,C307&amp;"|"&amp;D307,Test_Times!$Q$5:$Q$863))</f>
        <v/>
      </c>
      <c r="J307" s="18" t="str">
        <f aca="false">IF(OR(H307="",N(I307)=0),"",H307/I307)</f>
        <v/>
      </c>
      <c r="K307" s="16"/>
    </row>
    <row r="308" customFormat="false" ht="15" hidden="false" customHeight="false" outlineLevel="0" collapsed="false">
      <c r="A308" s="23"/>
      <c r="B308" s="16"/>
      <c r="C308" s="16"/>
      <c r="D308" s="16"/>
      <c r="E308" s="16"/>
      <c r="F308" s="24"/>
      <c r="G308" s="24"/>
      <c r="H308" s="18" t="str">
        <f aca="false">IF(OR(F308="",G308=""),"",(G308-F308)*24)</f>
        <v/>
      </c>
      <c r="I308" s="18" t="str">
        <f aca="false">IF(C308="","",SUMIF(Test_Times!$E$5:$E$863,C308&amp;"|"&amp;D308,Test_Times!$L$5:$L$863)+N(E308)*SUMIF(Test_Times!$E$5:$E$863,C308&amp;"|"&amp;D308,Test_Times!$Q$5:$Q$863))</f>
        <v/>
      </c>
      <c r="J308" s="18" t="str">
        <f aca="false">IF(OR(H308="",N(I308)=0),"",H308/I308)</f>
        <v/>
      </c>
      <c r="K308" s="16"/>
    </row>
    <row r="309" customFormat="false" ht="15" hidden="false" customHeight="false" outlineLevel="0" collapsed="false">
      <c r="A309" s="23"/>
      <c r="B309" s="16"/>
      <c r="C309" s="16"/>
      <c r="D309" s="16"/>
      <c r="E309" s="16"/>
      <c r="F309" s="24"/>
      <c r="G309" s="24"/>
      <c r="H309" s="18" t="str">
        <f aca="false">IF(OR(F309="",G309=""),"",(G309-F309)*24)</f>
        <v/>
      </c>
      <c r="I309" s="18" t="str">
        <f aca="false">IF(C309="","",SUMIF(Test_Times!$E$5:$E$863,C309&amp;"|"&amp;D309,Test_Times!$L$5:$L$863)+N(E309)*SUMIF(Test_Times!$E$5:$E$863,C309&amp;"|"&amp;D309,Test_Times!$Q$5:$Q$863))</f>
        <v/>
      </c>
      <c r="J309" s="18" t="str">
        <f aca="false">IF(OR(H309="",N(I309)=0),"",H309/I309)</f>
        <v/>
      </c>
      <c r="K309" s="16"/>
    </row>
    <row r="310" customFormat="false" ht="15" hidden="false" customHeight="false" outlineLevel="0" collapsed="false">
      <c r="A310" s="23"/>
      <c r="B310" s="16"/>
      <c r="C310" s="16"/>
      <c r="D310" s="16"/>
      <c r="E310" s="16"/>
      <c r="F310" s="24"/>
      <c r="G310" s="24"/>
      <c r="H310" s="18" t="str">
        <f aca="false">IF(OR(F310="",G310=""),"",(G310-F310)*24)</f>
        <v/>
      </c>
      <c r="I310" s="18" t="str">
        <f aca="false">IF(C310="","",SUMIF(Test_Times!$E$5:$E$863,C310&amp;"|"&amp;D310,Test_Times!$L$5:$L$863)+N(E310)*SUMIF(Test_Times!$E$5:$E$863,C310&amp;"|"&amp;D310,Test_Times!$Q$5:$Q$863))</f>
        <v/>
      </c>
      <c r="J310" s="18" t="str">
        <f aca="false">IF(OR(H310="",N(I310)=0),"",H310/I310)</f>
        <v/>
      </c>
      <c r="K310" s="16"/>
    </row>
    <row r="311" customFormat="false" ht="15" hidden="false" customHeight="false" outlineLevel="0" collapsed="false">
      <c r="A311" s="23"/>
      <c r="B311" s="16"/>
      <c r="C311" s="16"/>
      <c r="D311" s="16"/>
      <c r="E311" s="16"/>
      <c r="F311" s="24"/>
      <c r="G311" s="24"/>
      <c r="H311" s="18" t="str">
        <f aca="false">IF(OR(F311="",G311=""),"",(G311-F311)*24)</f>
        <v/>
      </c>
      <c r="I311" s="18" t="str">
        <f aca="false">IF(C311="","",SUMIF(Test_Times!$E$5:$E$863,C311&amp;"|"&amp;D311,Test_Times!$L$5:$L$863)+N(E311)*SUMIF(Test_Times!$E$5:$E$863,C311&amp;"|"&amp;D311,Test_Times!$Q$5:$Q$863))</f>
        <v/>
      </c>
      <c r="J311" s="18" t="str">
        <f aca="false">IF(OR(H311="",N(I311)=0),"",H311/I311)</f>
        <v/>
      </c>
      <c r="K311" s="16"/>
    </row>
    <row r="312" customFormat="false" ht="15" hidden="false" customHeight="false" outlineLevel="0" collapsed="false">
      <c r="A312" s="23"/>
      <c r="B312" s="16"/>
      <c r="C312" s="16"/>
      <c r="D312" s="16"/>
      <c r="E312" s="16"/>
      <c r="F312" s="24"/>
      <c r="G312" s="24"/>
      <c r="H312" s="18" t="str">
        <f aca="false">IF(OR(F312="",G312=""),"",(G312-F312)*24)</f>
        <v/>
      </c>
      <c r="I312" s="18" t="str">
        <f aca="false">IF(C312="","",SUMIF(Test_Times!$E$5:$E$863,C312&amp;"|"&amp;D312,Test_Times!$L$5:$L$863)+N(E312)*SUMIF(Test_Times!$E$5:$E$863,C312&amp;"|"&amp;D312,Test_Times!$Q$5:$Q$863))</f>
        <v/>
      </c>
      <c r="J312" s="18" t="str">
        <f aca="false">IF(OR(H312="",N(I312)=0),"",H312/I312)</f>
        <v/>
      </c>
      <c r="K312" s="16"/>
    </row>
    <row r="313" customFormat="false" ht="15" hidden="false" customHeight="false" outlineLevel="0" collapsed="false">
      <c r="A313" s="23"/>
      <c r="B313" s="16"/>
      <c r="C313" s="16"/>
      <c r="D313" s="16"/>
      <c r="E313" s="16"/>
      <c r="F313" s="24"/>
      <c r="G313" s="24"/>
      <c r="H313" s="18" t="str">
        <f aca="false">IF(OR(F313="",G313=""),"",(G313-F313)*24)</f>
        <v/>
      </c>
      <c r="I313" s="18" t="str">
        <f aca="false">IF(C313="","",SUMIF(Test_Times!$E$5:$E$863,C313&amp;"|"&amp;D313,Test_Times!$L$5:$L$863)+N(E313)*SUMIF(Test_Times!$E$5:$E$863,C313&amp;"|"&amp;D313,Test_Times!$Q$5:$Q$863))</f>
        <v/>
      </c>
      <c r="J313" s="18" t="str">
        <f aca="false">IF(OR(H313="",N(I313)=0),"",H313/I313)</f>
        <v/>
      </c>
      <c r="K313" s="16"/>
    </row>
    <row r="314" customFormat="false" ht="15" hidden="false" customHeight="false" outlineLevel="0" collapsed="false">
      <c r="A314" s="23"/>
      <c r="B314" s="16"/>
      <c r="C314" s="16"/>
      <c r="D314" s="16"/>
      <c r="E314" s="16"/>
      <c r="F314" s="24"/>
      <c r="G314" s="24"/>
      <c r="H314" s="18" t="str">
        <f aca="false">IF(OR(F314="",G314=""),"",(G314-F314)*24)</f>
        <v/>
      </c>
      <c r="I314" s="18" t="str">
        <f aca="false">IF(C314="","",SUMIF(Test_Times!$E$5:$E$863,C314&amp;"|"&amp;D314,Test_Times!$L$5:$L$863)+N(E314)*SUMIF(Test_Times!$E$5:$E$863,C314&amp;"|"&amp;D314,Test_Times!$Q$5:$Q$863))</f>
        <v/>
      </c>
      <c r="J314" s="18" t="str">
        <f aca="false">IF(OR(H314="",N(I314)=0),"",H314/I314)</f>
        <v/>
      </c>
      <c r="K314" s="16"/>
    </row>
    <row r="315" customFormat="false" ht="15" hidden="false" customHeight="false" outlineLevel="0" collapsed="false">
      <c r="A315" s="23"/>
      <c r="B315" s="16"/>
      <c r="C315" s="16"/>
      <c r="D315" s="16"/>
      <c r="E315" s="16"/>
      <c r="F315" s="24"/>
      <c r="G315" s="24"/>
      <c r="H315" s="18" t="str">
        <f aca="false">IF(OR(F315="",G315=""),"",(G315-F315)*24)</f>
        <v/>
      </c>
      <c r="I315" s="18" t="str">
        <f aca="false">IF(C315="","",SUMIF(Test_Times!$E$5:$E$863,C315&amp;"|"&amp;D315,Test_Times!$L$5:$L$863)+N(E315)*SUMIF(Test_Times!$E$5:$E$863,C315&amp;"|"&amp;D315,Test_Times!$Q$5:$Q$863))</f>
        <v/>
      </c>
      <c r="J315" s="18" t="str">
        <f aca="false">IF(OR(H315="",N(I315)=0),"",H315/I315)</f>
        <v/>
      </c>
      <c r="K315" s="16"/>
    </row>
    <row r="316" customFormat="false" ht="15" hidden="false" customHeight="false" outlineLevel="0" collapsed="false">
      <c r="A316" s="23"/>
      <c r="B316" s="16"/>
      <c r="C316" s="16"/>
      <c r="D316" s="16"/>
      <c r="E316" s="16"/>
      <c r="F316" s="24"/>
      <c r="G316" s="24"/>
      <c r="H316" s="18" t="str">
        <f aca="false">IF(OR(F316="",G316=""),"",(G316-F316)*24)</f>
        <v/>
      </c>
      <c r="I316" s="18" t="str">
        <f aca="false">IF(C316="","",SUMIF(Test_Times!$E$5:$E$863,C316&amp;"|"&amp;D316,Test_Times!$L$5:$L$863)+N(E316)*SUMIF(Test_Times!$E$5:$E$863,C316&amp;"|"&amp;D316,Test_Times!$Q$5:$Q$863))</f>
        <v/>
      </c>
      <c r="J316" s="18" t="str">
        <f aca="false">IF(OR(H316="",N(I316)=0),"",H316/I316)</f>
        <v/>
      </c>
      <c r="K316" s="16"/>
    </row>
    <row r="317" customFormat="false" ht="15" hidden="false" customHeight="false" outlineLevel="0" collapsed="false">
      <c r="A317" s="23"/>
      <c r="B317" s="16"/>
      <c r="C317" s="16"/>
      <c r="D317" s="16"/>
      <c r="E317" s="16"/>
      <c r="F317" s="24"/>
      <c r="G317" s="24"/>
      <c r="H317" s="18" t="str">
        <f aca="false">IF(OR(F317="",G317=""),"",(G317-F317)*24)</f>
        <v/>
      </c>
      <c r="I317" s="18" t="str">
        <f aca="false">IF(C317="","",SUMIF(Test_Times!$E$5:$E$863,C317&amp;"|"&amp;D317,Test_Times!$L$5:$L$863)+N(E317)*SUMIF(Test_Times!$E$5:$E$863,C317&amp;"|"&amp;D317,Test_Times!$Q$5:$Q$863))</f>
        <v/>
      </c>
      <c r="J317" s="18" t="str">
        <f aca="false">IF(OR(H317="",N(I317)=0),"",H317/I317)</f>
        <v/>
      </c>
      <c r="K317" s="16"/>
    </row>
    <row r="318" customFormat="false" ht="15" hidden="false" customHeight="false" outlineLevel="0" collapsed="false">
      <c r="A318" s="23"/>
      <c r="B318" s="16"/>
      <c r="C318" s="16"/>
      <c r="D318" s="16"/>
      <c r="E318" s="16"/>
      <c r="F318" s="24"/>
      <c r="G318" s="24"/>
      <c r="H318" s="18" t="str">
        <f aca="false">IF(OR(F318="",G318=""),"",(G318-F318)*24)</f>
        <v/>
      </c>
      <c r="I318" s="18" t="str">
        <f aca="false">IF(C318="","",SUMIF(Test_Times!$E$5:$E$863,C318&amp;"|"&amp;D318,Test_Times!$L$5:$L$863)+N(E318)*SUMIF(Test_Times!$E$5:$E$863,C318&amp;"|"&amp;D318,Test_Times!$Q$5:$Q$863))</f>
        <v/>
      </c>
      <c r="J318" s="18" t="str">
        <f aca="false">IF(OR(H318="",N(I318)=0),"",H318/I318)</f>
        <v/>
      </c>
      <c r="K318" s="16"/>
    </row>
    <row r="319" customFormat="false" ht="15" hidden="false" customHeight="false" outlineLevel="0" collapsed="false">
      <c r="A319" s="23"/>
      <c r="B319" s="16"/>
      <c r="C319" s="16"/>
      <c r="D319" s="16"/>
      <c r="E319" s="16"/>
      <c r="F319" s="24"/>
      <c r="G319" s="24"/>
      <c r="H319" s="18" t="str">
        <f aca="false">IF(OR(F319="",G319=""),"",(G319-F319)*24)</f>
        <v/>
      </c>
      <c r="I319" s="18" t="str">
        <f aca="false">IF(C319="","",SUMIF(Test_Times!$E$5:$E$863,C319&amp;"|"&amp;D319,Test_Times!$L$5:$L$863)+N(E319)*SUMIF(Test_Times!$E$5:$E$863,C319&amp;"|"&amp;D319,Test_Times!$Q$5:$Q$863))</f>
        <v/>
      </c>
      <c r="J319" s="18" t="str">
        <f aca="false">IF(OR(H319="",N(I319)=0),"",H319/I319)</f>
        <v/>
      </c>
      <c r="K319" s="16"/>
    </row>
    <row r="320" customFormat="false" ht="15" hidden="false" customHeight="false" outlineLevel="0" collapsed="false">
      <c r="A320" s="23"/>
      <c r="B320" s="16"/>
      <c r="C320" s="16"/>
      <c r="D320" s="16"/>
      <c r="E320" s="16"/>
      <c r="F320" s="24"/>
      <c r="G320" s="24"/>
      <c r="H320" s="18" t="str">
        <f aca="false">IF(OR(F320="",G320=""),"",(G320-F320)*24)</f>
        <v/>
      </c>
      <c r="I320" s="18" t="str">
        <f aca="false">IF(C320="","",SUMIF(Test_Times!$E$5:$E$863,C320&amp;"|"&amp;D320,Test_Times!$L$5:$L$863)+N(E320)*SUMIF(Test_Times!$E$5:$E$863,C320&amp;"|"&amp;D320,Test_Times!$Q$5:$Q$863))</f>
        <v/>
      </c>
      <c r="J320" s="18" t="str">
        <f aca="false">IF(OR(H320="",N(I320)=0),"",H320/I320)</f>
        <v/>
      </c>
      <c r="K320" s="16"/>
    </row>
    <row r="321" customFormat="false" ht="15" hidden="false" customHeight="false" outlineLevel="0" collapsed="false">
      <c r="A321" s="23"/>
      <c r="B321" s="16"/>
      <c r="C321" s="16"/>
      <c r="D321" s="16"/>
      <c r="E321" s="16"/>
      <c r="F321" s="24"/>
      <c r="G321" s="24"/>
      <c r="H321" s="18" t="str">
        <f aca="false">IF(OR(F321="",G321=""),"",(G321-F321)*24)</f>
        <v/>
      </c>
      <c r="I321" s="18" t="str">
        <f aca="false">IF(C321="","",SUMIF(Test_Times!$E$5:$E$863,C321&amp;"|"&amp;D321,Test_Times!$L$5:$L$863)+N(E321)*SUMIF(Test_Times!$E$5:$E$863,C321&amp;"|"&amp;D321,Test_Times!$Q$5:$Q$863))</f>
        <v/>
      </c>
      <c r="J321" s="18" t="str">
        <f aca="false">IF(OR(H321="",N(I321)=0),"",H321/I321)</f>
        <v/>
      </c>
      <c r="K321" s="16"/>
    </row>
    <row r="322" customFormat="false" ht="15" hidden="false" customHeight="false" outlineLevel="0" collapsed="false">
      <c r="A322" s="23"/>
      <c r="B322" s="16"/>
      <c r="C322" s="16"/>
      <c r="D322" s="16"/>
      <c r="E322" s="16"/>
      <c r="F322" s="24"/>
      <c r="G322" s="24"/>
      <c r="H322" s="18" t="str">
        <f aca="false">IF(OR(F322="",G322=""),"",(G322-F322)*24)</f>
        <v/>
      </c>
      <c r="I322" s="18" t="str">
        <f aca="false">IF(C322="","",SUMIF(Test_Times!$E$5:$E$863,C322&amp;"|"&amp;D322,Test_Times!$L$5:$L$863)+N(E322)*SUMIF(Test_Times!$E$5:$E$863,C322&amp;"|"&amp;D322,Test_Times!$Q$5:$Q$863))</f>
        <v/>
      </c>
      <c r="J322" s="18" t="str">
        <f aca="false">IF(OR(H322="",N(I322)=0),"",H322/I322)</f>
        <v/>
      </c>
      <c r="K322" s="16"/>
    </row>
    <row r="323" customFormat="false" ht="15" hidden="false" customHeight="false" outlineLevel="0" collapsed="false">
      <c r="A323" s="23"/>
      <c r="B323" s="16"/>
      <c r="C323" s="16"/>
      <c r="D323" s="16"/>
      <c r="E323" s="16"/>
      <c r="F323" s="24"/>
      <c r="G323" s="24"/>
      <c r="H323" s="18" t="str">
        <f aca="false">IF(OR(F323="",G323=""),"",(G323-F323)*24)</f>
        <v/>
      </c>
      <c r="I323" s="18" t="str">
        <f aca="false">IF(C323="","",SUMIF(Test_Times!$E$5:$E$863,C323&amp;"|"&amp;D323,Test_Times!$L$5:$L$863)+N(E323)*SUMIF(Test_Times!$E$5:$E$863,C323&amp;"|"&amp;D323,Test_Times!$Q$5:$Q$863))</f>
        <v/>
      </c>
      <c r="J323" s="18" t="str">
        <f aca="false">IF(OR(H323="",N(I323)=0),"",H323/I323)</f>
        <v/>
      </c>
      <c r="K323" s="16"/>
    </row>
    <row r="324" customFormat="false" ht="15" hidden="false" customHeight="false" outlineLevel="0" collapsed="false">
      <c r="A324" s="23"/>
      <c r="B324" s="16"/>
      <c r="C324" s="16"/>
      <c r="D324" s="16"/>
      <c r="E324" s="16"/>
      <c r="F324" s="24"/>
      <c r="G324" s="24"/>
      <c r="H324" s="18" t="str">
        <f aca="false">IF(OR(F324="",G324=""),"",(G324-F324)*24)</f>
        <v/>
      </c>
      <c r="I324" s="18" t="str">
        <f aca="false">IF(C324="","",SUMIF(Test_Times!$E$5:$E$863,C324&amp;"|"&amp;D324,Test_Times!$L$5:$L$863)+N(E324)*SUMIF(Test_Times!$E$5:$E$863,C324&amp;"|"&amp;D324,Test_Times!$Q$5:$Q$863))</f>
        <v/>
      </c>
      <c r="J324" s="18" t="str">
        <f aca="false">IF(OR(H324="",N(I324)=0),"",H324/I324)</f>
        <v/>
      </c>
      <c r="K324" s="16"/>
    </row>
    <row r="325" customFormat="false" ht="15" hidden="false" customHeight="false" outlineLevel="0" collapsed="false">
      <c r="A325" s="23"/>
      <c r="B325" s="16"/>
      <c r="C325" s="16"/>
      <c r="D325" s="16"/>
      <c r="E325" s="16"/>
      <c r="F325" s="24"/>
      <c r="G325" s="24"/>
      <c r="H325" s="18" t="str">
        <f aca="false">IF(OR(F325="",G325=""),"",(G325-F325)*24)</f>
        <v/>
      </c>
      <c r="I325" s="18" t="str">
        <f aca="false">IF(C325="","",SUMIF(Test_Times!$E$5:$E$863,C325&amp;"|"&amp;D325,Test_Times!$L$5:$L$863)+N(E325)*SUMIF(Test_Times!$E$5:$E$863,C325&amp;"|"&amp;D325,Test_Times!$Q$5:$Q$863))</f>
        <v/>
      </c>
      <c r="J325" s="18" t="str">
        <f aca="false">IF(OR(H325="",N(I325)=0),"",H325/I325)</f>
        <v/>
      </c>
      <c r="K325" s="16"/>
    </row>
    <row r="326" customFormat="false" ht="15" hidden="false" customHeight="false" outlineLevel="0" collapsed="false">
      <c r="A326" s="23"/>
      <c r="B326" s="16"/>
      <c r="C326" s="16"/>
      <c r="D326" s="16"/>
      <c r="E326" s="16"/>
      <c r="F326" s="24"/>
      <c r="G326" s="24"/>
      <c r="H326" s="18" t="str">
        <f aca="false">IF(OR(F326="",G326=""),"",(G326-F326)*24)</f>
        <v/>
      </c>
      <c r="I326" s="18" t="str">
        <f aca="false">IF(C326="","",SUMIF(Test_Times!$E$5:$E$863,C326&amp;"|"&amp;D326,Test_Times!$L$5:$L$863)+N(E326)*SUMIF(Test_Times!$E$5:$E$863,C326&amp;"|"&amp;D326,Test_Times!$Q$5:$Q$863))</f>
        <v/>
      </c>
      <c r="J326" s="18" t="str">
        <f aca="false">IF(OR(H326="",N(I326)=0),"",H326/I326)</f>
        <v/>
      </c>
      <c r="K326" s="16"/>
    </row>
    <row r="327" customFormat="false" ht="15" hidden="false" customHeight="false" outlineLevel="0" collapsed="false">
      <c r="A327" s="23"/>
      <c r="B327" s="16"/>
      <c r="C327" s="16"/>
      <c r="D327" s="16"/>
      <c r="E327" s="16"/>
      <c r="F327" s="24"/>
      <c r="G327" s="24"/>
      <c r="H327" s="18" t="str">
        <f aca="false">IF(OR(F327="",G327=""),"",(G327-F327)*24)</f>
        <v/>
      </c>
      <c r="I327" s="18" t="str">
        <f aca="false">IF(C327="","",SUMIF(Test_Times!$E$5:$E$863,C327&amp;"|"&amp;D327,Test_Times!$L$5:$L$863)+N(E327)*SUMIF(Test_Times!$E$5:$E$863,C327&amp;"|"&amp;D327,Test_Times!$Q$5:$Q$863))</f>
        <v/>
      </c>
      <c r="J327" s="18" t="str">
        <f aca="false">IF(OR(H327="",N(I327)=0),"",H327/I327)</f>
        <v/>
      </c>
      <c r="K327" s="16"/>
    </row>
    <row r="328" customFormat="false" ht="15" hidden="false" customHeight="false" outlineLevel="0" collapsed="false">
      <c r="A328" s="23"/>
      <c r="B328" s="16"/>
      <c r="C328" s="16"/>
      <c r="D328" s="16"/>
      <c r="E328" s="16"/>
      <c r="F328" s="24"/>
      <c r="G328" s="24"/>
      <c r="H328" s="18" t="str">
        <f aca="false">IF(OR(F328="",G328=""),"",(G328-F328)*24)</f>
        <v/>
      </c>
      <c r="I328" s="18" t="str">
        <f aca="false">IF(C328="","",SUMIF(Test_Times!$E$5:$E$863,C328&amp;"|"&amp;D328,Test_Times!$L$5:$L$863)+N(E328)*SUMIF(Test_Times!$E$5:$E$863,C328&amp;"|"&amp;D328,Test_Times!$Q$5:$Q$863))</f>
        <v/>
      </c>
      <c r="J328" s="18" t="str">
        <f aca="false">IF(OR(H328="",N(I328)=0),"",H328/I328)</f>
        <v/>
      </c>
      <c r="K328" s="16"/>
    </row>
    <row r="329" customFormat="false" ht="15" hidden="false" customHeight="false" outlineLevel="0" collapsed="false">
      <c r="A329" s="23"/>
      <c r="B329" s="16"/>
      <c r="C329" s="16"/>
      <c r="D329" s="16"/>
      <c r="E329" s="16"/>
      <c r="F329" s="24"/>
      <c r="G329" s="24"/>
      <c r="H329" s="18" t="str">
        <f aca="false">IF(OR(F329="",G329=""),"",(G329-F329)*24)</f>
        <v/>
      </c>
      <c r="I329" s="18" t="str">
        <f aca="false">IF(C329="","",SUMIF(Test_Times!$E$5:$E$863,C329&amp;"|"&amp;D329,Test_Times!$L$5:$L$863)+N(E329)*SUMIF(Test_Times!$E$5:$E$863,C329&amp;"|"&amp;D329,Test_Times!$Q$5:$Q$863))</f>
        <v/>
      </c>
      <c r="J329" s="18" t="str">
        <f aca="false">IF(OR(H329="",N(I329)=0),"",H329/I329)</f>
        <v/>
      </c>
      <c r="K329" s="16"/>
    </row>
    <row r="330" customFormat="false" ht="15" hidden="false" customHeight="false" outlineLevel="0" collapsed="false">
      <c r="A330" s="23"/>
      <c r="B330" s="16"/>
      <c r="C330" s="16"/>
      <c r="D330" s="16"/>
      <c r="E330" s="16"/>
      <c r="F330" s="24"/>
      <c r="G330" s="24"/>
      <c r="H330" s="18" t="str">
        <f aca="false">IF(OR(F330="",G330=""),"",(G330-F330)*24)</f>
        <v/>
      </c>
      <c r="I330" s="18" t="str">
        <f aca="false">IF(C330="","",SUMIF(Test_Times!$E$5:$E$863,C330&amp;"|"&amp;D330,Test_Times!$L$5:$L$863)+N(E330)*SUMIF(Test_Times!$E$5:$E$863,C330&amp;"|"&amp;D330,Test_Times!$Q$5:$Q$863))</f>
        <v/>
      </c>
      <c r="J330" s="18" t="str">
        <f aca="false">IF(OR(H330="",N(I330)=0),"",H330/I330)</f>
        <v/>
      </c>
      <c r="K330" s="16"/>
    </row>
    <row r="331" customFormat="false" ht="15" hidden="false" customHeight="false" outlineLevel="0" collapsed="false">
      <c r="A331" s="23"/>
      <c r="B331" s="16"/>
      <c r="C331" s="16"/>
      <c r="D331" s="16"/>
      <c r="E331" s="16"/>
      <c r="F331" s="24"/>
      <c r="G331" s="24"/>
      <c r="H331" s="18" t="str">
        <f aca="false">IF(OR(F331="",G331=""),"",(G331-F331)*24)</f>
        <v/>
      </c>
      <c r="I331" s="18" t="str">
        <f aca="false">IF(C331="","",SUMIF(Test_Times!$E$5:$E$863,C331&amp;"|"&amp;D331,Test_Times!$L$5:$L$863)+N(E331)*SUMIF(Test_Times!$E$5:$E$863,C331&amp;"|"&amp;D331,Test_Times!$Q$5:$Q$863))</f>
        <v/>
      </c>
      <c r="J331" s="18" t="str">
        <f aca="false">IF(OR(H331="",N(I331)=0),"",H331/I331)</f>
        <v/>
      </c>
      <c r="K331" s="16"/>
    </row>
    <row r="332" customFormat="false" ht="15" hidden="false" customHeight="false" outlineLevel="0" collapsed="false">
      <c r="A332" s="23"/>
      <c r="B332" s="16"/>
      <c r="C332" s="16"/>
      <c r="D332" s="16"/>
      <c r="E332" s="16"/>
      <c r="F332" s="24"/>
      <c r="G332" s="24"/>
      <c r="H332" s="18" t="str">
        <f aca="false">IF(OR(F332="",G332=""),"",(G332-F332)*24)</f>
        <v/>
      </c>
      <c r="I332" s="18" t="str">
        <f aca="false">IF(C332="","",SUMIF(Test_Times!$E$5:$E$863,C332&amp;"|"&amp;D332,Test_Times!$L$5:$L$863)+N(E332)*SUMIF(Test_Times!$E$5:$E$863,C332&amp;"|"&amp;D332,Test_Times!$Q$5:$Q$863))</f>
        <v/>
      </c>
      <c r="J332" s="18" t="str">
        <f aca="false">IF(OR(H332="",N(I332)=0),"",H332/I332)</f>
        <v/>
      </c>
      <c r="K332" s="16"/>
    </row>
    <row r="333" customFormat="false" ht="15" hidden="false" customHeight="false" outlineLevel="0" collapsed="false">
      <c r="A333" s="23"/>
      <c r="B333" s="16"/>
      <c r="C333" s="16"/>
      <c r="D333" s="16"/>
      <c r="E333" s="16"/>
      <c r="F333" s="24"/>
      <c r="G333" s="24"/>
      <c r="H333" s="18" t="str">
        <f aca="false">IF(OR(F333="",G333=""),"",(G333-F333)*24)</f>
        <v/>
      </c>
      <c r="I333" s="18" t="str">
        <f aca="false">IF(C333="","",SUMIF(Test_Times!$E$5:$E$863,C333&amp;"|"&amp;D333,Test_Times!$L$5:$L$863)+N(E333)*SUMIF(Test_Times!$E$5:$E$863,C333&amp;"|"&amp;D333,Test_Times!$Q$5:$Q$863))</f>
        <v/>
      </c>
      <c r="J333" s="18" t="str">
        <f aca="false">IF(OR(H333="",N(I333)=0),"",H333/I333)</f>
        <v/>
      </c>
      <c r="K333" s="16"/>
    </row>
    <row r="334" customFormat="false" ht="15" hidden="false" customHeight="false" outlineLevel="0" collapsed="false">
      <c r="A334" s="23"/>
      <c r="B334" s="16"/>
      <c r="C334" s="16"/>
      <c r="D334" s="16"/>
      <c r="E334" s="16"/>
      <c r="F334" s="24"/>
      <c r="G334" s="24"/>
      <c r="H334" s="18" t="str">
        <f aca="false">IF(OR(F334="",G334=""),"",(G334-F334)*24)</f>
        <v/>
      </c>
      <c r="I334" s="18" t="str">
        <f aca="false">IF(C334="","",SUMIF(Test_Times!$E$5:$E$863,C334&amp;"|"&amp;D334,Test_Times!$L$5:$L$863)+N(E334)*SUMIF(Test_Times!$E$5:$E$863,C334&amp;"|"&amp;D334,Test_Times!$Q$5:$Q$863))</f>
        <v/>
      </c>
      <c r="J334" s="18" t="str">
        <f aca="false">IF(OR(H334="",N(I334)=0),"",H334/I334)</f>
        <v/>
      </c>
      <c r="K334" s="16"/>
    </row>
    <row r="335" customFormat="false" ht="15" hidden="false" customHeight="false" outlineLevel="0" collapsed="false">
      <c r="A335" s="23"/>
      <c r="B335" s="16"/>
      <c r="C335" s="16"/>
      <c r="D335" s="16"/>
      <c r="E335" s="16"/>
      <c r="F335" s="24"/>
      <c r="G335" s="24"/>
      <c r="H335" s="18" t="str">
        <f aca="false">IF(OR(F335="",G335=""),"",(G335-F335)*24)</f>
        <v/>
      </c>
      <c r="I335" s="18" t="str">
        <f aca="false">IF(C335="","",SUMIF(Test_Times!$E$5:$E$863,C335&amp;"|"&amp;D335,Test_Times!$L$5:$L$863)+N(E335)*SUMIF(Test_Times!$E$5:$E$863,C335&amp;"|"&amp;D335,Test_Times!$Q$5:$Q$863))</f>
        <v/>
      </c>
      <c r="J335" s="18" t="str">
        <f aca="false">IF(OR(H335="",N(I335)=0),"",H335/I335)</f>
        <v/>
      </c>
      <c r="K335" s="16"/>
    </row>
    <row r="336" customFormat="false" ht="15" hidden="false" customHeight="false" outlineLevel="0" collapsed="false">
      <c r="A336" s="23"/>
      <c r="B336" s="16"/>
      <c r="C336" s="16"/>
      <c r="D336" s="16"/>
      <c r="E336" s="16"/>
      <c r="F336" s="24"/>
      <c r="G336" s="24"/>
      <c r="H336" s="18" t="str">
        <f aca="false">IF(OR(F336="",G336=""),"",(G336-F336)*24)</f>
        <v/>
      </c>
      <c r="I336" s="18" t="str">
        <f aca="false">IF(C336="","",SUMIF(Test_Times!$E$5:$E$863,C336&amp;"|"&amp;D336,Test_Times!$L$5:$L$863)+N(E336)*SUMIF(Test_Times!$E$5:$E$863,C336&amp;"|"&amp;D336,Test_Times!$Q$5:$Q$863))</f>
        <v/>
      </c>
      <c r="J336" s="18" t="str">
        <f aca="false">IF(OR(H336="",N(I336)=0),"",H336/I336)</f>
        <v/>
      </c>
      <c r="K336" s="16"/>
    </row>
    <row r="337" customFormat="false" ht="15" hidden="false" customHeight="false" outlineLevel="0" collapsed="false">
      <c r="A337" s="23"/>
      <c r="B337" s="16"/>
      <c r="C337" s="16"/>
      <c r="D337" s="16"/>
      <c r="E337" s="16"/>
      <c r="F337" s="24"/>
      <c r="G337" s="24"/>
      <c r="H337" s="18" t="str">
        <f aca="false">IF(OR(F337="",G337=""),"",(G337-F337)*24)</f>
        <v/>
      </c>
      <c r="I337" s="18" t="str">
        <f aca="false">IF(C337="","",SUMIF(Test_Times!$E$5:$E$863,C337&amp;"|"&amp;D337,Test_Times!$L$5:$L$863)+N(E337)*SUMIF(Test_Times!$E$5:$E$863,C337&amp;"|"&amp;D337,Test_Times!$Q$5:$Q$863))</f>
        <v/>
      </c>
      <c r="J337" s="18" t="str">
        <f aca="false">IF(OR(H337="",N(I337)=0),"",H337/I337)</f>
        <v/>
      </c>
      <c r="K337" s="16"/>
    </row>
    <row r="338" customFormat="false" ht="15" hidden="false" customHeight="false" outlineLevel="0" collapsed="false">
      <c r="A338" s="23"/>
      <c r="B338" s="16"/>
      <c r="C338" s="16"/>
      <c r="D338" s="16"/>
      <c r="E338" s="16"/>
      <c r="F338" s="24"/>
      <c r="G338" s="24"/>
      <c r="H338" s="18" t="str">
        <f aca="false">IF(OR(F338="",G338=""),"",(G338-F338)*24)</f>
        <v/>
      </c>
      <c r="I338" s="18" t="str">
        <f aca="false">IF(C338="","",SUMIF(Test_Times!$E$5:$E$863,C338&amp;"|"&amp;D338,Test_Times!$L$5:$L$863)+N(E338)*SUMIF(Test_Times!$E$5:$E$863,C338&amp;"|"&amp;D338,Test_Times!$Q$5:$Q$863))</f>
        <v/>
      </c>
      <c r="J338" s="18" t="str">
        <f aca="false">IF(OR(H338="",N(I338)=0),"",H338/I338)</f>
        <v/>
      </c>
      <c r="K338" s="16"/>
    </row>
    <row r="339" customFormat="false" ht="15" hidden="false" customHeight="false" outlineLevel="0" collapsed="false">
      <c r="A339" s="23"/>
      <c r="B339" s="16"/>
      <c r="C339" s="16"/>
      <c r="D339" s="16"/>
      <c r="E339" s="16"/>
      <c r="F339" s="24"/>
      <c r="G339" s="24"/>
      <c r="H339" s="18" t="str">
        <f aca="false">IF(OR(F339="",G339=""),"",(G339-F339)*24)</f>
        <v/>
      </c>
      <c r="I339" s="18" t="str">
        <f aca="false">IF(C339="","",SUMIF(Test_Times!$E$5:$E$863,C339&amp;"|"&amp;D339,Test_Times!$L$5:$L$863)+N(E339)*SUMIF(Test_Times!$E$5:$E$863,C339&amp;"|"&amp;D339,Test_Times!$Q$5:$Q$863))</f>
        <v/>
      </c>
      <c r="J339" s="18" t="str">
        <f aca="false">IF(OR(H339="",N(I339)=0),"",H339/I339)</f>
        <v/>
      </c>
      <c r="K339" s="16"/>
    </row>
    <row r="340" customFormat="false" ht="15" hidden="false" customHeight="false" outlineLevel="0" collapsed="false">
      <c r="A340" s="23"/>
      <c r="B340" s="16"/>
      <c r="C340" s="16"/>
      <c r="D340" s="16"/>
      <c r="E340" s="16"/>
      <c r="F340" s="24"/>
      <c r="G340" s="24"/>
      <c r="H340" s="18" t="str">
        <f aca="false">IF(OR(F340="",G340=""),"",(G340-F340)*24)</f>
        <v/>
      </c>
      <c r="I340" s="18" t="str">
        <f aca="false">IF(C340="","",SUMIF(Test_Times!$E$5:$E$863,C340&amp;"|"&amp;D340,Test_Times!$L$5:$L$863)+N(E340)*SUMIF(Test_Times!$E$5:$E$863,C340&amp;"|"&amp;D340,Test_Times!$Q$5:$Q$863))</f>
        <v/>
      </c>
      <c r="J340" s="18" t="str">
        <f aca="false">IF(OR(H340="",N(I340)=0),"",H340/I340)</f>
        <v/>
      </c>
      <c r="K340" s="16"/>
    </row>
    <row r="341" customFormat="false" ht="15" hidden="false" customHeight="false" outlineLevel="0" collapsed="false">
      <c r="A341" s="23"/>
      <c r="B341" s="16"/>
      <c r="C341" s="16"/>
      <c r="D341" s="16"/>
      <c r="E341" s="16"/>
      <c r="F341" s="24"/>
      <c r="G341" s="24"/>
      <c r="H341" s="18" t="str">
        <f aca="false">IF(OR(F341="",G341=""),"",(G341-F341)*24)</f>
        <v/>
      </c>
      <c r="I341" s="18" t="str">
        <f aca="false">IF(C341="","",SUMIF(Test_Times!$E$5:$E$863,C341&amp;"|"&amp;D341,Test_Times!$L$5:$L$863)+N(E341)*SUMIF(Test_Times!$E$5:$E$863,C341&amp;"|"&amp;D341,Test_Times!$Q$5:$Q$863))</f>
        <v/>
      </c>
      <c r="J341" s="18" t="str">
        <f aca="false">IF(OR(H341="",N(I341)=0),"",H341/I341)</f>
        <v/>
      </c>
      <c r="K341" s="16"/>
    </row>
    <row r="342" customFormat="false" ht="15" hidden="false" customHeight="false" outlineLevel="0" collapsed="false">
      <c r="A342" s="23"/>
      <c r="B342" s="16"/>
      <c r="C342" s="16"/>
      <c r="D342" s="16"/>
      <c r="E342" s="16"/>
      <c r="F342" s="24"/>
      <c r="G342" s="24"/>
      <c r="H342" s="18" t="str">
        <f aca="false">IF(OR(F342="",G342=""),"",(G342-F342)*24)</f>
        <v/>
      </c>
      <c r="I342" s="18" t="str">
        <f aca="false">IF(C342="","",SUMIF(Test_Times!$E$5:$E$863,C342&amp;"|"&amp;D342,Test_Times!$L$5:$L$863)+N(E342)*SUMIF(Test_Times!$E$5:$E$863,C342&amp;"|"&amp;D342,Test_Times!$Q$5:$Q$863))</f>
        <v/>
      </c>
      <c r="J342" s="18" t="str">
        <f aca="false">IF(OR(H342="",N(I342)=0),"",H342/I342)</f>
        <v/>
      </c>
      <c r="K342" s="16"/>
    </row>
    <row r="343" customFormat="false" ht="15" hidden="false" customHeight="false" outlineLevel="0" collapsed="false">
      <c r="A343" s="23"/>
      <c r="B343" s="16"/>
      <c r="C343" s="16"/>
      <c r="D343" s="16"/>
      <c r="E343" s="16"/>
      <c r="F343" s="24"/>
      <c r="G343" s="24"/>
      <c r="H343" s="18" t="str">
        <f aca="false">IF(OR(F343="",G343=""),"",(G343-F343)*24)</f>
        <v/>
      </c>
      <c r="I343" s="18" t="str">
        <f aca="false">IF(C343="","",SUMIF(Test_Times!$E$5:$E$863,C343&amp;"|"&amp;D343,Test_Times!$L$5:$L$863)+N(E343)*SUMIF(Test_Times!$E$5:$E$863,C343&amp;"|"&amp;D343,Test_Times!$Q$5:$Q$863))</f>
        <v/>
      </c>
      <c r="J343" s="18" t="str">
        <f aca="false">IF(OR(H343="",N(I343)=0),"",H343/I343)</f>
        <v/>
      </c>
      <c r="K343" s="16"/>
    </row>
    <row r="344" customFormat="false" ht="15" hidden="false" customHeight="false" outlineLevel="0" collapsed="false">
      <c r="A344" s="23"/>
      <c r="B344" s="16"/>
      <c r="C344" s="16"/>
      <c r="D344" s="16"/>
      <c r="E344" s="16"/>
      <c r="F344" s="24"/>
      <c r="G344" s="24"/>
      <c r="H344" s="18" t="str">
        <f aca="false">IF(OR(F344="",G344=""),"",(G344-F344)*24)</f>
        <v/>
      </c>
      <c r="I344" s="18" t="str">
        <f aca="false">IF(C344="","",SUMIF(Test_Times!$E$5:$E$863,C344&amp;"|"&amp;D344,Test_Times!$L$5:$L$863)+N(E344)*SUMIF(Test_Times!$E$5:$E$863,C344&amp;"|"&amp;D344,Test_Times!$Q$5:$Q$863))</f>
        <v/>
      </c>
      <c r="J344" s="18" t="str">
        <f aca="false">IF(OR(H344="",N(I344)=0),"",H344/I344)</f>
        <v/>
      </c>
      <c r="K344" s="16"/>
    </row>
    <row r="345" customFormat="false" ht="15" hidden="false" customHeight="false" outlineLevel="0" collapsed="false">
      <c r="A345" s="23"/>
      <c r="B345" s="16"/>
      <c r="C345" s="16"/>
      <c r="D345" s="16"/>
      <c r="E345" s="16"/>
      <c r="F345" s="24"/>
      <c r="G345" s="24"/>
      <c r="H345" s="18" t="str">
        <f aca="false">IF(OR(F345="",G345=""),"",(G345-F345)*24)</f>
        <v/>
      </c>
      <c r="I345" s="18" t="str">
        <f aca="false">IF(C345="","",SUMIF(Test_Times!$E$5:$E$863,C345&amp;"|"&amp;D345,Test_Times!$L$5:$L$863)+N(E345)*SUMIF(Test_Times!$E$5:$E$863,C345&amp;"|"&amp;D345,Test_Times!$Q$5:$Q$863))</f>
        <v/>
      </c>
      <c r="J345" s="18" t="str">
        <f aca="false">IF(OR(H345="",N(I345)=0),"",H345/I345)</f>
        <v/>
      </c>
      <c r="K345" s="16"/>
    </row>
    <row r="346" customFormat="false" ht="15" hidden="false" customHeight="false" outlineLevel="0" collapsed="false">
      <c r="A346" s="23"/>
      <c r="B346" s="16"/>
      <c r="C346" s="16"/>
      <c r="D346" s="16"/>
      <c r="E346" s="16"/>
      <c r="F346" s="24"/>
      <c r="G346" s="24"/>
      <c r="H346" s="18" t="str">
        <f aca="false">IF(OR(F346="",G346=""),"",(G346-F346)*24)</f>
        <v/>
      </c>
      <c r="I346" s="18" t="str">
        <f aca="false">IF(C346="","",SUMIF(Test_Times!$E$5:$E$863,C346&amp;"|"&amp;D346,Test_Times!$L$5:$L$863)+N(E346)*SUMIF(Test_Times!$E$5:$E$863,C346&amp;"|"&amp;D346,Test_Times!$Q$5:$Q$863))</f>
        <v/>
      </c>
      <c r="J346" s="18" t="str">
        <f aca="false">IF(OR(H346="",N(I346)=0),"",H346/I346)</f>
        <v/>
      </c>
      <c r="K346" s="16"/>
    </row>
    <row r="347" customFormat="false" ht="15" hidden="false" customHeight="false" outlineLevel="0" collapsed="false">
      <c r="A347" s="23"/>
      <c r="B347" s="16"/>
      <c r="C347" s="16"/>
      <c r="D347" s="16"/>
      <c r="E347" s="16"/>
      <c r="F347" s="24"/>
      <c r="G347" s="24"/>
      <c r="H347" s="18" t="str">
        <f aca="false">IF(OR(F347="",G347=""),"",(G347-F347)*24)</f>
        <v/>
      </c>
      <c r="I347" s="18" t="str">
        <f aca="false">IF(C347="","",SUMIF(Test_Times!$E$5:$E$863,C347&amp;"|"&amp;D347,Test_Times!$L$5:$L$863)+N(E347)*SUMIF(Test_Times!$E$5:$E$863,C347&amp;"|"&amp;D347,Test_Times!$Q$5:$Q$863))</f>
        <v/>
      </c>
      <c r="J347" s="18" t="str">
        <f aca="false">IF(OR(H347="",N(I347)=0),"",H347/I347)</f>
        <v/>
      </c>
      <c r="K347" s="16"/>
    </row>
    <row r="348" customFormat="false" ht="15" hidden="false" customHeight="false" outlineLevel="0" collapsed="false">
      <c r="A348" s="23"/>
      <c r="B348" s="16"/>
      <c r="C348" s="16"/>
      <c r="D348" s="16"/>
      <c r="E348" s="16"/>
      <c r="F348" s="24"/>
      <c r="G348" s="24"/>
      <c r="H348" s="18" t="str">
        <f aca="false">IF(OR(F348="",G348=""),"",(G348-F348)*24)</f>
        <v/>
      </c>
      <c r="I348" s="18" t="str">
        <f aca="false">IF(C348="","",SUMIF(Test_Times!$E$5:$E$863,C348&amp;"|"&amp;D348,Test_Times!$L$5:$L$863)+N(E348)*SUMIF(Test_Times!$E$5:$E$863,C348&amp;"|"&amp;D348,Test_Times!$Q$5:$Q$863))</f>
        <v/>
      </c>
      <c r="J348" s="18" t="str">
        <f aca="false">IF(OR(H348="",N(I348)=0),"",H348/I348)</f>
        <v/>
      </c>
      <c r="K348" s="16"/>
    </row>
    <row r="349" customFormat="false" ht="15" hidden="false" customHeight="false" outlineLevel="0" collapsed="false">
      <c r="A349" s="23"/>
      <c r="B349" s="16"/>
      <c r="C349" s="16"/>
      <c r="D349" s="16"/>
      <c r="E349" s="16"/>
      <c r="F349" s="24"/>
      <c r="G349" s="24"/>
      <c r="H349" s="18" t="str">
        <f aca="false">IF(OR(F349="",G349=""),"",(G349-F349)*24)</f>
        <v/>
      </c>
      <c r="I349" s="18" t="str">
        <f aca="false">IF(C349="","",SUMIF(Test_Times!$E$5:$E$863,C349&amp;"|"&amp;D349,Test_Times!$L$5:$L$863)+N(E349)*SUMIF(Test_Times!$E$5:$E$863,C349&amp;"|"&amp;D349,Test_Times!$Q$5:$Q$863))</f>
        <v/>
      </c>
      <c r="J349" s="18" t="str">
        <f aca="false">IF(OR(H349="",N(I349)=0),"",H349/I349)</f>
        <v/>
      </c>
      <c r="K349" s="16"/>
    </row>
    <row r="350" customFormat="false" ht="15" hidden="false" customHeight="false" outlineLevel="0" collapsed="false">
      <c r="A350" s="23"/>
      <c r="B350" s="16"/>
      <c r="C350" s="16"/>
      <c r="D350" s="16"/>
      <c r="E350" s="16"/>
      <c r="F350" s="24"/>
      <c r="G350" s="24"/>
      <c r="H350" s="18" t="str">
        <f aca="false">IF(OR(F350="",G350=""),"",(G350-F350)*24)</f>
        <v/>
      </c>
      <c r="I350" s="18" t="str">
        <f aca="false">IF(C350="","",SUMIF(Test_Times!$E$5:$E$863,C350&amp;"|"&amp;D350,Test_Times!$L$5:$L$863)+N(E350)*SUMIF(Test_Times!$E$5:$E$863,C350&amp;"|"&amp;D350,Test_Times!$Q$5:$Q$863))</f>
        <v/>
      </c>
      <c r="J350" s="18" t="str">
        <f aca="false">IF(OR(H350="",N(I350)=0),"",H350/I350)</f>
        <v/>
      </c>
      <c r="K350" s="16"/>
    </row>
    <row r="351" customFormat="false" ht="15" hidden="false" customHeight="false" outlineLevel="0" collapsed="false">
      <c r="A351" s="23"/>
      <c r="B351" s="16"/>
      <c r="C351" s="16"/>
      <c r="D351" s="16"/>
      <c r="E351" s="16"/>
      <c r="F351" s="24"/>
      <c r="G351" s="24"/>
      <c r="H351" s="18" t="str">
        <f aca="false">IF(OR(F351="",G351=""),"",(G351-F351)*24)</f>
        <v/>
      </c>
      <c r="I351" s="18" t="str">
        <f aca="false">IF(C351="","",SUMIF(Test_Times!$E$5:$E$863,C351&amp;"|"&amp;D351,Test_Times!$L$5:$L$863)+N(E351)*SUMIF(Test_Times!$E$5:$E$863,C351&amp;"|"&amp;D351,Test_Times!$Q$5:$Q$863))</f>
        <v/>
      </c>
      <c r="J351" s="18" t="str">
        <f aca="false">IF(OR(H351="",N(I351)=0),"",H351/I351)</f>
        <v/>
      </c>
      <c r="K351" s="16"/>
    </row>
    <row r="352" customFormat="false" ht="15" hidden="false" customHeight="false" outlineLevel="0" collapsed="false">
      <c r="A352" s="23"/>
      <c r="B352" s="16"/>
      <c r="C352" s="16"/>
      <c r="D352" s="16"/>
      <c r="E352" s="16"/>
      <c r="F352" s="24"/>
      <c r="G352" s="24"/>
      <c r="H352" s="18" t="str">
        <f aca="false">IF(OR(F352="",G352=""),"",(G352-F352)*24)</f>
        <v/>
      </c>
      <c r="I352" s="18" t="str">
        <f aca="false">IF(C352="","",SUMIF(Test_Times!$E$5:$E$863,C352&amp;"|"&amp;D352,Test_Times!$L$5:$L$863)+N(E352)*SUMIF(Test_Times!$E$5:$E$863,C352&amp;"|"&amp;D352,Test_Times!$Q$5:$Q$863))</f>
        <v/>
      </c>
      <c r="J352" s="18" t="str">
        <f aca="false">IF(OR(H352="",N(I352)=0),"",H352/I352)</f>
        <v/>
      </c>
      <c r="K352" s="16"/>
    </row>
    <row r="353" customFormat="false" ht="15" hidden="false" customHeight="false" outlineLevel="0" collapsed="false">
      <c r="A353" s="23"/>
      <c r="B353" s="16"/>
      <c r="C353" s="16"/>
      <c r="D353" s="16"/>
      <c r="E353" s="16"/>
      <c r="F353" s="24"/>
      <c r="G353" s="24"/>
      <c r="H353" s="18" t="str">
        <f aca="false">IF(OR(F353="",G353=""),"",(G353-F353)*24)</f>
        <v/>
      </c>
      <c r="I353" s="18" t="str">
        <f aca="false">IF(C353="","",SUMIF(Test_Times!$E$5:$E$863,C353&amp;"|"&amp;D353,Test_Times!$L$5:$L$863)+N(E353)*SUMIF(Test_Times!$E$5:$E$863,C353&amp;"|"&amp;D353,Test_Times!$Q$5:$Q$863))</f>
        <v/>
      </c>
      <c r="J353" s="18" t="str">
        <f aca="false">IF(OR(H353="",N(I353)=0),"",H353/I353)</f>
        <v/>
      </c>
      <c r="K353" s="16"/>
    </row>
    <row r="354" customFormat="false" ht="15" hidden="false" customHeight="false" outlineLevel="0" collapsed="false">
      <c r="A354" s="23"/>
      <c r="B354" s="16"/>
      <c r="C354" s="16"/>
      <c r="D354" s="16"/>
      <c r="E354" s="16"/>
      <c r="F354" s="24"/>
      <c r="G354" s="24"/>
      <c r="H354" s="18" t="str">
        <f aca="false">IF(OR(F354="",G354=""),"",(G354-F354)*24)</f>
        <v/>
      </c>
      <c r="I354" s="18" t="str">
        <f aca="false">IF(C354="","",SUMIF(Test_Times!$E$5:$E$863,C354&amp;"|"&amp;D354,Test_Times!$L$5:$L$863)+N(E354)*SUMIF(Test_Times!$E$5:$E$863,C354&amp;"|"&amp;D354,Test_Times!$Q$5:$Q$863))</f>
        <v/>
      </c>
      <c r="J354" s="18" t="str">
        <f aca="false">IF(OR(H354="",N(I354)=0),"",H354/I354)</f>
        <v/>
      </c>
      <c r="K354" s="16"/>
    </row>
    <row r="355" customFormat="false" ht="15" hidden="false" customHeight="false" outlineLevel="0" collapsed="false">
      <c r="A355" s="23"/>
      <c r="B355" s="16"/>
      <c r="C355" s="16"/>
      <c r="D355" s="16"/>
      <c r="E355" s="16"/>
      <c r="F355" s="24"/>
      <c r="G355" s="24"/>
      <c r="H355" s="18" t="str">
        <f aca="false">IF(OR(F355="",G355=""),"",(G355-F355)*24)</f>
        <v/>
      </c>
      <c r="I355" s="18" t="str">
        <f aca="false">IF(C355="","",SUMIF(Test_Times!$E$5:$E$863,C355&amp;"|"&amp;D355,Test_Times!$L$5:$L$863)+N(E355)*SUMIF(Test_Times!$E$5:$E$863,C355&amp;"|"&amp;D355,Test_Times!$Q$5:$Q$863))</f>
        <v/>
      </c>
      <c r="J355" s="18" t="str">
        <f aca="false">IF(OR(H355="",N(I355)=0),"",H355/I355)</f>
        <v/>
      </c>
      <c r="K355" s="16"/>
    </row>
    <row r="356" customFormat="false" ht="15" hidden="false" customHeight="false" outlineLevel="0" collapsed="false">
      <c r="A356" s="23"/>
      <c r="B356" s="16"/>
      <c r="C356" s="16"/>
      <c r="D356" s="16"/>
      <c r="E356" s="16"/>
      <c r="F356" s="24"/>
      <c r="G356" s="24"/>
      <c r="H356" s="18" t="str">
        <f aca="false">IF(OR(F356="",G356=""),"",(G356-F356)*24)</f>
        <v/>
      </c>
      <c r="I356" s="18" t="str">
        <f aca="false">IF(C356="","",SUMIF(Test_Times!$E$5:$E$863,C356&amp;"|"&amp;D356,Test_Times!$L$5:$L$863)+N(E356)*SUMIF(Test_Times!$E$5:$E$863,C356&amp;"|"&amp;D356,Test_Times!$Q$5:$Q$863))</f>
        <v/>
      </c>
      <c r="J356" s="18" t="str">
        <f aca="false">IF(OR(H356="",N(I356)=0),"",H356/I356)</f>
        <v/>
      </c>
      <c r="K356" s="16"/>
    </row>
    <row r="357" customFormat="false" ht="15" hidden="false" customHeight="false" outlineLevel="0" collapsed="false">
      <c r="A357" s="23"/>
      <c r="B357" s="16"/>
      <c r="C357" s="16"/>
      <c r="D357" s="16"/>
      <c r="E357" s="16"/>
      <c r="F357" s="24"/>
      <c r="G357" s="24"/>
      <c r="H357" s="18" t="str">
        <f aca="false">IF(OR(F357="",G357=""),"",(G357-F357)*24)</f>
        <v/>
      </c>
      <c r="I357" s="18" t="str">
        <f aca="false">IF(C357="","",SUMIF(Test_Times!$E$5:$E$863,C357&amp;"|"&amp;D357,Test_Times!$L$5:$L$863)+N(E357)*SUMIF(Test_Times!$E$5:$E$863,C357&amp;"|"&amp;D357,Test_Times!$Q$5:$Q$863))</f>
        <v/>
      </c>
      <c r="J357" s="18" t="str">
        <f aca="false">IF(OR(H357="",N(I357)=0),"",H357/I357)</f>
        <v/>
      </c>
      <c r="K357" s="16"/>
    </row>
    <row r="358" customFormat="false" ht="15" hidden="false" customHeight="false" outlineLevel="0" collapsed="false">
      <c r="A358" s="23"/>
      <c r="B358" s="16"/>
      <c r="C358" s="16"/>
      <c r="D358" s="16"/>
      <c r="E358" s="16"/>
      <c r="F358" s="24"/>
      <c r="G358" s="24"/>
      <c r="H358" s="18" t="str">
        <f aca="false">IF(OR(F358="",G358=""),"",(G358-F358)*24)</f>
        <v/>
      </c>
      <c r="I358" s="18" t="str">
        <f aca="false">IF(C358="","",SUMIF(Test_Times!$E$5:$E$863,C358&amp;"|"&amp;D358,Test_Times!$L$5:$L$863)+N(E358)*SUMIF(Test_Times!$E$5:$E$863,C358&amp;"|"&amp;D358,Test_Times!$Q$5:$Q$863))</f>
        <v/>
      </c>
      <c r="J358" s="18" t="str">
        <f aca="false">IF(OR(H358="",N(I358)=0),"",H358/I358)</f>
        <v/>
      </c>
      <c r="K358" s="16"/>
    </row>
    <row r="359" customFormat="false" ht="15" hidden="false" customHeight="false" outlineLevel="0" collapsed="false">
      <c r="A359" s="23"/>
      <c r="B359" s="16"/>
      <c r="C359" s="16"/>
      <c r="D359" s="16"/>
      <c r="E359" s="16"/>
      <c r="F359" s="24"/>
      <c r="G359" s="24"/>
      <c r="H359" s="18" t="str">
        <f aca="false">IF(OR(F359="",G359=""),"",(G359-F359)*24)</f>
        <v/>
      </c>
      <c r="I359" s="18" t="str">
        <f aca="false">IF(C359="","",SUMIF(Test_Times!$E$5:$E$863,C359&amp;"|"&amp;D359,Test_Times!$L$5:$L$863)+N(E359)*SUMIF(Test_Times!$E$5:$E$863,C359&amp;"|"&amp;D359,Test_Times!$Q$5:$Q$863))</f>
        <v/>
      </c>
      <c r="J359" s="18" t="str">
        <f aca="false">IF(OR(H359="",N(I359)=0),"",H359/I359)</f>
        <v/>
      </c>
      <c r="K359" s="16"/>
    </row>
    <row r="360" customFormat="false" ht="15" hidden="false" customHeight="false" outlineLevel="0" collapsed="false">
      <c r="A360" s="23"/>
      <c r="B360" s="16"/>
      <c r="C360" s="16"/>
      <c r="D360" s="16"/>
      <c r="E360" s="16"/>
      <c r="F360" s="24"/>
      <c r="G360" s="24"/>
      <c r="H360" s="18" t="str">
        <f aca="false">IF(OR(F360="",G360=""),"",(G360-F360)*24)</f>
        <v/>
      </c>
      <c r="I360" s="18" t="str">
        <f aca="false">IF(C360="","",SUMIF(Test_Times!$E$5:$E$863,C360&amp;"|"&amp;D360,Test_Times!$L$5:$L$863)+N(E360)*SUMIF(Test_Times!$E$5:$E$863,C360&amp;"|"&amp;D360,Test_Times!$Q$5:$Q$863))</f>
        <v/>
      </c>
      <c r="J360" s="18" t="str">
        <f aca="false">IF(OR(H360="",N(I360)=0),"",H360/I360)</f>
        <v/>
      </c>
      <c r="K360" s="16"/>
    </row>
    <row r="361" customFormat="false" ht="15" hidden="false" customHeight="false" outlineLevel="0" collapsed="false">
      <c r="A361" s="23"/>
      <c r="B361" s="16"/>
      <c r="C361" s="16"/>
      <c r="D361" s="16"/>
      <c r="E361" s="16"/>
      <c r="F361" s="24"/>
      <c r="G361" s="24"/>
      <c r="H361" s="18" t="str">
        <f aca="false">IF(OR(F361="",G361=""),"",(G361-F361)*24)</f>
        <v/>
      </c>
      <c r="I361" s="18" t="str">
        <f aca="false">IF(C361="","",SUMIF(Test_Times!$E$5:$E$863,C361&amp;"|"&amp;D361,Test_Times!$L$5:$L$863)+N(E361)*SUMIF(Test_Times!$E$5:$E$863,C361&amp;"|"&amp;D361,Test_Times!$Q$5:$Q$863))</f>
        <v/>
      </c>
      <c r="J361" s="18" t="str">
        <f aca="false">IF(OR(H361="",N(I361)=0),"",H361/I361)</f>
        <v/>
      </c>
      <c r="K361" s="16"/>
    </row>
    <row r="362" customFormat="false" ht="15" hidden="false" customHeight="false" outlineLevel="0" collapsed="false">
      <c r="A362" s="23"/>
      <c r="B362" s="16"/>
      <c r="C362" s="16"/>
      <c r="D362" s="16"/>
      <c r="E362" s="16"/>
      <c r="F362" s="24"/>
      <c r="G362" s="24"/>
      <c r="H362" s="18" t="str">
        <f aca="false">IF(OR(F362="",G362=""),"",(G362-F362)*24)</f>
        <v/>
      </c>
      <c r="I362" s="18" t="str">
        <f aca="false">IF(C362="","",SUMIF(Test_Times!$E$5:$E$863,C362&amp;"|"&amp;D362,Test_Times!$L$5:$L$863)+N(E362)*SUMIF(Test_Times!$E$5:$E$863,C362&amp;"|"&amp;D362,Test_Times!$Q$5:$Q$863))</f>
        <v/>
      </c>
      <c r="J362" s="18" t="str">
        <f aca="false">IF(OR(H362="",N(I362)=0),"",H362/I362)</f>
        <v/>
      </c>
      <c r="K362" s="16"/>
    </row>
    <row r="363" customFormat="false" ht="15" hidden="false" customHeight="false" outlineLevel="0" collapsed="false">
      <c r="A363" s="23"/>
      <c r="B363" s="16"/>
      <c r="C363" s="16"/>
      <c r="D363" s="16"/>
      <c r="E363" s="16"/>
      <c r="F363" s="24"/>
      <c r="G363" s="24"/>
      <c r="H363" s="18" t="str">
        <f aca="false">IF(OR(F363="",G363=""),"",(G363-F363)*24)</f>
        <v/>
      </c>
      <c r="I363" s="18" t="str">
        <f aca="false">IF(C363="","",SUMIF(Test_Times!$E$5:$E$863,C363&amp;"|"&amp;D363,Test_Times!$L$5:$L$863)+N(E363)*SUMIF(Test_Times!$E$5:$E$863,C363&amp;"|"&amp;D363,Test_Times!$Q$5:$Q$863))</f>
        <v/>
      </c>
      <c r="J363" s="18" t="str">
        <f aca="false">IF(OR(H363="",N(I363)=0),"",H363/I363)</f>
        <v/>
      </c>
      <c r="K363" s="16"/>
    </row>
    <row r="364" customFormat="false" ht="15" hidden="false" customHeight="false" outlineLevel="0" collapsed="false">
      <c r="A364" s="23"/>
      <c r="B364" s="16"/>
      <c r="C364" s="16"/>
      <c r="D364" s="16"/>
      <c r="E364" s="16"/>
      <c r="F364" s="24"/>
      <c r="G364" s="24"/>
      <c r="H364" s="18" t="str">
        <f aca="false">IF(OR(F364="",G364=""),"",(G364-F364)*24)</f>
        <v/>
      </c>
      <c r="I364" s="18" t="str">
        <f aca="false">IF(C364="","",SUMIF(Test_Times!$E$5:$E$863,C364&amp;"|"&amp;D364,Test_Times!$L$5:$L$863)+N(E364)*SUMIF(Test_Times!$E$5:$E$863,C364&amp;"|"&amp;D364,Test_Times!$Q$5:$Q$863))</f>
        <v/>
      </c>
      <c r="J364" s="18" t="str">
        <f aca="false">IF(OR(H364="",N(I364)=0),"",H364/I364)</f>
        <v/>
      </c>
      <c r="K364" s="16"/>
    </row>
    <row r="365" customFormat="false" ht="15" hidden="false" customHeight="false" outlineLevel="0" collapsed="false">
      <c r="A365" s="23"/>
      <c r="B365" s="16"/>
      <c r="C365" s="16"/>
      <c r="D365" s="16"/>
      <c r="E365" s="16"/>
      <c r="F365" s="24"/>
      <c r="G365" s="24"/>
      <c r="H365" s="18" t="str">
        <f aca="false">IF(OR(F365="",G365=""),"",(G365-F365)*24)</f>
        <v/>
      </c>
      <c r="I365" s="18" t="str">
        <f aca="false">IF(C365="","",SUMIF(Test_Times!$E$5:$E$863,C365&amp;"|"&amp;D365,Test_Times!$L$5:$L$863)+N(E365)*SUMIF(Test_Times!$E$5:$E$863,C365&amp;"|"&amp;D365,Test_Times!$Q$5:$Q$863))</f>
        <v/>
      </c>
      <c r="J365" s="18" t="str">
        <f aca="false">IF(OR(H365="",N(I365)=0),"",H365/I365)</f>
        <v/>
      </c>
      <c r="K365" s="16"/>
    </row>
    <row r="366" customFormat="false" ht="15" hidden="false" customHeight="false" outlineLevel="0" collapsed="false">
      <c r="A366" s="23"/>
      <c r="B366" s="16"/>
      <c r="C366" s="16"/>
      <c r="D366" s="16"/>
      <c r="E366" s="16"/>
      <c r="F366" s="24"/>
      <c r="G366" s="24"/>
      <c r="H366" s="18" t="str">
        <f aca="false">IF(OR(F366="",G366=""),"",(G366-F366)*24)</f>
        <v/>
      </c>
      <c r="I366" s="18" t="str">
        <f aca="false">IF(C366="","",SUMIF(Test_Times!$E$5:$E$863,C366&amp;"|"&amp;D366,Test_Times!$L$5:$L$863)+N(E366)*SUMIF(Test_Times!$E$5:$E$863,C366&amp;"|"&amp;D366,Test_Times!$Q$5:$Q$863))</f>
        <v/>
      </c>
      <c r="J366" s="18" t="str">
        <f aca="false">IF(OR(H366="",N(I366)=0),"",H366/I366)</f>
        <v/>
      </c>
      <c r="K366" s="16"/>
    </row>
    <row r="367" customFormat="false" ht="15" hidden="false" customHeight="false" outlineLevel="0" collapsed="false">
      <c r="A367" s="23"/>
      <c r="B367" s="16"/>
      <c r="C367" s="16"/>
      <c r="D367" s="16"/>
      <c r="E367" s="16"/>
      <c r="F367" s="24"/>
      <c r="G367" s="24"/>
      <c r="H367" s="18" t="str">
        <f aca="false">IF(OR(F367="",G367=""),"",(G367-F367)*24)</f>
        <v/>
      </c>
      <c r="I367" s="18" t="str">
        <f aca="false">IF(C367="","",SUMIF(Test_Times!$E$5:$E$863,C367&amp;"|"&amp;D367,Test_Times!$L$5:$L$863)+N(E367)*SUMIF(Test_Times!$E$5:$E$863,C367&amp;"|"&amp;D367,Test_Times!$Q$5:$Q$863))</f>
        <v/>
      </c>
      <c r="J367" s="18" t="str">
        <f aca="false">IF(OR(H367="",N(I367)=0),"",H367/I367)</f>
        <v/>
      </c>
      <c r="K367" s="16"/>
    </row>
    <row r="368" customFormat="false" ht="15" hidden="false" customHeight="false" outlineLevel="0" collapsed="false">
      <c r="A368" s="23"/>
      <c r="B368" s="16"/>
      <c r="C368" s="16"/>
      <c r="D368" s="16"/>
      <c r="E368" s="16"/>
      <c r="F368" s="24"/>
      <c r="G368" s="24"/>
      <c r="H368" s="18" t="str">
        <f aca="false">IF(OR(F368="",G368=""),"",(G368-F368)*24)</f>
        <v/>
      </c>
      <c r="I368" s="18" t="str">
        <f aca="false">IF(C368="","",SUMIF(Test_Times!$E$5:$E$863,C368&amp;"|"&amp;D368,Test_Times!$L$5:$L$863)+N(E368)*SUMIF(Test_Times!$E$5:$E$863,C368&amp;"|"&amp;D368,Test_Times!$Q$5:$Q$863))</f>
        <v/>
      </c>
      <c r="J368" s="18" t="str">
        <f aca="false">IF(OR(H368="",N(I368)=0),"",H368/I368)</f>
        <v/>
      </c>
      <c r="K368" s="16"/>
    </row>
    <row r="369" customFormat="false" ht="15" hidden="false" customHeight="false" outlineLevel="0" collapsed="false">
      <c r="A369" s="23"/>
      <c r="B369" s="16"/>
      <c r="C369" s="16"/>
      <c r="D369" s="16"/>
      <c r="E369" s="16"/>
      <c r="F369" s="24"/>
      <c r="G369" s="24"/>
      <c r="H369" s="18" t="str">
        <f aca="false">IF(OR(F369="",G369=""),"",(G369-F369)*24)</f>
        <v/>
      </c>
      <c r="I369" s="18" t="str">
        <f aca="false">IF(C369="","",SUMIF(Test_Times!$E$5:$E$863,C369&amp;"|"&amp;D369,Test_Times!$L$5:$L$863)+N(E369)*SUMIF(Test_Times!$E$5:$E$863,C369&amp;"|"&amp;D369,Test_Times!$Q$5:$Q$863))</f>
        <v/>
      </c>
      <c r="J369" s="18" t="str">
        <f aca="false">IF(OR(H369="",N(I369)=0),"",H369/I369)</f>
        <v/>
      </c>
      <c r="K369" s="16"/>
    </row>
    <row r="370" customFormat="false" ht="15" hidden="false" customHeight="false" outlineLevel="0" collapsed="false">
      <c r="A370" s="23"/>
      <c r="B370" s="16"/>
      <c r="C370" s="16"/>
      <c r="D370" s="16"/>
      <c r="E370" s="16"/>
      <c r="F370" s="24"/>
      <c r="G370" s="24"/>
      <c r="H370" s="18" t="str">
        <f aca="false">IF(OR(F370="",G370=""),"",(G370-F370)*24)</f>
        <v/>
      </c>
      <c r="I370" s="18" t="str">
        <f aca="false">IF(C370="","",SUMIF(Test_Times!$E$5:$E$863,C370&amp;"|"&amp;D370,Test_Times!$L$5:$L$863)+N(E370)*SUMIF(Test_Times!$E$5:$E$863,C370&amp;"|"&amp;D370,Test_Times!$Q$5:$Q$863))</f>
        <v/>
      </c>
      <c r="J370" s="18" t="str">
        <f aca="false">IF(OR(H370="",N(I370)=0),"",H370/I370)</f>
        <v/>
      </c>
      <c r="K370" s="16"/>
    </row>
    <row r="371" customFormat="false" ht="15" hidden="false" customHeight="false" outlineLevel="0" collapsed="false">
      <c r="A371" s="23"/>
      <c r="B371" s="16"/>
      <c r="C371" s="16"/>
      <c r="D371" s="16"/>
      <c r="E371" s="16"/>
      <c r="F371" s="24"/>
      <c r="G371" s="24"/>
      <c r="H371" s="18" t="str">
        <f aca="false">IF(OR(F371="",G371=""),"",(G371-F371)*24)</f>
        <v/>
      </c>
      <c r="I371" s="18" t="str">
        <f aca="false">IF(C371="","",SUMIF(Test_Times!$E$5:$E$863,C371&amp;"|"&amp;D371,Test_Times!$L$5:$L$863)+N(E371)*SUMIF(Test_Times!$E$5:$E$863,C371&amp;"|"&amp;D371,Test_Times!$Q$5:$Q$863))</f>
        <v/>
      </c>
      <c r="J371" s="18" t="str">
        <f aca="false">IF(OR(H371="",N(I371)=0),"",H371/I371)</f>
        <v/>
      </c>
      <c r="K371" s="16"/>
    </row>
    <row r="372" customFormat="false" ht="15" hidden="false" customHeight="false" outlineLevel="0" collapsed="false">
      <c r="A372" s="23"/>
      <c r="B372" s="16"/>
      <c r="C372" s="16"/>
      <c r="D372" s="16"/>
      <c r="E372" s="16"/>
      <c r="F372" s="24"/>
      <c r="G372" s="24"/>
      <c r="H372" s="18" t="str">
        <f aca="false">IF(OR(F372="",G372=""),"",(G372-F372)*24)</f>
        <v/>
      </c>
      <c r="I372" s="18" t="str">
        <f aca="false">IF(C372="","",SUMIF(Test_Times!$E$5:$E$863,C372&amp;"|"&amp;D372,Test_Times!$L$5:$L$863)+N(E372)*SUMIF(Test_Times!$E$5:$E$863,C372&amp;"|"&amp;D372,Test_Times!$Q$5:$Q$863))</f>
        <v/>
      </c>
      <c r="J372" s="18" t="str">
        <f aca="false">IF(OR(H372="",N(I372)=0),"",H372/I372)</f>
        <v/>
      </c>
      <c r="K372" s="16"/>
    </row>
    <row r="373" customFormat="false" ht="15" hidden="false" customHeight="false" outlineLevel="0" collapsed="false">
      <c r="A373" s="23"/>
      <c r="B373" s="16"/>
      <c r="C373" s="16"/>
      <c r="D373" s="16"/>
      <c r="E373" s="16"/>
      <c r="F373" s="24"/>
      <c r="G373" s="24"/>
      <c r="H373" s="18" t="str">
        <f aca="false">IF(OR(F373="",G373=""),"",(G373-F373)*24)</f>
        <v/>
      </c>
      <c r="I373" s="18" t="str">
        <f aca="false">IF(C373="","",SUMIF(Test_Times!$E$5:$E$863,C373&amp;"|"&amp;D373,Test_Times!$L$5:$L$863)+N(E373)*SUMIF(Test_Times!$E$5:$E$863,C373&amp;"|"&amp;D373,Test_Times!$Q$5:$Q$863))</f>
        <v/>
      </c>
      <c r="J373" s="18" t="str">
        <f aca="false">IF(OR(H373="",N(I373)=0),"",H373/I373)</f>
        <v/>
      </c>
      <c r="K373" s="16"/>
    </row>
    <row r="374" customFormat="false" ht="15" hidden="false" customHeight="false" outlineLevel="0" collapsed="false">
      <c r="A374" s="23"/>
      <c r="B374" s="16"/>
      <c r="C374" s="16"/>
      <c r="D374" s="16"/>
      <c r="E374" s="16"/>
      <c r="F374" s="24"/>
      <c r="G374" s="24"/>
      <c r="H374" s="18" t="str">
        <f aca="false">IF(OR(F374="",G374=""),"",(G374-F374)*24)</f>
        <v/>
      </c>
      <c r="I374" s="18" t="str">
        <f aca="false">IF(C374="","",SUMIF(Test_Times!$E$5:$E$863,C374&amp;"|"&amp;D374,Test_Times!$L$5:$L$863)+N(E374)*SUMIF(Test_Times!$E$5:$E$863,C374&amp;"|"&amp;D374,Test_Times!$Q$5:$Q$863))</f>
        <v/>
      </c>
      <c r="J374" s="18" t="str">
        <f aca="false">IF(OR(H374="",N(I374)=0),"",H374/I374)</f>
        <v/>
      </c>
      <c r="K374" s="16"/>
    </row>
    <row r="375" customFormat="false" ht="15" hidden="false" customHeight="false" outlineLevel="0" collapsed="false">
      <c r="A375" s="23"/>
      <c r="B375" s="16"/>
      <c r="C375" s="16"/>
      <c r="D375" s="16"/>
      <c r="E375" s="16"/>
      <c r="F375" s="24"/>
      <c r="G375" s="24"/>
      <c r="H375" s="18" t="str">
        <f aca="false">IF(OR(F375="",G375=""),"",(G375-F375)*24)</f>
        <v/>
      </c>
      <c r="I375" s="18" t="str">
        <f aca="false">IF(C375="","",SUMIF(Test_Times!$E$5:$E$863,C375&amp;"|"&amp;D375,Test_Times!$L$5:$L$863)+N(E375)*SUMIF(Test_Times!$E$5:$E$863,C375&amp;"|"&amp;D375,Test_Times!$Q$5:$Q$863))</f>
        <v/>
      </c>
      <c r="J375" s="18" t="str">
        <f aca="false">IF(OR(H375="",N(I375)=0),"",H375/I375)</f>
        <v/>
      </c>
      <c r="K375" s="16"/>
    </row>
    <row r="376" customFormat="false" ht="15" hidden="false" customHeight="false" outlineLevel="0" collapsed="false">
      <c r="A376" s="23"/>
      <c r="B376" s="16"/>
      <c r="C376" s="16"/>
      <c r="D376" s="16"/>
      <c r="E376" s="16"/>
      <c r="F376" s="24"/>
      <c r="G376" s="24"/>
      <c r="H376" s="18" t="str">
        <f aca="false">IF(OR(F376="",G376=""),"",(G376-F376)*24)</f>
        <v/>
      </c>
      <c r="I376" s="18" t="str">
        <f aca="false">IF(C376="","",SUMIF(Test_Times!$E$5:$E$863,C376&amp;"|"&amp;D376,Test_Times!$L$5:$L$863)+N(E376)*SUMIF(Test_Times!$E$5:$E$863,C376&amp;"|"&amp;D376,Test_Times!$Q$5:$Q$863))</f>
        <v/>
      </c>
      <c r="J376" s="18" t="str">
        <f aca="false">IF(OR(H376="",N(I376)=0),"",H376/I376)</f>
        <v/>
      </c>
      <c r="K376" s="16"/>
    </row>
    <row r="377" customFormat="false" ht="15" hidden="false" customHeight="false" outlineLevel="0" collapsed="false">
      <c r="A377" s="23"/>
      <c r="B377" s="16"/>
      <c r="C377" s="16"/>
      <c r="D377" s="16"/>
      <c r="E377" s="16"/>
      <c r="F377" s="24"/>
      <c r="G377" s="24"/>
      <c r="H377" s="18" t="str">
        <f aca="false">IF(OR(F377="",G377=""),"",(G377-F377)*24)</f>
        <v/>
      </c>
      <c r="I377" s="18" t="str">
        <f aca="false">IF(C377="","",SUMIF(Test_Times!$E$5:$E$863,C377&amp;"|"&amp;D377,Test_Times!$L$5:$L$863)+N(E377)*SUMIF(Test_Times!$E$5:$E$863,C377&amp;"|"&amp;D377,Test_Times!$Q$5:$Q$863))</f>
        <v/>
      </c>
      <c r="J377" s="18" t="str">
        <f aca="false">IF(OR(H377="",N(I377)=0),"",H377/I377)</f>
        <v/>
      </c>
      <c r="K377" s="16"/>
    </row>
    <row r="378" customFormat="false" ht="15" hidden="false" customHeight="false" outlineLevel="0" collapsed="false">
      <c r="A378" s="23"/>
      <c r="B378" s="16"/>
      <c r="C378" s="16"/>
      <c r="D378" s="16"/>
      <c r="E378" s="16"/>
      <c r="F378" s="24"/>
      <c r="G378" s="24"/>
      <c r="H378" s="18" t="str">
        <f aca="false">IF(OR(F378="",G378=""),"",(G378-F378)*24)</f>
        <v/>
      </c>
      <c r="I378" s="18" t="str">
        <f aca="false">IF(C378="","",SUMIF(Test_Times!$E$5:$E$863,C378&amp;"|"&amp;D378,Test_Times!$L$5:$L$863)+N(E378)*SUMIF(Test_Times!$E$5:$E$863,C378&amp;"|"&amp;D378,Test_Times!$Q$5:$Q$863))</f>
        <v/>
      </c>
      <c r="J378" s="18" t="str">
        <f aca="false">IF(OR(H378="",N(I378)=0),"",H378/I378)</f>
        <v/>
      </c>
      <c r="K378" s="16"/>
    </row>
    <row r="379" customFormat="false" ht="15" hidden="false" customHeight="false" outlineLevel="0" collapsed="false">
      <c r="A379" s="23"/>
      <c r="B379" s="16"/>
      <c r="C379" s="16"/>
      <c r="D379" s="16"/>
      <c r="E379" s="16"/>
      <c r="F379" s="24"/>
      <c r="G379" s="24"/>
      <c r="H379" s="18" t="str">
        <f aca="false">IF(OR(F379="",G379=""),"",(G379-F379)*24)</f>
        <v/>
      </c>
      <c r="I379" s="18" t="str">
        <f aca="false">IF(C379="","",SUMIF(Test_Times!$E$5:$E$863,C379&amp;"|"&amp;D379,Test_Times!$L$5:$L$863)+N(E379)*SUMIF(Test_Times!$E$5:$E$863,C379&amp;"|"&amp;D379,Test_Times!$Q$5:$Q$863))</f>
        <v/>
      </c>
      <c r="J379" s="18" t="str">
        <f aca="false">IF(OR(H379="",N(I379)=0),"",H379/I379)</f>
        <v/>
      </c>
      <c r="K379" s="16"/>
    </row>
    <row r="380" customFormat="false" ht="15" hidden="false" customHeight="false" outlineLevel="0" collapsed="false">
      <c r="A380" s="23"/>
      <c r="B380" s="16"/>
      <c r="C380" s="16"/>
      <c r="D380" s="16"/>
      <c r="E380" s="16"/>
      <c r="F380" s="24"/>
      <c r="G380" s="24"/>
      <c r="H380" s="18" t="str">
        <f aca="false">IF(OR(F380="",G380=""),"",(G380-F380)*24)</f>
        <v/>
      </c>
      <c r="I380" s="18" t="str">
        <f aca="false">IF(C380="","",SUMIF(Test_Times!$E$5:$E$863,C380&amp;"|"&amp;D380,Test_Times!$L$5:$L$863)+N(E380)*SUMIF(Test_Times!$E$5:$E$863,C380&amp;"|"&amp;D380,Test_Times!$Q$5:$Q$863))</f>
        <v/>
      </c>
      <c r="J380" s="18" t="str">
        <f aca="false">IF(OR(H380="",N(I380)=0),"",H380/I380)</f>
        <v/>
      </c>
      <c r="K380" s="16"/>
    </row>
    <row r="381" customFormat="false" ht="15" hidden="false" customHeight="false" outlineLevel="0" collapsed="false">
      <c r="A381" s="23"/>
      <c r="B381" s="16"/>
      <c r="C381" s="16"/>
      <c r="D381" s="16"/>
      <c r="E381" s="16"/>
      <c r="F381" s="24"/>
      <c r="G381" s="24"/>
      <c r="H381" s="18" t="str">
        <f aca="false">IF(OR(F381="",G381=""),"",(G381-F381)*24)</f>
        <v/>
      </c>
      <c r="I381" s="18" t="str">
        <f aca="false">IF(C381="","",SUMIF(Test_Times!$E$5:$E$863,C381&amp;"|"&amp;D381,Test_Times!$L$5:$L$863)+N(E381)*SUMIF(Test_Times!$E$5:$E$863,C381&amp;"|"&amp;D381,Test_Times!$Q$5:$Q$863))</f>
        <v/>
      </c>
      <c r="J381" s="18" t="str">
        <f aca="false">IF(OR(H381="",N(I381)=0),"",H381/I381)</f>
        <v/>
      </c>
      <c r="K381" s="16"/>
    </row>
    <row r="382" customFormat="false" ht="15" hidden="false" customHeight="false" outlineLevel="0" collapsed="false">
      <c r="A382" s="23"/>
      <c r="B382" s="16"/>
      <c r="C382" s="16"/>
      <c r="D382" s="16"/>
      <c r="E382" s="16"/>
      <c r="F382" s="24"/>
      <c r="G382" s="24"/>
      <c r="H382" s="18" t="str">
        <f aca="false">IF(OR(F382="",G382=""),"",(G382-F382)*24)</f>
        <v/>
      </c>
      <c r="I382" s="18" t="str">
        <f aca="false">IF(C382="","",SUMIF(Test_Times!$E$5:$E$863,C382&amp;"|"&amp;D382,Test_Times!$L$5:$L$863)+N(E382)*SUMIF(Test_Times!$E$5:$E$863,C382&amp;"|"&amp;D382,Test_Times!$Q$5:$Q$863))</f>
        <v/>
      </c>
      <c r="J382" s="18" t="str">
        <f aca="false">IF(OR(H382="",N(I382)=0),"",H382/I382)</f>
        <v/>
      </c>
      <c r="K382" s="16"/>
    </row>
    <row r="383" customFormat="false" ht="15" hidden="false" customHeight="false" outlineLevel="0" collapsed="false">
      <c r="A383" s="23"/>
      <c r="B383" s="16"/>
      <c r="C383" s="16"/>
      <c r="D383" s="16"/>
      <c r="E383" s="16"/>
      <c r="F383" s="24"/>
      <c r="G383" s="24"/>
      <c r="H383" s="18" t="str">
        <f aca="false">IF(OR(F383="",G383=""),"",(G383-F383)*24)</f>
        <v/>
      </c>
      <c r="I383" s="18" t="str">
        <f aca="false">IF(C383="","",SUMIF(Test_Times!$E$5:$E$863,C383&amp;"|"&amp;D383,Test_Times!$L$5:$L$863)+N(E383)*SUMIF(Test_Times!$E$5:$E$863,C383&amp;"|"&amp;D383,Test_Times!$Q$5:$Q$863))</f>
        <v/>
      </c>
      <c r="J383" s="18" t="str">
        <f aca="false">IF(OR(H383="",N(I383)=0),"",H383/I383)</f>
        <v/>
      </c>
      <c r="K383" s="16"/>
    </row>
    <row r="384" customFormat="false" ht="15" hidden="false" customHeight="false" outlineLevel="0" collapsed="false">
      <c r="A384" s="23"/>
      <c r="B384" s="16"/>
      <c r="C384" s="16"/>
      <c r="D384" s="16"/>
      <c r="E384" s="16"/>
      <c r="F384" s="24"/>
      <c r="G384" s="24"/>
      <c r="H384" s="18" t="str">
        <f aca="false">IF(OR(F384="",G384=""),"",(G384-F384)*24)</f>
        <v/>
      </c>
      <c r="I384" s="18" t="str">
        <f aca="false">IF(C384="","",SUMIF(Test_Times!$E$5:$E$863,C384&amp;"|"&amp;D384,Test_Times!$L$5:$L$863)+N(E384)*SUMIF(Test_Times!$E$5:$E$863,C384&amp;"|"&amp;D384,Test_Times!$Q$5:$Q$863))</f>
        <v/>
      </c>
      <c r="J384" s="18" t="str">
        <f aca="false">IF(OR(H384="",N(I384)=0),"",H384/I384)</f>
        <v/>
      </c>
      <c r="K384" s="16"/>
    </row>
    <row r="385" customFormat="false" ht="15" hidden="false" customHeight="false" outlineLevel="0" collapsed="false">
      <c r="A385" s="23"/>
      <c r="B385" s="16"/>
      <c r="C385" s="16"/>
      <c r="D385" s="16"/>
      <c r="E385" s="16"/>
      <c r="F385" s="24"/>
      <c r="G385" s="24"/>
      <c r="H385" s="18" t="str">
        <f aca="false">IF(OR(F385="",G385=""),"",(G385-F385)*24)</f>
        <v/>
      </c>
      <c r="I385" s="18" t="str">
        <f aca="false">IF(C385="","",SUMIF(Test_Times!$E$5:$E$863,C385&amp;"|"&amp;D385,Test_Times!$L$5:$L$863)+N(E385)*SUMIF(Test_Times!$E$5:$E$863,C385&amp;"|"&amp;D385,Test_Times!$Q$5:$Q$863))</f>
        <v/>
      </c>
      <c r="J385" s="18" t="str">
        <f aca="false">IF(OR(H385="",N(I385)=0),"",H385/I385)</f>
        <v/>
      </c>
      <c r="K385" s="16"/>
    </row>
    <row r="386" customFormat="false" ht="15" hidden="false" customHeight="false" outlineLevel="0" collapsed="false">
      <c r="A386" s="23"/>
      <c r="B386" s="16"/>
      <c r="C386" s="16"/>
      <c r="D386" s="16"/>
      <c r="E386" s="16"/>
      <c r="F386" s="24"/>
      <c r="G386" s="24"/>
      <c r="H386" s="18" t="str">
        <f aca="false">IF(OR(F386="",G386=""),"",(G386-F386)*24)</f>
        <v/>
      </c>
      <c r="I386" s="18" t="str">
        <f aca="false">IF(C386="","",SUMIF(Test_Times!$E$5:$E$863,C386&amp;"|"&amp;D386,Test_Times!$L$5:$L$863)+N(E386)*SUMIF(Test_Times!$E$5:$E$863,C386&amp;"|"&amp;D386,Test_Times!$Q$5:$Q$863))</f>
        <v/>
      </c>
      <c r="J386" s="18" t="str">
        <f aca="false">IF(OR(H386="",N(I386)=0),"",H386/I386)</f>
        <v/>
      </c>
      <c r="K386" s="16"/>
    </row>
    <row r="387" customFormat="false" ht="15" hidden="false" customHeight="false" outlineLevel="0" collapsed="false">
      <c r="A387" s="23"/>
      <c r="B387" s="16"/>
      <c r="C387" s="16"/>
      <c r="D387" s="16"/>
      <c r="E387" s="16"/>
      <c r="F387" s="24"/>
      <c r="G387" s="24"/>
      <c r="H387" s="18" t="str">
        <f aca="false">IF(OR(F387="",G387=""),"",(G387-F387)*24)</f>
        <v/>
      </c>
      <c r="I387" s="18" t="str">
        <f aca="false">IF(C387="","",SUMIF(Test_Times!$E$5:$E$863,C387&amp;"|"&amp;D387,Test_Times!$L$5:$L$863)+N(E387)*SUMIF(Test_Times!$E$5:$E$863,C387&amp;"|"&amp;D387,Test_Times!$Q$5:$Q$863))</f>
        <v/>
      </c>
      <c r="J387" s="18" t="str">
        <f aca="false">IF(OR(H387="",N(I387)=0),"",H387/I387)</f>
        <v/>
      </c>
      <c r="K387" s="16"/>
    </row>
    <row r="388" customFormat="false" ht="15" hidden="false" customHeight="false" outlineLevel="0" collapsed="false">
      <c r="A388" s="23"/>
      <c r="B388" s="16"/>
      <c r="C388" s="16"/>
      <c r="D388" s="16"/>
      <c r="E388" s="16"/>
      <c r="F388" s="24"/>
      <c r="G388" s="24"/>
      <c r="H388" s="18" t="str">
        <f aca="false">IF(OR(F388="",G388=""),"",(G388-F388)*24)</f>
        <v/>
      </c>
      <c r="I388" s="18" t="str">
        <f aca="false">IF(C388="","",SUMIF(Test_Times!$E$5:$E$863,C388&amp;"|"&amp;D388,Test_Times!$L$5:$L$863)+N(E388)*SUMIF(Test_Times!$E$5:$E$863,C388&amp;"|"&amp;D388,Test_Times!$Q$5:$Q$863))</f>
        <v/>
      </c>
      <c r="J388" s="18" t="str">
        <f aca="false">IF(OR(H388="",N(I388)=0),"",H388/I388)</f>
        <v/>
      </c>
      <c r="K388" s="16"/>
    </row>
    <row r="389" customFormat="false" ht="15" hidden="false" customHeight="false" outlineLevel="0" collapsed="false">
      <c r="A389" s="23"/>
      <c r="B389" s="16"/>
      <c r="C389" s="16"/>
      <c r="D389" s="16"/>
      <c r="E389" s="16"/>
      <c r="F389" s="24"/>
      <c r="G389" s="24"/>
      <c r="H389" s="18" t="str">
        <f aca="false">IF(OR(F389="",G389=""),"",(G389-F389)*24)</f>
        <v/>
      </c>
      <c r="I389" s="18" t="str">
        <f aca="false">IF(C389="","",SUMIF(Test_Times!$E$5:$E$863,C389&amp;"|"&amp;D389,Test_Times!$L$5:$L$863)+N(E389)*SUMIF(Test_Times!$E$5:$E$863,C389&amp;"|"&amp;D389,Test_Times!$Q$5:$Q$863))</f>
        <v/>
      </c>
      <c r="J389" s="18" t="str">
        <f aca="false">IF(OR(H389="",N(I389)=0),"",H389/I389)</f>
        <v/>
      </c>
      <c r="K389" s="16"/>
    </row>
    <row r="390" customFormat="false" ht="15" hidden="false" customHeight="false" outlineLevel="0" collapsed="false">
      <c r="A390" s="23"/>
      <c r="B390" s="16"/>
      <c r="C390" s="16"/>
      <c r="D390" s="16"/>
      <c r="E390" s="16"/>
      <c r="F390" s="24"/>
      <c r="G390" s="24"/>
      <c r="H390" s="18" t="str">
        <f aca="false">IF(OR(F390="",G390=""),"",(G390-F390)*24)</f>
        <v/>
      </c>
      <c r="I390" s="18" t="str">
        <f aca="false">IF(C390="","",SUMIF(Test_Times!$E$5:$E$863,C390&amp;"|"&amp;D390,Test_Times!$L$5:$L$863)+N(E390)*SUMIF(Test_Times!$E$5:$E$863,C390&amp;"|"&amp;D390,Test_Times!$Q$5:$Q$863))</f>
        <v/>
      </c>
      <c r="J390" s="18" t="str">
        <f aca="false">IF(OR(H390="",N(I390)=0),"",H390/I390)</f>
        <v/>
      </c>
      <c r="K390" s="16"/>
    </row>
    <row r="391" customFormat="false" ht="15" hidden="false" customHeight="false" outlineLevel="0" collapsed="false">
      <c r="A391" s="23"/>
      <c r="B391" s="16"/>
      <c r="C391" s="16"/>
      <c r="D391" s="16"/>
      <c r="E391" s="16"/>
      <c r="F391" s="24"/>
      <c r="G391" s="24"/>
      <c r="H391" s="18" t="str">
        <f aca="false">IF(OR(F391="",G391=""),"",(G391-F391)*24)</f>
        <v/>
      </c>
      <c r="I391" s="18" t="str">
        <f aca="false">IF(C391="","",SUMIF(Test_Times!$E$5:$E$863,C391&amp;"|"&amp;D391,Test_Times!$L$5:$L$863)+N(E391)*SUMIF(Test_Times!$E$5:$E$863,C391&amp;"|"&amp;D391,Test_Times!$Q$5:$Q$863))</f>
        <v/>
      </c>
      <c r="J391" s="18" t="str">
        <f aca="false">IF(OR(H391="",N(I391)=0),"",H391/I391)</f>
        <v/>
      </c>
      <c r="K391" s="16"/>
    </row>
    <row r="392" customFormat="false" ht="15" hidden="false" customHeight="false" outlineLevel="0" collapsed="false">
      <c r="A392" s="23"/>
      <c r="B392" s="16"/>
      <c r="C392" s="16"/>
      <c r="D392" s="16"/>
      <c r="E392" s="16"/>
      <c r="F392" s="24"/>
      <c r="G392" s="24"/>
      <c r="H392" s="18" t="str">
        <f aca="false">IF(OR(F392="",G392=""),"",(G392-F392)*24)</f>
        <v/>
      </c>
      <c r="I392" s="18" t="str">
        <f aca="false">IF(C392="","",SUMIF(Test_Times!$E$5:$E$863,C392&amp;"|"&amp;D392,Test_Times!$L$5:$L$863)+N(E392)*SUMIF(Test_Times!$E$5:$E$863,C392&amp;"|"&amp;D392,Test_Times!$Q$5:$Q$863))</f>
        <v/>
      </c>
      <c r="J392" s="18" t="str">
        <f aca="false">IF(OR(H392="",N(I392)=0),"",H392/I392)</f>
        <v/>
      </c>
      <c r="K392" s="16"/>
    </row>
    <row r="393" customFormat="false" ht="15" hidden="false" customHeight="false" outlineLevel="0" collapsed="false">
      <c r="A393" s="23"/>
      <c r="B393" s="16"/>
      <c r="C393" s="16"/>
      <c r="D393" s="16"/>
      <c r="E393" s="16"/>
      <c r="F393" s="24"/>
      <c r="G393" s="24"/>
      <c r="H393" s="18" t="str">
        <f aca="false">IF(OR(F393="",G393=""),"",(G393-F393)*24)</f>
        <v/>
      </c>
      <c r="I393" s="18" t="str">
        <f aca="false">IF(C393="","",SUMIF(Test_Times!$E$5:$E$863,C393&amp;"|"&amp;D393,Test_Times!$L$5:$L$863)+N(E393)*SUMIF(Test_Times!$E$5:$E$863,C393&amp;"|"&amp;D393,Test_Times!$Q$5:$Q$863))</f>
        <v/>
      </c>
      <c r="J393" s="18" t="str">
        <f aca="false">IF(OR(H393="",N(I393)=0),"",H393/I393)</f>
        <v/>
      </c>
      <c r="K393" s="16"/>
    </row>
    <row r="394" customFormat="false" ht="15" hidden="false" customHeight="false" outlineLevel="0" collapsed="false">
      <c r="A394" s="23"/>
      <c r="B394" s="16"/>
      <c r="C394" s="16"/>
      <c r="D394" s="16"/>
      <c r="E394" s="16"/>
      <c r="F394" s="24"/>
      <c r="G394" s="24"/>
      <c r="H394" s="18" t="str">
        <f aca="false">IF(OR(F394="",G394=""),"",(G394-F394)*24)</f>
        <v/>
      </c>
      <c r="I394" s="18" t="str">
        <f aca="false">IF(C394="","",SUMIF(Test_Times!$E$5:$E$863,C394&amp;"|"&amp;D394,Test_Times!$L$5:$L$863)+N(E394)*SUMIF(Test_Times!$E$5:$E$863,C394&amp;"|"&amp;D394,Test_Times!$Q$5:$Q$863))</f>
        <v/>
      </c>
      <c r="J394" s="18" t="str">
        <f aca="false">IF(OR(H394="",N(I394)=0),"",H394/I394)</f>
        <v/>
      </c>
      <c r="K394" s="16"/>
    </row>
    <row r="395" customFormat="false" ht="15" hidden="false" customHeight="false" outlineLevel="0" collapsed="false">
      <c r="A395" s="23"/>
      <c r="B395" s="16"/>
      <c r="C395" s="16"/>
      <c r="D395" s="16"/>
      <c r="E395" s="16"/>
      <c r="F395" s="24"/>
      <c r="G395" s="24"/>
      <c r="H395" s="18" t="str">
        <f aca="false">IF(OR(F395="",G395=""),"",(G395-F395)*24)</f>
        <v/>
      </c>
      <c r="I395" s="18" t="str">
        <f aca="false">IF(C395="","",SUMIF(Test_Times!$E$5:$E$863,C395&amp;"|"&amp;D395,Test_Times!$L$5:$L$863)+N(E395)*SUMIF(Test_Times!$E$5:$E$863,C395&amp;"|"&amp;D395,Test_Times!$Q$5:$Q$863))</f>
        <v/>
      </c>
      <c r="J395" s="18" t="str">
        <f aca="false">IF(OR(H395="",N(I395)=0),"",H395/I395)</f>
        <v/>
      </c>
      <c r="K395" s="16"/>
    </row>
    <row r="396" customFormat="false" ht="15" hidden="false" customHeight="false" outlineLevel="0" collapsed="false">
      <c r="A396" s="23"/>
      <c r="B396" s="16"/>
      <c r="C396" s="16"/>
      <c r="D396" s="16"/>
      <c r="E396" s="16"/>
      <c r="F396" s="24"/>
      <c r="G396" s="24"/>
      <c r="H396" s="18" t="str">
        <f aca="false">IF(OR(F396="",G396=""),"",(G396-F396)*24)</f>
        <v/>
      </c>
      <c r="I396" s="18" t="str">
        <f aca="false">IF(C396="","",SUMIF(Test_Times!$E$5:$E$863,C396&amp;"|"&amp;D396,Test_Times!$L$5:$L$863)+N(E396)*SUMIF(Test_Times!$E$5:$E$863,C396&amp;"|"&amp;D396,Test_Times!$Q$5:$Q$863))</f>
        <v/>
      </c>
      <c r="J396" s="18" t="str">
        <f aca="false">IF(OR(H396="",N(I396)=0),"",H396/I396)</f>
        <v/>
      </c>
      <c r="K396" s="16"/>
    </row>
    <row r="397" customFormat="false" ht="15" hidden="false" customHeight="false" outlineLevel="0" collapsed="false">
      <c r="A397" s="23"/>
      <c r="B397" s="16"/>
      <c r="C397" s="16"/>
      <c r="D397" s="16"/>
      <c r="E397" s="16"/>
      <c r="F397" s="24"/>
      <c r="G397" s="24"/>
      <c r="H397" s="18" t="str">
        <f aca="false">IF(OR(F397="",G397=""),"",(G397-F397)*24)</f>
        <v/>
      </c>
      <c r="I397" s="18" t="str">
        <f aca="false">IF(C397="","",SUMIF(Test_Times!$E$5:$E$863,C397&amp;"|"&amp;D397,Test_Times!$L$5:$L$863)+N(E397)*SUMIF(Test_Times!$E$5:$E$863,C397&amp;"|"&amp;D397,Test_Times!$Q$5:$Q$863))</f>
        <v/>
      </c>
      <c r="J397" s="18" t="str">
        <f aca="false">IF(OR(H397="",N(I397)=0),"",H397/I397)</f>
        <v/>
      </c>
      <c r="K397" s="16"/>
    </row>
    <row r="398" customFormat="false" ht="15" hidden="false" customHeight="false" outlineLevel="0" collapsed="false">
      <c r="A398" s="23"/>
      <c r="B398" s="16"/>
      <c r="C398" s="16"/>
      <c r="D398" s="16"/>
      <c r="E398" s="16"/>
      <c r="F398" s="24"/>
      <c r="G398" s="24"/>
      <c r="H398" s="18" t="str">
        <f aca="false">IF(OR(F398="",G398=""),"",(G398-F398)*24)</f>
        <v/>
      </c>
      <c r="I398" s="18" t="str">
        <f aca="false">IF(C398="","",SUMIF(Test_Times!$E$5:$E$863,C398&amp;"|"&amp;D398,Test_Times!$L$5:$L$863)+N(E398)*SUMIF(Test_Times!$E$5:$E$863,C398&amp;"|"&amp;D398,Test_Times!$Q$5:$Q$863))</f>
        <v/>
      </c>
      <c r="J398" s="18" t="str">
        <f aca="false">IF(OR(H398="",N(I398)=0),"",H398/I398)</f>
        <v/>
      </c>
      <c r="K398" s="16"/>
    </row>
    <row r="399" customFormat="false" ht="15" hidden="false" customHeight="false" outlineLevel="0" collapsed="false">
      <c r="A399" s="23"/>
      <c r="B399" s="16"/>
      <c r="C399" s="16"/>
      <c r="D399" s="16"/>
      <c r="E399" s="16"/>
      <c r="F399" s="24"/>
      <c r="G399" s="24"/>
      <c r="H399" s="18" t="str">
        <f aca="false">IF(OR(F399="",G399=""),"",(G399-F399)*24)</f>
        <v/>
      </c>
      <c r="I399" s="18" t="str">
        <f aca="false">IF(C399="","",SUMIF(Test_Times!$E$5:$E$863,C399&amp;"|"&amp;D399,Test_Times!$L$5:$L$863)+N(E399)*SUMIF(Test_Times!$E$5:$E$863,C399&amp;"|"&amp;D399,Test_Times!$Q$5:$Q$863))</f>
        <v/>
      </c>
      <c r="J399" s="18" t="str">
        <f aca="false">IF(OR(H399="",N(I399)=0),"",H399/I399)</f>
        <v/>
      </c>
      <c r="K399" s="16"/>
    </row>
    <row r="400" customFormat="false" ht="15" hidden="false" customHeight="false" outlineLevel="0" collapsed="false">
      <c r="A400" s="23"/>
      <c r="B400" s="16"/>
      <c r="C400" s="16"/>
      <c r="D400" s="16"/>
      <c r="E400" s="16"/>
      <c r="F400" s="24"/>
      <c r="G400" s="24"/>
      <c r="H400" s="18" t="str">
        <f aca="false">IF(OR(F400="",G400=""),"",(G400-F400)*24)</f>
        <v/>
      </c>
      <c r="I400" s="18" t="str">
        <f aca="false">IF(C400="","",SUMIF(Test_Times!$E$5:$E$863,C400&amp;"|"&amp;D400,Test_Times!$L$5:$L$863)+N(E400)*SUMIF(Test_Times!$E$5:$E$863,C400&amp;"|"&amp;D400,Test_Times!$Q$5:$Q$863))</f>
        <v/>
      </c>
      <c r="J400" s="18" t="str">
        <f aca="false">IF(OR(H400="",N(I400)=0),"",H400/I400)</f>
        <v/>
      </c>
      <c r="K400" s="16"/>
    </row>
    <row r="401" customFormat="false" ht="15" hidden="false" customHeight="false" outlineLevel="0" collapsed="false">
      <c r="A401" s="23"/>
      <c r="B401" s="16"/>
      <c r="C401" s="16"/>
      <c r="D401" s="16"/>
      <c r="E401" s="16"/>
      <c r="F401" s="24"/>
      <c r="G401" s="24"/>
      <c r="H401" s="18" t="str">
        <f aca="false">IF(OR(F401="",G401=""),"",(G401-F401)*24)</f>
        <v/>
      </c>
      <c r="I401" s="18" t="str">
        <f aca="false">IF(C401="","",SUMIF(Test_Times!$E$5:$E$863,C401&amp;"|"&amp;D401,Test_Times!$L$5:$L$863)+N(E401)*SUMIF(Test_Times!$E$5:$E$863,C401&amp;"|"&amp;D401,Test_Times!$Q$5:$Q$863))</f>
        <v/>
      </c>
      <c r="J401" s="18" t="str">
        <f aca="false">IF(OR(H401="",N(I401)=0),"",H401/I401)</f>
        <v/>
      </c>
      <c r="K401" s="16"/>
    </row>
    <row r="402" customFormat="false" ht="15" hidden="false" customHeight="false" outlineLevel="0" collapsed="false">
      <c r="A402" s="23"/>
      <c r="B402" s="16"/>
      <c r="C402" s="16"/>
      <c r="D402" s="16"/>
      <c r="E402" s="16"/>
      <c r="F402" s="24"/>
      <c r="G402" s="24"/>
      <c r="H402" s="18" t="str">
        <f aca="false">IF(OR(F402="",G402=""),"",(G402-F402)*24)</f>
        <v/>
      </c>
      <c r="I402" s="18" t="str">
        <f aca="false">IF(C402="","",SUMIF(Test_Times!$E$5:$E$863,C402&amp;"|"&amp;D402,Test_Times!$L$5:$L$863)+N(E402)*SUMIF(Test_Times!$E$5:$E$863,C402&amp;"|"&amp;D402,Test_Times!$Q$5:$Q$863))</f>
        <v/>
      </c>
      <c r="J402" s="18" t="str">
        <f aca="false">IF(OR(H402="",N(I402)=0),"",H402/I402)</f>
        <v/>
      </c>
      <c r="K402" s="16"/>
    </row>
    <row r="403" customFormat="false" ht="15" hidden="false" customHeight="false" outlineLevel="0" collapsed="false">
      <c r="A403" s="23"/>
      <c r="B403" s="16"/>
      <c r="C403" s="16"/>
      <c r="D403" s="16"/>
      <c r="E403" s="16"/>
      <c r="F403" s="24"/>
      <c r="G403" s="24"/>
      <c r="H403" s="18" t="str">
        <f aca="false">IF(OR(F403="",G403=""),"",(G403-F403)*24)</f>
        <v/>
      </c>
      <c r="I403" s="18" t="str">
        <f aca="false">IF(C403="","",SUMIF(Test_Times!$E$5:$E$863,C403&amp;"|"&amp;D403,Test_Times!$L$5:$L$863)+N(E403)*SUMIF(Test_Times!$E$5:$E$863,C403&amp;"|"&amp;D403,Test_Times!$Q$5:$Q$863))</f>
        <v/>
      </c>
      <c r="J403" s="18" t="str">
        <f aca="false">IF(OR(H403="",N(I403)=0),"",H403/I403)</f>
        <v/>
      </c>
      <c r="K403" s="16"/>
    </row>
    <row r="404" customFormat="false" ht="15" hidden="false" customHeight="false" outlineLevel="0" collapsed="false">
      <c r="A404" s="23"/>
      <c r="B404" s="16"/>
      <c r="C404" s="16"/>
      <c r="D404" s="16"/>
      <c r="E404" s="16"/>
      <c r="F404" s="24"/>
      <c r="G404" s="24"/>
      <c r="H404" s="18" t="str">
        <f aca="false">IF(OR(F404="",G404=""),"",(G404-F404)*24)</f>
        <v/>
      </c>
      <c r="I404" s="18" t="str">
        <f aca="false">IF(C404="","",SUMIF(Test_Times!$E$5:$E$863,C404&amp;"|"&amp;D404,Test_Times!$L$5:$L$863)+N(E404)*SUMIF(Test_Times!$E$5:$E$863,C404&amp;"|"&amp;D404,Test_Times!$Q$5:$Q$863))</f>
        <v/>
      </c>
      <c r="J404" s="18" t="str">
        <f aca="false">IF(OR(H404="",N(I404)=0),"",H404/I404)</f>
        <v/>
      </c>
      <c r="K404" s="16"/>
    </row>
    <row r="405" customFormat="false" ht="15" hidden="false" customHeight="false" outlineLevel="0" collapsed="false">
      <c r="A405" s="23"/>
      <c r="B405" s="16"/>
      <c r="C405" s="16"/>
      <c r="D405" s="16"/>
      <c r="E405" s="16"/>
      <c r="F405" s="24"/>
      <c r="G405" s="24"/>
      <c r="H405" s="18" t="str">
        <f aca="false">IF(OR(F405="",G405=""),"",(G405-F405)*24)</f>
        <v/>
      </c>
      <c r="I405" s="18" t="str">
        <f aca="false">IF(C405="","",SUMIF(Test_Times!$E$5:$E$863,C405&amp;"|"&amp;D405,Test_Times!$L$5:$L$863)+N(E405)*SUMIF(Test_Times!$E$5:$E$863,C405&amp;"|"&amp;D405,Test_Times!$Q$5:$Q$863))</f>
        <v/>
      </c>
      <c r="J405" s="18" t="str">
        <f aca="false">IF(OR(H405="",N(I405)=0),"",H405/I405)</f>
        <v/>
      </c>
      <c r="K405" s="16"/>
    </row>
    <row r="406" customFormat="false" ht="15" hidden="false" customHeight="false" outlineLevel="0" collapsed="false">
      <c r="A406" s="23"/>
      <c r="B406" s="16"/>
      <c r="C406" s="16"/>
      <c r="D406" s="16"/>
      <c r="E406" s="16"/>
      <c r="F406" s="24"/>
      <c r="G406" s="24"/>
      <c r="H406" s="18" t="str">
        <f aca="false">IF(OR(F406="",G406=""),"",(G406-F406)*24)</f>
        <v/>
      </c>
      <c r="I406" s="18" t="str">
        <f aca="false">IF(C406="","",SUMIF(Test_Times!$E$5:$E$863,C406&amp;"|"&amp;D406,Test_Times!$L$5:$L$863)+N(E406)*SUMIF(Test_Times!$E$5:$E$863,C406&amp;"|"&amp;D406,Test_Times!$Q$5:$Q$863))</f>
        <v/>
      </c>
      <c r="J406" s="18" t="str">
        <f aca="false">IF(OR(H406="",N(I406)=0),"",H406/I406)</f>
        <v/>
      </c>
      <c r="K406" s="16"/>
    </row>
    <row r="407" customFormat="false" ht="15" hidden="false" customHeight="false" outlineLevel="0" collapsed="false">
      <c r="A407" s="23"/>
      <c r="B407" s="16"/>
      <c r="C407" s="16"/>
      <c r="D407" s="16"/>
      <c r="E407" s="16"/>
      <c r="F407" s="24"/>
      <c r="G407" s="24"/>
      <c r="H407" s="18" t="str">
        <f aca="false">IF(OR(F407="",G407=""),"",(G407-F407)*24)</f>
        <v/>
      </c>
      <c r="I407" s="18" t="str">
        <f aca="false">IF(C407="","",SUMIF(Test_Times!$E$5:$E$863,C407&amp;"|"&amp;D407,Test_Times!$L$5:$L$863)+N(E407)*SUMIF(Test_Times!$E$5:$E$863,C407&amp;"|"&amp;D407,Test_Times!$Q$5:$Q$863))</f>
        <v/>
      </c>
      <c r="J407" s="18" t="str">
        <f aca="false">IF(OR(H407="",N(I407)=0),"",H407/I407)</f>
        <v/>
      </c>
      <c r="K407" s="16"/>
    </row>
    <row r="408" customFormat="false" ht="15" hidden="false" customHeight="false" outlineLevel="0" collapsed="false">
      <c r="A408" s="23"/>
      <c r="B408" s="16"/>
      <c r="C408" s="16"/>
      <c r="D408" s="16"/>
      <c r="E408" s="16"/>
      <c r="F408" s="24"/>
      <c r="G408" s="24"/>
      <c r="H408" s="18" t="str">
        <f aca="false">IF(OR(F408="",G408=""),"",(G408-F408)*24)</f>
        <v/>
      </c>
      <c r="I408" s="18" t="str">
        <f aca="false">IF(C408="","",SUMIF(Test_Times!$E$5:$E$863,C408&amp;"|"&amp;D408,Test_Times!$L$5:$L$863)+N(E408)*SUMIF(Test_Times!$E$5:$E$863,C408&amp;"|"&amp;D408,Test_Times!$Q$5:$Q$863))</f>
        <v/>
      </c>
      <c r="J408" s="18" t="str">
        <f aca="false">IF(OR(H408="",N(I408)=0),"",H408/I408)</f>
        <v/>
      </c>
      <c r="K408" s="16"/>
    </row>
    <row r="409" customFormat="false" ht="15" hidden="false" customHeight="false" outlineLevel="0" collapsed="false">
      <c r="A409" s="23"/>
      <c r="B409" s="16"/>
      <c r="C409" s="16"/>
      <c r="D409" s="16"/>
      <c r="E409" s="16"/>
      <c r="F409" s="24"/>
      <c r="G409" s="24"/>
      <c r="H409" s="18" t="str">
        <f aca="false">IF(OR(F409="",G409=""),"",(G409-F409)*24)</f>
        <v/>
      </c>
      <c r="I409" s="18" t="str">
        <f aca="false">IF(C409="","",SUMIF(Test_Times!$E$5:$E$863,C409&amp;"|"&amp;D409,Test_Times!$L$5:$L$863)+N(E409)*SUMIF(Test_Times!$E$5:$E$863,C409&amp;"|"&amp;D409,Test_Times!$Q$5:$Q$863))</f>
        <v/>
      </c>
      <c r="J409" s="18" t="str">
        <f aca="false">IF(OR(H409="",N(I409)=0),"",H409/I409)</f>
        <v/>
      </c>
      <c r="K409" s="16"/>
    </row>
    <row r="410" customFormat="false" ht="15" hidden="false" customHeight="false" outlineLevel="0" collapsed="false">
      <c r="A410" s="23"/>
      <c r="B410" s="16"/>
      <c r="C410" s="16"/>
      <c r="D410" s="16"/>
      <c r="E410" s="16"/>
      <c r="F410" s="24"/>
      <c r="G410" s="24"/>
      <c r="H410" s="18" t="str">
        <f aca="false">IF(OR(F410="",G410=""),"",(G410-F410)*24)</f>
        <v/>
      </c>
      <c r="I410" s="18" t="str">
        <f aca="false">IF(C410="","",SUMIF(Test_Times!$E$5:$E$863,C410&amp;"|"&amp;D410,Test_Times!$L$5:$L$863)+N(E410)*SUMIF(Test_Times!$E$5:$E$863,C410&amp;"|"&amp;D410,Test_Times!$Q$5:$Q$863))</f>
        <v/>
      </c>
      <c r="J410" s="18" t="str">
        <f aca="false">IF(OR(H410="",N(I410)=0),"",H410/I410)</f>
        <v/>
      </c>
      <c r="K410" s="16"/>
    </row>
    <row r="411" customFormat="false" ht="15" hidden="false" customHeight="false" outlineLevel="0" collapsed="false">
      <c r="A411" s="23"/>
      <c r="B411" s="16"/>
      <c r="C411" s="16"/>
      <c r="D411" s="16"/>
      <c r="E411" s="16"/>
      <c r="F411" s="24"/>
      <c r="G411" s="24"/>
      <c r="H411" s="18" t="str">
        <f aca="false">IF(OR(F411="",G411=""),"",(G411-F411)*24)</f>
        <v/>
      </c>
      <c r="I411" s="18" t="str">
        <f aca="false">IF(C411="","",SUMIF(Test_Times!$E$5:$E$863,C411&amp;"|"&amp;D411,Test_Times!$L$5:$L$863)+N(E411)*SUMIF(Test_Times!$E$5:$E$863,C411&amp;"|"&amp;D411,Test_Times!$Q$5:$Q$863))</f>
        <v/>
      </c>
      <c r="J411" s="18" t="str">
        <f aca="false">IF(OR(H411="",N(I411)=0),"",H411/I411)</f>
        <v/>
      </c>
      <c r="K411" s="16"/>
    </row>
    <row r="412" customFormat="false" ht="15" hidden="false" customHeight="false" outlineLevel="0" collapsed="false">
      <c r="A412" s="23"/>
      <c r="B412" s="16"/>
      <c r="C412" s="16"/>
      <c r="D412" s="16"/>
      <c r="E412" s="16"/>
      <c r="F412" s="24"/>
      <c r="G412" s="24"/>
      <c r="H412" s="18" t="str">
        <f aca="false">IF(OR(F412="",G412=""),"",(G412-F412)*24)</f>
        <v/>
      </c>
      <c r="I412" s="18" t="str">
        <f aca="false">IF(C412="","",SUMIF(Test_Times!$E$5:$E$863,C412&amp;"|"&amp;D412,Test_Times!$L$5:$L$863)+N(E412)*SUMIF(Test_Times!$E$5:$E$863,C412&amp;"|"&amp;D412,Test_Times!$Q$5:$Q$863))</f>
        <v/>
      </c>
      <c r="J412" s="18" t="str">
        <f aca="false">IF(OR(H412="",N(I412)=0),"",H412/I412)</f>
        <v/>
      </c>
      <c r="K412" s="16"/>
    </row>
    <row r="413" customFormat="false" ht="15" hidden="false" customHeight="false" outlineLevel="0" collapsed="false">
      <c r="A413" s="23"/>
      <c r="B413" s="16"/>
      <c r="C413" s="16"/>
      <c r="D413" s="16"/>
      <c r="E413" s="16"/>
      <c r="F413" s="24"/>
      <c r="G413" s="24"/>
      <c r="H413" s="18" t="str">
        <f aca="false">IF(OR(F413="",G413=""),"",(G413-F413)*24)</f>
        <v/>
      </c>
      <c r="I413" s="18" t="str">
        <f aca="false">IF(C413="","",SUMIF(Test_Times!$E$5:$E$863,C413&amp;"|"&amp;D413,Test_Times!$L$5:$L$863)+N(E413)*SUMIF(Test_Times!$E$5:$E$863,C413&amp;"|"&amp;D413,Test_Times!$Q$5:$Q$863))</f>
        <v/>
      </c>
      <c r="J413" s="18" t="str">
        <f aca="false">IF(OR(H413="",N(I413)=0),"",H413/I413)</f>
        <v/>
      </c>
      <c r="K413" s="16"/>
    </row>
    <row r="414" customFormat="false" ht="15" hidden="false" customHeight="false" outlineLevel="0" collapsed="false">
      <c r="A414" s="23"/>
      <c r="B414" s="16"/>
      <c r="C414" s="16"/>
      <c r="D414" s="16"/>
      <c r="E414" s="16"/>
      <c r="F414" s="24"/>
      <c r="G414" s="24"/>
      <c r="H414" s="18" t="str">
        <f aca="false">IF(OR(F414="",G414=""),"",(G414-F414)*24)</f>
        <v/>
      </c>
      <c r="I414" s="18" t="str">
        <f aca="false">IF(C414="","",SUMIF(Test_Times!$E$5:$E$863,C414&amp;"|"&amp;D414,Test_Times!$L$5:$L$863)+N(E414)*SUMIF(Test_Times!$E$5:$E$863,C414&amp;"|"&amp;D414,Test_Times!$Q$5:$Q$863))</f>
        <v/>
      </c>
      <c r="J414" s="18" t="str">
        <f aca="false">IF(OR(H414="",N(I414)=0),"",H414/I414)</f>
        <v/>
      </c>
      <c r="K414" s="16"/>
    </row>
    <row r="415" customFormat="false" ht="15" hidden="false" customHeight="false" outlineLevel="0" collapsed="false">
      <c r="A415" s="23"/>
      <c r="B415" s="16"/>
      <c r="C415" s="16"/>
      <c r="D415" s="16"/>
      <c r="E415" s="16"/>
      <c r="F415" s="24"/>
      <c r="G415" s="24"/>
      <c r="H415" s="18" t="str">
        <f aca="false">IF(OR(F415="",G415=""),"",(G415-F415)*24)</f>
        <v/>
      </c>
      <c r="I415" s="18" t="str">
        <f aca="false">IF(C415="","",SUMIF(Test_Times!$E$5:$E$863,C415&amp;"|"&amp;D415,Test_Times!$L$5:$L$863)+N(E415)*SUMIF(Test_Times!$E$5:$E$863,C415&amp;"|"&amp;D415,Test_Times!$Q$5:$Q$863))</f>
        <v/>
      </c>
      <c r="J415" s="18" t="str">
        <f aca="false">IF(OR(H415="",N(I415)=0),"",H415/I415)</f>
        <v/>
      </c>
      <c r="K415" s="16"/>
    </row>
    <row r="416" customFormat="false" ht="15" hidden="false" customHeight="false" outlineLevel="0" collapsed="false">
      <c r="A416" s="23"/>
      <c r="B416" s="16"/>
      <c r="C416" s="16"/>
      <c r="D416" s="16"/>
      <c r="E416" s="16"/>
      <c r="F416" s="24"/>
      <c r="G416" s="24"/>
      <c r="H416" s="18" t="str">
        <f aca="false">IF(OR(F416="",G416=""),"",(G416-F416)*24)</f>
        <v/>
      </c>
      <c r="I416" s="18" t="str">
        <f aca="false">IF(C416="","",SUMIF(Test_Times!$E$5:$E$863,C416&amp;"|"&amp;D416,Test_Times!$L$5:$L$863)+N(E416)*SUMIF(Test_Times!$E$5:$E$863,C416&amp;"|"&amp;D416,Test_Times!$Q$5:$Q$863))</f>
        <v/>
      </c>
      <c r="J416" s="18" t="str">
        <f aca="false">IF(OR(H416="",N(I416)=0),"",H416/I416)</f>
        <v/>
      </c>
      <c r="K416" s="16"/>
    </row>
    <row r="417" customFormat="false" ht="15" hidden="false" customHeight="false" outlineLevel="0" collapsed="false">
      <c r="A417" s="23"/>
      <c r="B417" s="16"/>
      <c r="C417" s="16"/>
      <c r="D417" s="16"/>
      <c r="E417" s="16"/>
      <c r="F417" s="24"/>
      <c r="G417" s="24"/>
      <c r="H417" s="18" t="str">
        <f aca="false">IF(OR(F417="",G417=""),"",(G417-F417)*24)</f>
        <v/>
      </c>
      <c r="I417" s="18" t="str">
        <f aca="false">IF(C417="","",SUMIF(Test_Times!$E$5:$E$863,C417&amp;"|"&amp;D417,Test_Times!$L$5:$L$863)+N(E417)*SUMIF(Test_Times!$E$5:$E$863,C417&amp;"|"&amp;D417,Test_Times!$Q$5:$Q$863))</f>
        <v/>
      </c>
      <c r="J417" s="18" t="str">
        <f aca="false">IF(OR(H417="",N(I417)=0),"",H417/I417)</f>
        <v/>
      </c>
      <c r="K417" s="16"/>
    </row>
    <row r="418" customFormat="false" ht="15" hidden="false" customHeight="false" outlineLevel="0" collapsed="false">
      <c r="A418" s="23"/>
      <c r="B418" s="16"/>
      <c r="C418" s="16"/>
      <c r="D418" s="16"/>
      <c r="E418" s="16"/>
      <c r="F418" s="24"/>
      <c r="G418" s="24"/>
      <c r="H418" s="18" t="str">
        <f aca="false">IF(OR(F418="",G418=""),"",(G418-F418)*24)</f>
        <v/>
      </c>
      <c r="I418" s="18" t="str">
        <f aca="false">IF(C418="","",SUMIF(Test_Times!$E$5:$E$863,C418&amp;"|"&amp;D418,Test_Times!$L$5:$L$863)+N(E418)*SUMIF(Test_Times!$E$5:$E$863,C418&amp;"|"&amp;D418,Test_Times!$Q$5:$Q$863))</f>
        <v/>
      </c>
      <c r="J418" s="18" t="str">
        <f aca="false">IF(OR(H418="",N(I418)=0),"",H418/I418)</f>
        <v/>
      </c>
      <c r="K418" s="16"/>
    </row>
    <row r="419" customFormat="false" ht="15" hidden="false" customHeight="false" outlineLevel="0" collapsed="false">
      <c r="A419" s="23"/>
      <c r="B419" s="16"/>
      <c r="C419" s="16"/>
      <c r="D419" s="16"/>
      <c r="E419" s="16"/>
      <c r="F419" s="24"/>
      <c r="G419" s="24"/>
      <c r="H419" s="18" t="str">
        <f aca="false">IF(OR(F419="",G419=""),"",(G419-F419)*24)</f>
        <v/>
      </c>
      <c r="I419" s="18" t="str">
        <f aca="false">IF(C419="","",SUMIF(Test_Times!$E$5:$E$863,C419&amp;"|"&amp;D419,Test_Times!$L$5:$L$863)+N(E419)*SUMIF(Test_Times!$E$5:$E$863,C419&amp;"|"&amp;D419,Test_Times!$Q$5:$Q$863))</f>
        <v/>
      </c>
      <c r="J419" s="18" t="str">
        <f aca="false">IF(OR(H419="",N(I419)=0),"",H419/I419)</f>
        <v/>
      </c>
      <c r="K419" s="16"/>
    </row>
    <row r="420" customFormat="false" ht="15" hidden="false" customHeight="false" outlineLevel="0" collapsed="false">
      <c r="A420" s="23"/>
      <c r="B420" s="16"/>
      <c r="C420" s="16"/>
      <c r="D420" s="16"/>
      <c r="E420" s="16"/>
      <c r="F420" s="24"/>
      <c r="G420" s="24"/>
      <c r="H420" s="18" t="str">
        <f aca="false">IF(OR(F420="",G420=""),"",(G420-F420)*24)</f>
        <v/>
      </c>
      <c r="I420" s="18" t="str">
        <f aca="false">IF(C420="","",SUMIF(Test_Times!$E$5:$E$863,C420&amp;"|"&amp;D420,Test_Times!$L$5:$L$863)+N(E420)*SUMIF(Test_Times!$E$5:$E$863,C420&amp;"|"&amp;D420,Test_Times!$Q$5:$Q$863))</f>
        <v/>
      </c>
      <c r="J420" s="18" t="str">
        <f aca="false">IF(OR(H420="",N(I420)=0),"",H420/I420)</f>
        <v/>
      </c>
      <c r="K420" s="16"/>
    </row>
    <row r="421" customFormat="false" ht="15" hidden="false" customHeight="false" outlineLevel="0" collapsed="false">
      <c r="A421" s="23"/>
      <c r="B421" s="16"/>
      <c r="C421" s="16"/>
      <c r="D421" s="16"/>
      <c r="E421" s="16"/>
      <c r="F421" s="24"/>
      <c r="G421" s="24"/>
      <c r="H421" s="18" t="str">
        <f aca="false">IF(OR(F421="",G421=""),"",(G421-F421)*24)</f>
        <v/>
      </c>
      <c r="I421" s="18" t="str">
        <f aca="false">IF(C421="","",SUMIF(Test_Times!$E$5:$E$863,C421&amp;"|"&amp;D421,Test_Times!$L$5:$L$863)+N(E421)*SUMIF(Test_Times!$E$5:$E$863,C421&amp;"|"&amp;D421,Test_Times!$Q$5:$Q$863))</f>
        <v/>
      </c>
      <c r="J421" s="18" t="str">
        <f aca="false">IF(OR(H421="",N(I421)=0),"",H421/I421)</f>
        <v/>
      </c>
      <c r="K421" s="16"/>
    </row>
    <row r="422" customFormat="false" ht="15" hidden="false" customHeight="false" outlineLevel="0" collapsed="false">
      <c r="A422" s="23"/>
      <c r="B422" s="16"/>
      <c r="C422" s="16"/>
      <c r="D422" s="16"/>
      <c r="E422" s="16"/>
      <c r="F422" s="24"/>
      <c r="G422" s="24"/>
      <c r="H422" s="18" t="str">
        <f aca="false">IF(OR(F422="",G422=""),"",(G422-F422)*24)</f>
        <v/>
      </c>
      <c r="I422" s="18" t="str">
        <f aca="false">IF(C422="","",SUMIF(Test_Times!$E$5:$E$863,C422&amp;"|"&amp;D422,Test_Times!$L$5:$L$863)+N(E422)*SUMIF(Test_Times!$E$5:$E$863,C422&amp;"|"&amp;D422,Test_Times!$Q$5:$Q$863))</f>
        <v/>
      </c>
      <c r="J422" s="18" t="str">
        <f aca="false">IF(OR(H422="",N(I422)=0),"",H422/I422)</f>
        <v/>
      </c>
      <c r="K422" s="16"/>
    </row>
    <row r="423" customFormat="false" ht="15" hidden="false" customHeight="false" outlineLevel="0" collapsed="false">
      <c r="A423" s="23"/>
      <c r="B423" s="16"/>
      <c r="C423" s="16"/>
      <c r="D423" s="16"/>
      <c r="E423" s="16"/>
      <c r="F423" s="24"/>
      <c r="G423" s="24"/>
      <c r="H423" s="18" t="str">
        <f aca="false">IF(OR(F423="",G423=""),"",(G423-F423)*24)</f>
        <v/>
      </c>
      <c r="I423" s="18" t="str">
        <f aca="false">IF(C423="","",SUMIF(Test_Times!$E$5:$E$863,C423&amp;"|"&amp;D423,Test_Times!$L$5:$L$863)+N(E423)*SUMIF(Test_Times!$E$5:$E$863,C423&amp;"|"&amp;D423,Test_Times!$Q$5:$Q$863))</f>
        <v/>
      </c>
      <c r="J423" s="18" t="str">
        <f aca="false">IF(OR(H423="",N(I423)=0),"",H423/I423)</f>
        <v/>
      </c>
      <c r="K423" s="16"/>
    </row>
    <row r="424" customFormat="false" ht="15" hidden="false" customHeight="false" outlineLevel="0" collapsed="false">
      <c r="A424" s="23"/>
      <c r="B424" s="16"/>
      <c r="C424" s="16"/>
      <c r="D424" s="16"/>
      <c r="E424" s="16"/>
      <c r="F424" s="24"/>
      <c r="G424" s="24"/>
      <c r="H424" s="18" t="str">
        <f aca="false">IF(OR(F424="",G424=""),"",(G424-F424)*24)</f>
        <v/>
      </c>
      <c r="I424" s="18" t="str">
        <f aca="false">IF(C424="","",SUMIF(Test_Times!$E$5:$E$863,C424&amp;"|"&amp;D424,Test_Times!$L$5:$L$863)+N(E424)*SUMIF(Test_Times!$E$5:$E$863,C424&amp;"|"&amp;D424,Test_Times!$Q$5:$Q$863))</f>
        <v/>
      </c>
      <c r="J424" s="18" t="str">
        <f aca="false">IF(OR(H424="",N(I424)=0),"",H424/I424)</f>
        <v/>
      </c>
      <c r="K424" s="16"/>
    </row>
    <row r="425" customFormat="false" ht="15" hidden="false" customHeight="false" outlineLevel="0" collapsed="false">
      <c r="A425" s="23"/>
      <c r="B425" s="16"/>
      <c r="C425" s="16"/>
      <c r="D425" s="16"/>
      <c r="E425" s="16"/>
      <c r="F425" s="24"/>
      <c r="G425" s="24"/>
      <c r="H425" s="18" t="str">
        <f aca="false">IF(OR(F425="",G425=""),"",(G425-F425)*24)</f>
        <v/>
      </c>
      <c r="I425" s="18" t="str">
        <f aca="false">IF(C425="","",SUMIF(Test_Times!$E$5:$E$863,C425&amp;"|"&amp;D425,Test_Times!$L$5:$L$863)+N(E425)*SUMIF(Test_Times!$E$5:$E$863,C425&amp;"|"&amp;D425,Test_Times!$Q$5:$Q$863))</f>
        <v/>
      </c>
      <c r="J425" s="18" t="str">
        <f aca="false">IF(OR(H425="",N(I425)=0),"",H425/I425)</f>
        <v/>
      </c>
      <c r="K425" s="16"/>
    </row>
    <row r="426" customFormat="false" ht="15" hidden="false" customHeight="false" outlineLevel="0" collapsed="false">
      <c r="A426" s="23"/>
      <c r="B426" s="16"/>
      <c r="C426" s="16"/>
      <c r="D426" s="16"/>
      <c r="E426" s="16"/>
      <c r="F426" s="24"/>
      <c r="G426" s="24"/>
      <c r="H426" s="18" t="str">
        <f aca="false">IF(OR(F426="",G426=""),"",(G426-F426)*24)</f>
        <v/>
      </c>
      <c r="I426" s="18" t="str">
        <f aca="false">IF(C426="","",SUMIF(Test_Times!$E$5:$E$863,C426&amp;"|"&amp;D426,Test_Times!$L$5:$L$863)+N(E426)*SUMIF(Test_Times!$E$5:$E$863,C426&amp;"|"&amp;D426,Test_Times!$Q$5:$Q$863))</f>
        <v/>
      </c>
      <c r="J426" s="18" t="str">
        <f aca="false">IF(OR(H426="",N(I426)=0),"",H426/I426)</f>
        <v/>
      </c>
      <c r="K426" s="16"/>
    </row>
    <row r="427" customFormat="false" ht="15" hidden="false" customHeight="false" outlineLevel="0" collapsed="false">
      <c r="A427" s="23"/>
      <c r="B427" s="16"/>
      <c r="C427" s="16"/>
      <c r="D427" s="16"/>
      <c r="E427" s="16"/>
      <c r="F427" s="24"/>
      <c r="G427" s="24"/>
      <c r="H427" s="18" t="str">
        <f aca="false">IF(OR(F427="",G427=""),"",(G427-F427)*24)</f>
        <v/>
      </c>
      <c r="I427" s="18" t="str">
        <f aca="false">IF(C427="","",SUMIF(Test_Times!$E$5:$E$863,C427&amp;"|"&amp;D427,Test_Times!$L$5:$L$863)+N(E427)*SUMIF(Test_Times!$E$5:$E$863,C427&amp;"|"&amp;D427,Test_Times!$Q$5:$Q$863))</f>
        <v/>
      </c>
      <c r="J427" s="18" t="str">
        <f aca="false">IF(OR(H427="",N(I427)=0),"",H427/I427)</f>
        <v/>
      </c>
      <c r="K427" s="16"/>
    </row>
    <row r="428" customFormat="false" ht="15" hidden="false" customHeight="false" outlineLevel="0" collapsed="false">
      <c r="A428" s="23"/>
      <c r="B428" s="16"/>
      <c r="C428" s="16"/>
      <c r="D428" s="16"/>
      <c r="E428" s="16"/>
      <c r="F428" s="24"/>
      <c r="G428" s="24"/>
      <c r="H428" s="18" t="str">
        <f aca="false">IF(OR(F428="",G428=""),"",(G428-F428)*24)</f>
        <v/>
      </c>
      <c r="I428" s="18" t="str">
        <f aca="false">IF(C428="","",SUMIF(Test_Times!$E$5:$E$863,C428&amp;"|"&amp;D428,Test_Times!$L$5:$L$863)+N(E428)*SUMIF(Test_Times!$E$5:$E$863,C428&amp;"|"&amp;D428,Test_Times!$Q$5:$Q$863))</f>
        <v/>
      </c>
      <c r="J428" s="18" t="str">
        <f aca="false">IF(OR(H428="",N(I428)=0),"",H428/I428)</f>
        <v/>
      </c>
      <c r="K428" s="16"/>
    </row>
    <row r="429" customFormat="false" ht="15" hidden="false" customHeight="false" outlineLevel="0" collapsed="false">
      <c r="A429" s="23"/>
      <c r="B429" s="16"/>
      <c r="C429" s="16"/>
      <c r="D429" s="16"/>
      <c r="E429" s="16"/>
      <c r="F429" s="24"/>
      <c r="G429" s="24"/>
      <c r="H429" s="18" t="str">
        <f aca="false">IF(OR(F429="",G429=""),"",(G429-F429)*24)</f>
        <v/>
      </c>
      <c r="I429" s="18" t="str">
        <f aca="false">IF(C429="","",SUMIF(Test_Times!$E$5:$E$863,C429&amp;"|"&amp;D429,Test_Times!$L$5:$L$863)+N(E429)*SUMIF(Test_Times!$E$5:$E$863,C429&amp;"|"&amp;D429,Test_Times!$Q$5:$Q$863))</f>
        <v/>
      </c>
      <c r="J429" s="18" t="str">
        <f aca="false">IF(OR(H429="",N(I429)=0),"",H429/I429)</f>
        <v/>
      </c>
      <c r="K429" s="16"/>
    </row>
    <row r="430" customFormat="false" ht="15" hidden="false" customHeight="false" outlineLevel="0" collapsed="false">
      <c r="A430" s="23"/>
      <c r="B430" s="16"/>
      <c r="C430" s="16"/>
      <c r="D430" s="16"/>
      <c r="E430" s="16"/>
      <c r="F430" s="24"/>
      <c r="G430" s="24"/>
      <c r="H430" s="18" t="str">
        <f aca="false">IF(OR(F430="",G430=""),"",(G430-F430)*24)</f>
        <v/>
      </c>
      <c r="I430" s="18" t="str">
        <f aca="false">IF(C430="","",SUMIF(Test_Times!$E$5:$E$863,C430&amp;"|"&amp;D430,Test_Times!$L$5:$L$863)+N(E430)*SUMIF(Test_Times!$E$5:$E$863,C430&amp;"|"&amp;D430,Test_Times!$Q$5:$Q$863))</f>
        <v/>
      </c>
      <c r="J430" s="18" t="str">
        <f aca="false">IF(OR(H430="",N(I430)=0),"",H430/I430)</f>
        <v/>
      </c>
      <c r="K430" s="16"/>
    </row>
    <row r="431" customFormat="false" ht="15" hidden="false" customHeight="false" outlineLevel="0" collapsed="false">
      <c r="A431" s="23"/>
      <c r="B431" s="16"/>
      <c r="C431" s="16"/>
      <c r="D431" s="16"/>
      <c r="E431" s="16"/>
      <c r="F431" s="24"/>
      <c r="G431" s="24"/>
      <c r="H431" s="18" t="str">
        <f aca="false">IF(OR(F431="",G431=""),"",(G431-F431)*24)</f>
        <v/>
      </c>
      <c r="I431" s="18" t="str">
        <f aca="false">IF(C431="","",SUMIF(Test_Times!$E$5:$E$863,C431&amp;"|"&amp;D431,Test_Times!$L$5:$L$863)+N(E431)*SUMIF(Test_Times!$E$5:$E$863,C431&amp;"|"&amp;D431,Test_Times!$Q$5:$Q$863))</f>
        <v/>
      </c>
      <c r="J431" s="18" t="str">
        <f aca="false">IF(OR(H431="",N(I431)=0),"",H431/I431)</f>
        <v/>
      </c>
      <c r="K431" s="16"/>
    </row>
    <row r="432" customFormat="false" ht="15" hidden="false" customHeight="false" outlineLevel="0" collapsed="false">
      <c r="A432" s="23"/>
      <c r="B432" s="16"/>
      <c r="C432" s="16"/>
      <c r="D432" s="16"/>
      <c r="E432" s="16"/>
      <c r="F432" s="24"/>
      <c r="G432" s="24"/>
      <c r="H432" s="18" t="str">
        <f aca="false">IF(OR(F432="",G432=""),"",(G432-F432)*24)</f>
        <v/>
      </c>
      <c r="I432" s="18" t="str">
        <f aca="false">IF(C432="","",SUMIF(Test_Times!$E$5:$E$863,C432&amp;"|"&amp;D432,Test_Times!$L$5:$L$863)+N(E432)*SUMIF(Test_Times!$E$5:$E$863,C432&amp;"|"&amp;D432,Test_Times!$Q$5:$Q$863))</f>
        <v/>
      </c>
      <c r="J432" s="18" t="str">
        <f aca="false">IF(OR(H432="",N(I432)=0),"",H432/I432)</f>
        <v/>
      </c>
      <c r="K432" s="16"/>
    </row>
    <row r="433" customFormat="false" ht="15" hidden="false" customHeight="false" outlineLevel="0" collapsed="false">
      <c r="A433" s="23"/>
      <c r="B433" s="16"/>
      <c r="C433" s="16"/>
      <c r="D433" s="16"/>
      <c r="E433" s="16"/>
      <c r="F433" s="24"/>
      <c r="G433" s="24"/>
      <c r="H433" s="18" t="str">
        <f aca="false">IF(OR(F433="",G433=""),"",(G433-F433)*24)</f>
        <v/>
      </c>
      <c r="I433" s="18" t="str">
        <f aca="false">IF(C433="","",SUMIF(Test_Times!$E$5:$E$863,C433&amp;"|"&amp;D433,Test_Times!$L$5:$L$863)+N(E433)*SUMIF(Test_Times!$E$5:$E$863,C433&amp;"|"&amp;D433,Test_Times!$Q$5:$Q$863))</f>
        <v/>
      </c>
      <c r="J433" s="18" t="str">
        <f aca="false">IF(OR(H433="",N(I433)=0),"",H433/I433)</f>
        <v/>
      </c>
      <c r="K433" s="16"/>
    </row>
    <row r="434" customFormat="false" ht="15" hidden="false" customHeight="false" outlineLevel="0" collapsed="false">
      <c r="A434" s="23"/>
      <c r="B434" s="16"/>
      <c r="C434" s="16"/>
      <c r="D434" s="16"/>
      <c r="E434" s="16"/>
      <c r="F434" s="24"/>
      <c r="G434" s="24"/>
      <c r="H434" s="18" t="str">
        <f aca="false">IF(OR(F434="",G434=""),"",(G434-F434)*24)</f>
        <v/>
      </c>
      <c r="I434" s="18" t="str">
        <f aca="false">IF(C434="","",SUMIF(Test_Times!$E$5:$E$863,C434&amp;"|"&amp;D434,Test_Times!$L$5:$L$863)+N(E434)*SUMIF(Test_Times!$E$5:$E$863,C434&amp;"|"&amp;D434,Test_Times!$Q$5:$Q$863))</f>
        <v/>
      </c>
      <c r="J434" s="18" t="str">
        <f aca="false">IF(OR(H434="",N(I434)=0),"",H434/I434)</f>
        <v/>
      </c>
      <c r="K434" s="16"/>
    </row>
    <row r="435" customFormat="false" ht="15" hidden="false" customHeight="false" outlineLevel="0" collapsed="false">
      <c r="A435" s="23"/>
      <c r="B435" s="16"/>
      <c r="C435" s="16"/>
      <c r="D435" s="16"/>
      <c r="E435" s="16"/>
      <c r="F435" s="24"/>
      <c r="G435" s="24"/>
      <c r="H435" s="18" t="str">
        <f aca="false">IF(OR(F435="",G435=""),"",(G435-F435)*24)</f>
        <v/>
      </c>
      <c r="I435" s="18" t="str">
        <f aca="false">IF(C435="","",SUMIF(Test_Times!$E$5:$E$863,C435&amp;"|"&amp;D435,Test_Times!$L$5:$L$863)+N(E435)*SUMIF(Test_Times!$E$5:$E$863,C435&amp;"|"&amp;D435,Test_Times!$Q$5:$Q$863))</f>
        <v/>
      </c>
      <c r="J435" s="18" t="str">
        <f aca="false">IF(OR(H435="",N(I435)=0),"",H435/I435)</f>
        <v/>
      </c>
      <c r="K435" s="16"/>
    </row>
    <row r="436" customFormat="false" ht="15" hidden="false" customHeight="false" outlineLevel="0" collapsed="false">
      <c r="A436" s="23"/>
      <c r="B436" s="16"/>
      <c r="C436" s="16"/>
      <c r="D436" s="16"/>
      <c r="E436" s="16"/>
      <c r="F436" s="24"/>
      <c r="G436" s="24"/>
      <c r="H436" s="18" t="str">
        <f aca="false">IF(OR(F436="",G436=""),"",(G436-F436)*24)</f>
        <v/>
      </c>
      <c r="I436" s="18" t="str">
        <f aca="false">IF(C436="","",SUMIF(Test_Times!$E$5:$E$863,C436&amp;"|"&amp;D436,Test_Times!$L$5:$L$863)+N(E436)*SUMIF(Test_Times!$E$5:$E$863,C436&amp;"|"&amp;D436,Test_Times!$Q$5:$Q$863))</f>
        <v/>
      </c>
      <c r="J436" s="18" t="str">
        <f aca="false">IF(OR(H436="",N(I436)=0),"",H436/I436)</f>
        <v/>
      </c>
      <c r="K436" s="16"/>
    </row>
    <row r="437" customFormat="false" ht="15" hidden="false" customHeight="false" outlineLevel="0" collapsed="false">
      <c r="A437" s="23"/>
      <c r="B437" s="16"/>
      <c r="C437" s="16"/>
      <c r="D437" s="16"/>
      <c r="E437" s="16"/>
      <c r="F437" s="24"/>
      <c r="G437" s="24"/>
      <c r="H437" s="18" t="str">
        <f aca="false">IF(OR(F437="",G437=""),"",(G437-F437)*24)</f>
        <v/>
      </c>
      <c r="I437" s="18" t="str">
        <f aca="false">IF(C437="","",SUMIF(Test_Times!$E$5:$E$863,C437&amp;"|"&amp;D437,Test_Times!$L$5:$L$863)+N(E437)*SUMIF(Test_Times!$E$5:$E$863,C437&amp;"|"&amp;D437,Test_Times!$Q$5:$Q$863))</f>
        <v/>
      </c>
      <c r="J437" s="18" t="str">
        <f aca="false">IF(OR(H437="",N(I437)=0),"",H437/I437)</f>
        <v/>
      </c>
      <c r="K437" s="16"/>
    </row>
    <row r="438" customFormat="false" ht="15" hidden="false" customHeight="false" outlineLevel="0" collapsed="false">
      <c r="A438" s="23"/>
      <c r="B438" s="16"/>
      <c r="C438" s="16"/>
      <c r="D438" s="16"/>
      <c r="E438" s="16"/>
      <c r="F438" s="24"/>
      <c r="G438" s="24"/>
      <c r="H438" s="18" t="str">
        <f aca="false">IF(OR(F438="",G438=""),"",(G438-F438)*24)</f>
        <v/>
      </c>
      <c r="I438" s="18" t="str">
        <f aca="false">IF(C438="","",SUMIF(Test_Times!$E$5:$E$863,C438&amp;"|"&amp;D438,Test_Times!$L$5:$L$863)+N(E438)*SUMIF(Test_Times!$E$5:$E$863,C438&amp;"|"&amp;D438,Test_Times!$Q$5:$Q$863))</f>
        <v/>
      </c>
      <c r="J438" s="18" t="str">
        <f aca="false">IF(OR(H438="",N(I438)=0),"",H438/I438)</f>
        <v/>
      </c>
      <c r="K438" s="16"/>
    </row>
    <row r="439" customFormat="false" ht="15" hidden="false" customHeight="false" outlineLevel="0" collapsed="false">
      <c r="A439" s="23"/>
      <c r="B439" s="16"/>
      <c r="C439" s="16"/>
      <c r="D439" s="16"/>
      <c r="E439" s="16"/>
      <c r="F439" s="24"/>
      <c r="G439" s="24"/>
      <c r="H439" s="18" t="str">
        <f aca="false">IF(OR(F439="",G439=""),"",(G439-F439)*24)</f>
        <v/>
      </c>
      <c r="I439" s="18" t="str">
        <f aca="false">IF(C439="","",SUMIF(Test_Times!$E$5:$E$863,C439&amp;"|"&amp;D439,Test_Times!$L$5:$L$863)+N(E439)*SUMIF(Test_Times!$E$5:$E$863,C439&amp;"|"&amp;D439,Test_Times!$Q$5:$Q$863))</f>
        <v/>
      </c>
      <c r="J439" s="18" t="str">
        <f aca="false">IF(OR(H439="",N(I439)=0),"",H439/I439)</f>
        <v/>
      </c>
      <c r="K439" s="16"/>
    </row>
    <row r="440" customFormat="false" ht="15" hidden="false" customHeight="false" outlineLevel="0" collapsed="false">
      <c r="A440" s="23"/>
      <c r="B440" s="16"/>
      <c r="C440" s="16"/>
      <c r="D440" s="16"/>
      <c r="E440" s="16"/>
      <c r="F440" s="24"/>
      <c r="G440" s="24"/>
      <c r="H440" s="18" t="str">
        <f aca="false">IF(OR(F440="",G440=""),"",(G440-F440)*24)</f>
        <v/>
      </c>
      <c r="I440" s="18" t="str">
        <f aca="false">IF(C440="","",SUMIF(Test_Times!$E$5:$E$863,C440&amp;"|"&amp;D440,Test_Times!$L$5:$L$863)+N(E440)*SUMIF(Test_Times!$E$5:$E$863,C440&amp;"|"&amp;D440,Test_Times!$Q$5:$Q$863))</f>
        <v/>
      </c>
      <c r="J440" s="18" t="str">
        <f aca="false">IF(OR(H440="",N(I440)=0),"",H440/I440)</f>
        <v/>
      </c>
      <c r="K440" s="16"/>
    </row>
    <row r="441" customFormat="false" ht="15" hidden="false" customHeight="false" outlineLevel="0" collapsed="false">
      <c r="A441" s="23"/>
      <c r="B441" s="16"/>
      <c r="C441" s="16"/>
      <c r="D441" s="16"/>
      <c r="E441" s="16"/>
      <c r="F441" s="24"/>
      <c r="G441" s="24"/>
      <c r="H441" s="18" t="str">
        <f aca="false">IF(OR(F441="",G441=""),"",(G441-F441)*24)</f>
        <v/>
      </c>
      <c r="I441" s="18" t="str">
        <f aca="false">IF(C441="","",SUMIF(Test_Times!$E$5:$E$863,C441&amp;"|"&amp;D441,Test_Times!$L$5:$L$863)+N(E441)*SUMIF(Test_Times!$E$5:$E$863,C441&amp;"|"&amp;D441,Test_Times!$Q$5:$Q$863))</f>
        <v/>
      </c>
      <c r="J441" s="18" t="str">
        <f aca="false">IF(OR(H441="",N(I441)=0),"",H441/I441)</f>
        <v/>
      </c>
      <c r="K441" s="16"/>
    </row>
    <row r="442" customFormat="false" ht="15" hidden="false" customHeight="false" outlineLevel="0" collapsed="false">
      <c r="A442" s="23"/>
      <c r="B442" s="16"/>
      <c r="C442" s="16"/>
      <c r="D442" s="16"/>
      <c r="E442" s="16"/>
      <c r="F442" s="24"/>
      <c r="G442" s="24"/>
      <c r="H442" s="18" t="str">
        <f aca="false">IF(OR(F442="",G442=""),"",(G442-F442)*24)</f>
        <v/>
      </c>
      <c r="I442" s="18" t="str">
        <f aca="false">IF(C442="","",SUMIF(Test_Times!$E$5:$E$863,C442&amp;"|"&amp;D442,Test_Times!$L$5:$L$863)+N(E442)*SUMIF(Test_Times!$E$5:$E$863,C442&amp;"|"&amp;D442,Test_Times!$Q$5:$Q$863))</f>
        <v/>
      </c>
      <c r="J442" s="18" t="str">
        <f aca="false">IF(OR(H442="",N(I442)=0),"",H442/I442)</f>
        <v/>
      </c>
      <c r="K442" s="16"/>
    </row>
    <row r="443" customFormat="false" ht="15" hidden="false" customHeight="false" outlineLevel="0" collapsed="false">
      <c r="A443" s="23"/>
      <c r="B443" s="16"/>
      <c r="C443" s="16"/>
      <c r="D443" s="16"/>
      <c r="E443" s="16"/>
      <c r="F443" s="24"/>
      <c r="G443" s="24"/>
      <c r="H443" s="18" t="str">
        <f aca="false">IF(OR(F443="",G443=""),"",(G443-F443)*24)</f>
        <v/>
      </c>
      <c r="I443" s="18" t="str">
        <f aca="false">IF(C443="","",SUMIF(Test_Times!$E$5:$E$863,C443&amp;"|"&amp;D443,Test_Times!$L$5:$L$863)+N(E443)*SUMIF(Test_Times!$E$5:$E$863,C443&amp;"|"&amp;D443,Test_Times!$Q$5:$Q$863))</f>
        <v/>
      </c>
      <c r="J443" s="18" t="str">
        <f aca="false">IF(OR(H443="",N(I443)=0),"",H443/I443)</f>
        <v/>
      </c>
      <c r="K443" s="16"/>
    </row>
    <row r="444" customFormat="false" ht="15" hidden="false" customHeight="false" outlineLevel="0" collapsed="false">
      <c r="A444" s="23"/>
      <c r="B444" s="16"/>
      <c r="C444" s="16"/>
      <c r="D444" s="16"/>
      <c r="E444" s="16"/>
      <c r="F444" s="24"/>
      <c r="G444" s="24"/>
      <c r="H444" s="18" t="str">
        <f aca="false">IF(OR(F444="",G444=""),"",(G444-F444)*24)</f>
        <v/>
      </c>
      <c r="I444" s="18" t="str">
        <f aca="false">IF(C444="","",SUMIF(Test_Times!$E$5:$E$863,C444&amp;"|"&amp;D444,Test_Times!$L$5:$L$863)+N(E444)*SUMIF(Test_Times!$E$5:$E$863,C444&amp;"|"&amp;D444,Test_Times!$Q$5:$Q$863))</f>
        <v/>
      </c>
      <c r="J444" s="18" t="str">
        <f aca="false">IF(OR(H444="",N(I444)=0),"",H444/I444)</f>
        <v/>
      </c>
      <c r="K444" s="16"/>
    </row>
    <row r="445" customFormat="false" ht="15" hidden="false" customHeight="false" outlineLevel="0" collapsed="false">
      <c r="A445" s="23"/>
      <c r="B445" s="16"/>
      <c r="C445" s="16"/>
      <c r="D445" s="16"/>
      <c r="E445" s="16"/>
      <c r="F445" s="24"/>
      <c r="G445" s="24"/>
      <c r="H445" s="18" t="str">
        <f aca="false">IF(OR(F445="",G445=""),"",(G445-F445)*24)</f>
        <v/>
      </c>
      <c r="I445" s="18" t="str">
        <f aca="false">IF(C445="","",SUMIF(Test_Times!$E$5:$E$863,C445&amp;"|"&amp;D445,Test_Times!$L$5:$L$863)+N(E445)*SUMIF(Test_Times!$E$5:$E$863,C445&amp;"|"&amp;D445,Test_Times!$Q$5:$Q$863))</f>
        <v/>
      </c>
      <c r="J445" s="18" t="str">
        <f aca="false">IF(OR(H445="",N(I445)=0),"",H445/I445)</f>
        <v/>
      </c>
      <c r="K445" s="16"/>
    </row>
    <row r="446" customFormat="false" ht="15" hidden="false" customHeight="false" outlineLevel="0" collapsed="false">
      <c r="A446" s="23"/>
      <c r="B446" s="16"/>
      <c r="C446" s="16"/>
      <c r="D446" s="16"/>
      <c r="E446" s="16"/>
      <c r="F446" s="24"/>
      <c r="G446" s="24"/>
      <c r="H446" s="18" t="str">
        <f aca="false">IF(OR(F446="",G446=""),"",(G446-F446)*24)</f>
        <v/>
      </c>
      <c r="I446" s="18" t="str">
        <f aca="false">IF(C446="","",SUMIF(Test_Times!$E$5:$E$863,C446&amp;"|"&amp;D446,Test_Times!$L$5:$L$863)+N(E446)*SUMIF(Test_Times!$E$5:$E$863,C446&amp;"|"&amp;D446,Test_Times!$Q$5:$Q$863))</f>
        <v/>
      </c>
      <c r="J446" s="18" t="str">
        <f aca="false">IF(OR(H446="",N(I446)=0),"",H446/I446)</f>
        <v/>
      </c>
      <c r="K446" s="16"/>
    </row>
    <row r="447" customFormat="false" ht="15" hidden="false" customHeight="false" outlineLevel="0" collapsed="false">
      <c r="A447" s="23"/>
      <c r="B447" s="16"/>
      <c r="C447" s="16"/>
      <c r="D447" s="16"/>
      <c r="E447" s="16"/>
      <c r="F447" s="24"/>
      <c r="G447" s="24"/>
      <c r="H447" s="18" t="str">
        <f aca="false">IF(OR(F447="",G447=""),"",(G447-F447)*24)</f>
        <v/>
      </c>
      <c r="I447" s="18" t="str">
        <f aca="false">IF(C447="","",SUMIF(Test_Times!$E$5:$E$863,C447&amp;"|"&amp;D447,Test_Times!$L$5:$L$863)+N(E447)*SUMIF(Test_Times!$E$5:$E$863,C447&amp;"|"&amp;D447,Test_Times!$Q$5:$Q$863))</f>
        <v/>
      </c>
      <c r="J447" s="18" t="str">
        <f aca="false">IF(OR(H447="",N(I447)=0),"",H447/I447)</f>
        <v/>
      </c>
      <c r="K447" s="16"/>
    </row>
    <row r="448" customFormat="false" ht="15" hidden="false" customHeight="false" outlineLevel="0" collapsed="false">
      <c r="A448" s="23"/>
      <c r="B448" s="16"/>
      <c r="C448" s="16"/>
      <c r="D448" s="16"/>
      <c r="E448" s="16"/>
      <c r="F448" s="24"/>
      <c r="G448" s="24"/>
      <c r="H448" s="18" t="str">
        <f aca="false">IF(OR(F448="",G448=""),"",(G448-F448)*24)</f>
        <v/>
      </c>
      <c r="I448" s="18" t="str">
        <f aca="false">IF(C448="","",SUMIF(Test_Times!$E$5:$E$863,C448&amp;"|"&amp;D448,Test_Times!$L$5:$L$863)+N(E448)*SUMIF(Test_Times!$E$5:$E$863,C448&amp;"|"&amp;D448,Test_Times!$Q$5:$Q$863))</f>
        <v/>
      </c>
      <c r="J448" s="18" t="str">
        <f aca="false">IF(OR(H448="",N(I448)=0),"",H448/I448)</f>
        <v/>
      </c>
      <c r="K448" s="16"/>
    </row>
    <row r="449" customFormat="false" ht="15" hidden="false" customHeight="false" outlineLevel="0" collapsed="false">
      <c r="A449" s="23"/>
      <c r="B449" s="16"/>
      <c r="C449" s="16"/>
      <c r="D449" s="16"/>
      <c r="E449" s="16"/>
      <c r="F449" s="24"/>
      <c r="G449" s="24"/>
      <c r="H449" s="18" t="str">
        <f aca="false">IF(OR(F449="",G449=""),"",(G449-F449)*24)</f>
        <v/>
      </c>
      <c r="I449" s="18" t="str">
        <f aca="false">IF(C449="","",SUMIF(Test_Times!$E$5:$E$863,C449&amp;"|"&amp;D449,Test_Times!$L$5:$L$863)+N(E449)*SUMIF(Test_Times!$E$5:$E$863,C449&amp;"|"&amp;D449,Test_Times!$Q$5:$Q$863))</f>
        <v/>
      </c>
      <c r="J449" s="18" t="str">
        <f aca="false">IF(OR(H449="",N(I449)=0),"",H449/I449)</f>
        <v/>
      </c>
      <c r="K449" s="16"/>
    </row>
    <row r="450" customFormat="false" ht="15" hidden="false" customHeight="false" outlineLevel="0" collapsed="false">
      <c r="A450" s="23"/>
      <c r="B450" s="16"/>
      <c r="C450" s="16"/>
      <c r="D450" s="16"/>
      <c r="E450" s="16"/>
      <c r="F450" s="24"/>
      <c r="G450" s="24"/>
      <c r="H450" s="18" t="str">
        <f aca="false">IF(OR(F450="",G450=""),"",(G450-F450)*24)</f>
        <v/>
      </c>
      <c r="I450" s="18" t="str">
        <f aca="false">IF(C450="","",SUMIF(Test_Times!$E$5:$E$863,C450&amp;"|"&amp;D450,Test_Times!$L$5:$L$863)+N(E450)*SUMIF(Test_Times!$E$5:$E$863,C450&amp;"|"&amp;D450,Test_Times!$Q$5:$Q$863))</f>
        <v/>
      </c>
      <c r="J450" s="18" t="str">
        <f aca="false">IF(OR(H450="",N(I450)=0),"",H450/I450)</f>
        <v/>
      </c>
      <c r="K450" s="16"/>
    </row>
    <row r="451" customFormat="false" ht="15" hidden="false" customHeight="false" outlineLevel="0" collapsed="false">
      <c r="A451" s="23"/>
      <c r="B451" s="16"/>
      <c r="C451" s="16"/>
      <c r="D451" s="16"/>
      <c r="E451" s="16"/>
      <c r="F451" s="24"/>
      <c r="G451" s="24"/>
      <c r="H451" s="18" t="str">
        <f aca="false">IF(OR(F451="",G451=""),"",(G451-F451)*24)</f>
        <v/>
      </c>
      <c r="I451" s="18" t="str">
        <f aca="false">IF(C451="","",SUMIF(Test_Times!$E$5:$E$863,C451&amp;"|"&amp;D451,Test_Times!$L$5:$L$863)+N(E451)*SUMIF(Test_Times!$E$5:$E$863,C451&amp;"|"&amp;D451,Test_Times!$Q$5:$Q$863))</f>
        <v/>
      </c>
      <c r="J451" s="18" t="str">
        <f aca="false">IF(OR(H451="",N(I451)=0),"",H451/I451)</f>
        <v/>
      </c>
      <c r="K451" s="16"/>
    </row>
    <row r="452" customFormat="false" ht="15" hidden="false" customHeight="false" outlineLevel="0" collapsed="false">
      <c r="A452" s="23"/>
      <c r="B452" s="16"/>
      <c r="C452" s="16"/>
      <c r="D452" s="16"/>
      <c r="E452" s="16"/>
      <c r="F452" s="24"/>
      <c r="G452" s="24"/>
      <c r="H452" s="18" t="str">
        <f aca="false">IF(OR(F452="",G452=""),"",(G452-F452)*24)</f>
        <v/>
      </c>
      <c r="I452" s="18" t="str">
        <f aca="false">IF(C452="","",SUMIF(Test_Times!$E$5:$E$863,C452&amp;"|"&amp;D452,Test_Times!$L$5:$L$863)+N(E452)*SUMIF(Test_Times!$E$5:$E$863,C452&amp;"|"&amp;D452,Test_Times!$Q$5:$Q$863))</f>
        <v/>
      </c>
      <c r="J452" s="18" t="str">
        <f aca="false">IF(OR(H452="",N(I452)=0),"",H452/I452)</f>
        <v/>
      </c>
      <c r="K452" s="16"/>
    </row>
    <row r="453" customFormat="false" ht="15" hidden="false" customHeight="false" outlineLevel="0" collapsed="false">
      <c r="A453" s="23"/>
      <c r="B453" s="16"/>
      <c r="C453" s="16"/>
      <c r="D453" s="16"/>
      <c r="E453" s="16"/>
      <c r="F453" s="24"/>
      <c r="G453" s="24"/>
      <c r="H453" s="18" t="str">
        <f aca="false">IF(OR(F453="",G453=""),"",(G453-F453)*24)</f>
        <v/>
      </c>
      <c r="I453" s="18" t="str">
        <f aca="false">IF(C453="","",SUMIF(Test_Times!$E$5:$E$863,C453&amp;"|"&amp;D453,Test_Times!$L$5:$L$863)+N(E453)*SUMIF(Test_Times!$E$5:$E$863,C453&amp;"|"&amp;D453,Test_Times!$Q$5:$Q$863))</f>
        <v/>
      </c>
      <c r="J453" s="18" t="str">
        <f aca="false">IF(OR(H453="",N(I453)=0),"",H453/I453)</f>
        <v/>
      </c>
      <c r="K453" s="16"/>
    </row>
    <row r="454" customFormat="false" ht="15" hidden="false" customHeight="false" outlineLevel="0" collapsed="false">
      <c r="A454" s="23"/>
      <c r="B454" s="16"/>
      <c r="C454" s="16"/>
      <c r="D454" s="16"/>
      <c r="E454" s="16"/>
      <c r="F454" s="24"/>
      <c r="G454" s="24"/>
      <c r="H454" s="18" t="str">
        <f aca="false">IF(OR(F454="",G454=""),"",(G454-F454)*24)</f>
        <v/>
      </c>
      <c r="I454" s="18" t="str">
        <f aca="false">IF(C454="","",SUMIF(Test_Times!$E$5:$E$863,C454&amp;"|"&amp;D454,Test_Times!$L$5:$L$863)+N(E454)*SUMIF(Test_Times!$E$5:$E$863,C454&amp;"|"&amp;D454,Test_Times!$Q$5:$Q$863))</f>
        <v/>
      </c>
      <c r="J454" s="18" t="str">
        <f aca="false">IF(OR(H454="",N(I454)=0),"",H454/I454)</f>
        <v/>
      </c>
      <c r="K454" s="16"/>
    </row>
    <row r="455" customFormat="false" ht="15" hidden="false" customHeight="false" outlineLevel="0" collapsed="false">
      <c r="A455" s="23"/>
      <c r="B455" s="16"/>
      <c r="C455" s="16"/>
      <c r="D455" s="16"/>
      <c r="E455" s="16"/>
      <c r="F455" s="24"/>
      <c r="G455" s="24"/>
      <c r="H455" s="18" t="str">
        <f aca="false">IF(OR(F455="",G455=""),"",(G455-F455)*24)</f>
        <v/>
      </c>
      <c r="I455" s="18" t="str">
        <f aca="false">IF(C455="","",SUMIF(Test_Times!$E$5:$E$863,C455&amp;"|"&amp;D455,Test_Times!$L$5:$L$863)+N(E455)*SUMIF(Test_Times!$E$5:$E$863,C455&amp;"|"&amp;D455,Test_Times!$Q$5:$Q$863))</f>
        <v/>
      </c>
      <c r="J455" s="18" t="str">
        <f aca="false">IF(OR(H455="",N(I455)=0),"",H455/I455)</f>
        <v/>
      </c>
      <c r="K455" s="16"/>
    </row>
    <row r="456" customFormat="false" ht="15" hidden="false" customHeight="false" outlineLevel="0" collapsed="false">
      <c r="A456" s="23"/>
      <c r="B456" s="16"/>
      <c r="C456" s="16"/>
      <c r="D456" s="16"/>
      <c r="E456" s="16"/>
      <c r="F456" s="24"/>
      <c r="G456" s="24"/>
      <c r="H456" s="18" t="str">
        <f aca="false">IF(OR(F456="",G456=""),"",(G456-F456)*24)</f>
        <v/>
      </c>
      <c r="I456" s="18" t="str">
        <f aca="false">IF(C456="","",SUMIF(Test_Times!$E$5:$E$863,C456&amp;"|"&amp;D456,Test_Times!$L$5:$L$863)+N(E456)*SUMIF(Test_Times!$E$5:$E$863,C456&amp;"|"&amp;D456,Test_Times!$Q$5:$Q$863))</f>
        <v/>
      </c>
      <c r="J456" s="18" t="str">
        <f aca="false">IF(OR(H456="",N(I456)=0),"",H456/I456)</f>
        <v/>
      </c>
      <c r="K456" s="16"/>
    </row>
    <row r="457" customFormat="false" ht="15" hidden="false" customHeight="false" outlineLevel="0" collapsed="false">
      <c r="A457" s="23"/>
      <c r="B457" s="16"/>
      <c r="C457" s="16"/>
      <c r="D457" s="16"/>
      <c r="E457" s="16"/>
      <c r="F457" s="24"/>
      <c r="G457" s="24"/>
      <c r="H457" s="18" t="str">
        <f aca="false">IF(OR(F457="",G457=""),"",(G457-F457)*24)</f>
        <v/>
      </c>
      <c r="I457" s="18" t="str">
        <f aca="false">IF(C457="","",SUMIF(Test_Times!$E$5:$E$863,C457&amp;"|"&amp;D457,Test_Times!$L$5:$L$863)+N(E457)*SUMIF(Test_Times!$E$5:$E$863,C457&amp;"|"&amp;D457,Test_Times!$Q$5:$Q$863))</f>
        <v/>
      </c>
      <c r="J457" s="18" t="str">
        <f aca="false">IF(OR(H457="",N(I457)=0),"",H457/I457)</f>
        <v/>
      </c>
      <c r="K457" s="16"/>
    </row>
    <row r="458" customFormat="false" ht="15" hidden="false" customHeight="false" outlineLevel="0" collapsed="false">
      <c r="A458" s="23"/>
      <c r="B458" s="16"/>
      <c r="C458" s="16"/>
      <c r="D458" s="16"/>
      <c r="E458" s="16"/>
      <c r="F458" s="24"/>
      <c r="G458" s="24"/>
      <c r="H458" s="18" t="str">
        <f aca="false">IF(OR(F458="",G458=""),"",(G458-F458)*24)</f>
        <v/>
      </c>
      <c r="I458" s="18" t="str">
        <f aca="false">IF(C458="","",SUMIF(Test_Times!$E$5:$E$863,C458&amp;"|"&amp;D458,Test_Times!$L$5:$L$863)+N(E458)*SUMIF(Test_Times!$E$5:$E$863,C458&amp;"|"&amp;D458,Test_Times!$Q$5:$Q$863))</f>
        <v/>
      </c>
      <c r="J458" s="18" t="str">
        <f aca="false">IF(OR(H458="",N(I458)=0),"",H458/I458)</f>
        <v/>
      </c>
      <c r="K458" s="16"/>
    </row>
    <row r="459" customFormat="false" ht="15" hidden="false" customHeight="false" outlineLevel="0" collapsed="false">
      <c r="A459" s="23"/>
      <c r="B459" s="16"/>
      <c r="C459" s="16"/>
      <c r="D459" s="16"/>
      <c r="E459" s="16"/>
      <c r="F459" s="24"/>
      <c r="G459" s="24"/>
      <c r="H459" s="18" t="str">
        <f aca="false">IF(OR(F459="",G459=""),"",(G459-F459)*24)</f>
        <v/>
      </c>
      <c r="I459" s="18" t="str">
        <f aca="false">IF(C459="","",SUMIF(Test_Times!$E$5:$E$863,C459&amp;"|"&amp;D459,Test_Times!$L$5:$L$863)+N(E459)*SUMIF(Test_Times!$E$5:$E$863,C459&amp;"|"&amp;D459,Test_Times!$Q$5:$Q$863))</f>
        <v/>
      </c>
      <c r="J459" s="18" t="str">
        <f aca="false">IF(OR(H459="",N(I459)=0),"",H459/I459)</f>
        <v/>
      </c>
      <c r="K459" s="16"/>
    </row>
    <row r="460" customFormat="false" ht="15" hidden="false" customHeight="false" outlineLevel="0" collapsed="false">
      <c r="A460" s="23"/>
      <c r="B460" s="16"/>
      <c r="C460" s="16"/>
      <c r="D460" s="16"/>
      <c r="E460" s="16"/>
      <c r="F460" s="24"/>
      <c r="G460" s="24"/>
      <c r="H460" s="18" t="str">
        <f aca="false">IF(OR(F460="",G460=""),"",(G460-F460)*24)</f>
        <v/>
      </c>
      <c r="I460" s="18" t="str">
        <f aca="false">IF(C460="","",SUMIF(Test_Times!$E$5:$E$863,C460&amp;"|"&amp;D460,Test_Times!$L$5:$L$863)+N(E460)*SUMIF(Test_Times!$E$5:$E$863,C460&amp;"|"&amp;D460,Test_Times!$Q$5:$Q$863))</f>
        <v/>
      </c>
      <c r="J460" s="18" t="str">
        <f aca="false">IF(OR(H460="",N(I460)=0),"",H460/I460)</f>
        <v/>
      </c>
      <c r="K460" s="16"/>
    </row>
    <row r="461" customFormat="false" ht="15" hidden="false" customHeight="false" outlineLevel="0" collapsed="false">
      <c r="A461" s="23"/>
      <c r="B461" s="16"/>
      <c r="C461" s="16"/>
      <c r="D461" s="16"/>
      <c r="E461" s="16"/>
      <c r="F461" s="24"/>
      <c r="G461" s="24"/>
      <c r="H461" s="18" t="str">
        <f aca="false">IF(OR(F461="",G461=""),"",(G461-F461)*24)</f>
        <v/>
      </c>
      <c r="I461" s="18" t="str">
        <f aca="false">IF(C461="","",SUMIF(Test_Times!$E$5:$E$863,C461&amp;"|"&amp;D461,Test_Times!$L$5:$L$863)+N(E461)*SUMIF(Test_Times!$E$5:$E$863,C461&amp;"|"&amp;D461,Test_Times!$Q$5:$Q$863))</f>
        <v/>
      </c>
      <c r="J461" s="18" t="str">
        <f aca="false">IF(OR(H461="",N(I461)=0),"",H461/I461)</f>
        <v/>
      </c>
      <c r="K461" s="16"/>
    </row>
    <row r="462" customFormat="false" ht="15" hidden="false" customHeight="false" outlineLevel="0" collapsed="false">
      <c r="A462" s="23"/>
      <c r="B462" s="16"/>
      <c r="C462" s="16"/>
      <c r="D462" s="16"/>
      <c r="E462" s="16"/>
      <c r="F462" s="24"/>
      <c r="G462" s="24"/>
      <c r="H462" s="18" t="str">
        <f aca="false">IF(OR(F462="",G462=""),"",(G462-F462)*24)</f>
        <v/>
      </c>
      <c r="I462" s="18" t="str">
        <f aca="false">IF(C462="","",SUMIF(Test_Times!$E$5:$E$863,C462&amp;"|"&amp;D462,Test_Times!$L$5:$L$863)+N(E462)*SUMIF(Test_Times!$E$5:$E$863,C462&amp;"|"&amp;D462,Test_Times!$Q$5:$Q$863))</f>
        <v/>
      </c>
      <c r="J462" s="18" t="str">
        <f aca="false">IF(OR(H462="",N(I462)=0),"",H462/I462)</f>
        <v/>
      </c>
      <c r="K462" s="16"/>
    </row>
    <row r="463" customFormat="false" ht="15" hidden="false" customHeight="false" outlineLevel="0" collapsed="false">
      <c r="A463" s="23"/>
      <c r="B463" s="16"/>
      <c r="C463" s="16"/>
      <c r="D463" s="16"/>
      <c r="E463" s="16"/>
      <c r="F463" s="24"/>
      <c r="G463" s="24"/>
      <c r="H463" s="18" t="str">
        <f aca="false">IF(OR(F463="",G463=""),"",(G463-F463)*24)</f>
        <v/>
      </c>
      <c r="I463" s="18" t="str">
        <f aca="false">IF(C463="","",SUMIF(Test_Times!$E$5:$E$863,C463&amp;"|"&amp;D463,Test_Times!$L$5:$L$863)+N(E463)*SUMIF(Test_Times!$E$5:$E$863,C463&amp;"|"&amp;D463,Test_Times!$Q$5:$Q$863))</f>
        <v/>
      </c>
      <c r="J463" s="18" t="str">
        <f aca="false">IF(OR(H463="",N(I463)=0),"",H463/I463)</f>
        <v/>
      </c>
      <c r="K463" s="16"/>
    </row>
    <row r="464" customFormat="false" ht="15" hidden="false" customHeight="false" outlineLevel="0" collapsed="false">
      <c r="A464" s="23"/>
      <c r="B464" s="16"/>
      <c r="C464" s="16"/>
      <c r="D464" s="16"/>
      <c r="E464" s="16"/>
      <c r="F464" s="24"/>
      <c r="G464" s="24"/>
      <c r="H464" s="18" t="str">
        <f aca="false">IF(OR(F464="",G464=""),"",(G464-F464)*24)</f>
        <v/>
      </c>
      <c r="I464" s="18" t="str">
        <f aca="false">IF(C464="","",SUMIF(Test_Times!$E$5:$E$863,C464&amp;"|"&amp;D464,Test_Times!$L$5:$L$863)+N(E464)*SUMIF(Test_Times!$E$5:$E$863,C464&amp;"|"&amp;D464,Test_Times!$Q$5:$Q$863))</f>
        <v/>
      </c>
      <c r="J464" s="18" t="str">
        <f aca="false">IF(OR(H464="",N(I464)=0),"",H464/I464)</f>
        <v/>
      </c>
      <c r="K464" s="16"/>
    </row>
    <row r="465" customFormat="false" ht="15" hidden="false" customHeight="false" outlineLevel="0" collapsed="false">
      <c r="A465" s="23"/>
      <c r="B465" s="16"/>
      <c r="C465" s="16"/>
      <c r="D465" s="16"/>
      <c r="E465" s="16"/>
      <c r="F465" s="24"/>
      <c r="G465" s="24"/>
      <c r="H465" s="18" t="str">
        <f aca="false">IF(OR(F465="",G465=""),"",(G465-F465)*24)</f>
        <v/>
      </c>
      <c r="I465" s="18" t="str">
        <f aca="false">IF(C465="","",SUMIF(Test_Times!$E$5:$E$863,C465&amp;"|"&amp;D465,Test_Times!$L$5:$L$863)+N(E465)*SUMIF(Test_Times!$E$5:$E$863,C465&amp;"|"&amp;D465,Test_Times!$Q$5:$Q$863))</f>
        <v/>
      </c>
      <c r="J465" s="18" t="str">
        <f aca="false">IF(OR(H465="",N(I465)=0),"",H465/I465)</f>
        <v/>
      </c>
      <c r="K465" s="16"/>
    </row>
    <row r="466" customFormat="false" ht="15" hidden="false" customHeight="false" outlineLevel="0" collapsed="false">
      <c r="A466" s="23"/>
      <c r="B466" s="16"/>
      <c r="C466" s="16"/>
      <c r="D466" s="16"/>
      <c r="E466" s="16"/>
      <c r="F466" s="24"/>
      <c r="G466" s="24"/>
      <c r="H466" s="18" t="str">
        <f aca="false">IF(OR(F466="",G466=""),"",(G466-F466)*24)</f>
        <v/>
      </c>
      <c r="I466" s="18" t="str">
        <f aca="false">IF(C466="","",SUMIF(Test_Times!$E$5:$E$863,C466&amp;"|"&amp;D466,Test_Times!$L$5:$L$863)+N(E466)*SUMIF(Test_Times!$E$5:$E$863,C466&amp;"|"&amp;D466,Test_Times!$Q$5:$Q$863))</f>
        <v/>
      </c>
      <c r="J466" s="18" t="str">
        <f aca="false">IF(OR(H466="",N(I466)=0),"",H466/I466)</f>
        <v/>
      </c>
      <c r="K466" s="16"/>
    </row>
    <row r="467" customFormat="false" ht="15" hidden="false" customHeight="false" outlineLevel="0" collapsed="false">
      <c r="A467" s="23"/>
      <c r="B467" s="16"/>
      <c r="C467" s="16"/>
      <c r="D467" s="16"/>
      <c r="E467" s="16"/>
      <c r="F467" s="24"/>
      <c r="G467" s="24"/>
      <c r="H467" s="18" t="str">
        <f aca="false">IF(OR(F467="",G467=""),"",(G467-F467)*24)</f>
        <v/>
      </c>
      <c r="I467" s="18" t="str">
        <f aca="false">IF(C467="","",SUMIF(Test_Times!$E$5:$E$863,C467&amp;"|"&amp;D467,Test_Times!$L$5:$L$863)+N(E467)*SUMIF(Test_Times!$E$5:$E$863,C467&amp;"|"&amp;D467,Test_Times!$Q$5:$Q$863))</f>
        <v/>
      </c>
      <c r="J467" s="18" t="str">
        <f aca="false">IF(OR(H467="",N(I467)=0),"",H467/I467)</f>
        <v/>
      </c>
      <c r="K467" s="16"/>
    </row>
    <row r="468" customFormat="false" ht="15" hidden="false" customHeight="false" outlineLevel="0" collapsed="false">
      <c r="A468" s="23"/>
      <c r="B468" s="16"/>
      <c r="C468" s="16"/>
      <c r="D468" s="16"/>
      <c r="E468" s="16"/>
      <c r="F468" s="24"/>
      <c r="G468" s="24"/>
      <c r="H468" s="18" t="str">
        <f aca="false">IF(OR(F468="",G468=""),"",(G468-F468)*24)</f>
        <v/>
      </c>
      <c r="I468" s="18" t="str">
        <f aca="false">IF(C468="","",SUMIF(Test_Times!$E$5:$E$863,C468&amp;"|"&amp;D468,Test_Times!$L$5:$L$863)+N(E468)*SUMIF(Test_Times!$E$5:$E$863,C468&amp;"|"&amp;D468,Test_Times!$Q$5:$Q$863))</f>
        <v/>
      </c>
      <c r="J468" s="18" t="str">
        <f aca="false">IF(OR(H468="",N(I468)=0),"",H468/I468)</f>
        <v/>
      </c>
      <c r="K468" s="16"/>
    </row>
    <row r="469" customFormat="false" ht="15" hidden="false" customHeight="false" outlineLevel="0" collapsed="false">
      <c r="A469" s="23"/>
      <c r="B469" s="16"/>
      <c r="C469" s="16"/>
      <c r="D469" s="16"/>
      <c r="E469" s="16"/>
      <c r="F469" s="24"/>
      <c r="G469" s="24"/>
      <c r="H469" s="18" t="str">
        <f aca="false">IF(OR(F469="",G469=""),"",(G469-F469)*24)</f>
        <v/>
      </c>
      <c r="I469" s="18" t="str">
        <f aca="false">IF(C469="","",SUMIF(Test_Times!$E$5:$E$863,C469&amp;"|"&amp;D469,Test_Times!$L$5:$L$863)+N(E469)*SUMIF(Test_Times!$E$5:$E$863,C469&amp;"|"&amp;D469,Test_Times!$Q$5:$Q$863))</f>
        <v/>
      </c>
      <c r="J469" s="18" t="str">
        <f aca="false">IF(OR(H469="",N(I469)=0),"",H469/I469)</f>
        <v/>
      </c>
      <c r="K469" s="16"/>
    </row>
    <row r="470" customFormat="false" ht="15" hidden="false" customHeight="false" outlineLevel="0" collapsed="false">
      <c r="A470" s="23"/>
      <c r="B470" s="16"/>
      <c r="C470" s="16"/>
      <c r="D470" s="16"/>
      <c r="E470" s="16"/>
      <c r="F470" s="24"/>
      <c r="G470" s="24"/>
      <c r="H470" s="18" t="str">
        <f aca="false">IF(OR(F470="",G470=""),"",(G470-F470)*24)</f>
        <v/>
      </c>
      <c r="I470" s="18" t="str">
        <f aca="false">IF(C470="","",SUMIF(Test_Times!$E$5:$E$863,C470&amp;"|"&amp;D470,Test_Times!$L$5:$L$863)+N(E470)*SUMIF(Test_Times!$E$5:$E$863,C470&amp;"|"&amp;D470,Test_Times!$Q$5:$Q$863))</f>
        <v/>
      </c>
      <c r="J470" s="18" t="str">
        <f aca="false">IF(OR(H470="",N(I470)=0),"",H470/I470)</f>
        <v/>
      </c>
      <c r="K470" s="16"/>
    </row>
    <row r="471" customFormat="false" ht="15" hidden="false" customHeight="false" outlineLevel="0" collapsed="false">
      <c r="A471" s="23"/>
      <c r="B471" s="16"/>
      <c r="C471" s="16"/>
      <c r="D471" s="16"/>
      <c r="E471" s="16"/>
      <c r="F471" s="24"/>
      <c r="G471" s="24"/>
      <c r="H471" s="18" t="str">
        <f aca="false">IF(OR(F471="",G471=""),"",(G471-F471)*24)</f>
        <v/>
      </c>
      <c r="I471" s="18" t="str">
        <f aca="false">IF(C471="","",SUMIF(Test_Times!$E$5:$E$863,C471&amp;"|"&amp;D471,Test_Times!$L$5:$L$863)+N(E471)*SUMIF(Test_Times!$E$5:$E$863,C471&amp;"|"&amp;D471,Test_Times!$Q$5:$Q$863))</f>
        <v/>
      </c>
      <c r="J471" s="18" t="str">
        <f aca="false">IF(OR(H471="",N(I471)=0),"",H471/I471)</f>
        <v/>
      </c>
      <c r="K471" s="16"/>
    </row>
    <row r="472" customFormat="false" ht="15" hidden="false" customHeight="false" outlineLevel="0" collapsed="false">
      <c r="A472" s="23"/>
      <c r="B472" s="16"/>
      <c r="C472" s="16"/>
      <c r="D472" s="16"/>
      <c r="E472" s="16"/>
      <c r="F472" s="24"/>
      <c r="G472" s="24"/>
      <c r="H472" s="18" t="str">
        <f aca="false">IF(OR(F472="",G472=""),"",(G472-F472)*24)</f>
        <v/>
      </c>
      <c r="I472" s="18" t="str">
        <f aca="false">IF(C472="","",SUMIF(Test_Times!$E$5:$E$863,C472&amp;"|"&amp;D472,Test_Times!$L$5:$L$863)+N(E472)*SUMIF(Test_Times!$E$5:$E$863,C472&amp;"|"&amp;D472,Test_Times!$Q$5:$Q$863))</f>
        <v/>
      </c>
      <c r="J472" s="18" t="str">
        <f aca="false">IF(OR(H472="",N(I472)=0),"",H472/I472)</f>
        <v/>
      </c>
      <c r="K472" s="16"/>
    </row>
    <row r="473" customFormat="false" ht="15" hidden="false" customHeight="false" outlineLevel="0" collapsed="false">
      <c r="A473" s="23"/>
      <c r="B473" s="16"/>
      <c r="C473" s="16"/>
      <c r="D473" s="16"/>
      <c r="E473" s="16"/>
      <c r="F473" s="24"/>
      <c r="G473" s="24"/>
      <c r="H473" s="18" t="str">
        <f aca="false">IF(OR(F473="",G473=""),"",(G473-F473)*24)</f>
        <v/>
      </c>
      <c r="I473" s="18" t="str">
        <f aca="false">IF(C473="","",SUMIF(Test_Times!$E$5:$E$863,C473&amp;"|"&amp;D473,Test_Times!$L$5:$L$863)+N(E473)*SUMIF(Test_Times!$E$5:$E$863,C473&amp;"|"&amp;D473,Test_Times!$Q$5:$Q$863))</f>
        <v/>
      </c>
      <c r="J473" s="18" t="str">
        <f aca="false">IF(OR(H473="",N(I473)=0),"",H473/I473)</f>
        <v/>
      </c>
      <c r="K473" s="16"/>
    </row>
    <row r="474" customFormat="false" ht="15" hidden="false" customHeight="false" outlineLevel="0" collapsed="false">
      <c r="A474" s="23"/>
      <c r="B474" s="16"/>
      <c r="C474" s="16"/>
      <c r="D474" s="16"/>
      <c r="E474" s="16"/>
      <c r="F474" s="24"/>
      <c r="G474" s="24"/>
      <c r="H474" s="18" t="str">
        <f aca="false">IF(OR(F474="",G474=""),"",(G474-F474)*24)</f>
        <v/>
      </c>
      <c r="I474" s="18" t="str">
        <f aca="false">IF(C474="","",SUMIF(Test_Times!$E$5:$E$863,C474&amp;"|"&amp;D474,Test_Times!$L$5:$L$863)+N(E474)*SUMIF(Test_Times!$E$5:$E$863,C474&amp;"|"&amp;D474,Test_Times!$Q$5:$Q$863))</f>
        <v/>
      </c>
      <c r="J474" s="18" t="str">
        <f aca="false">IF(OR(H474="",N(I474)=0),"",H474/I474)</f>
        <v/>
      </c>
      <c r="K474" s="16"/>
    </row>
    <row r="475" customFormat="false" ht="15" hidden="false" customHeight="false" outlineLevel="0" collapsed="false">
      <c r="A475" s="23"/>
      <c r="B475" s="16"/>
      <c r="C475" s="16"/>
      <c r="D475" s="16"/>
      <c r="E475" s="16"/>
      <c r="F475" s="24"/>
      <c r="G475" s="24"/>
      <c r="H475" s="18" t="str">
        <f aca="false">IF(OR(F475="",G475=""),"",(G475-F475)*24)</f>
        <v/>
      </c>
      <c r="I475" s="18" t="str">
        <f aca="false">IF(C475="","",SUMIF(Test_Times!$E$5:$E$863,C475&amp;"|"&amp;D475,Test_Times!$L$5:$L$863)+N(E475)*SUMIF(Test_Times!$E$5:$E$863,C475&amp;"|"&amp;D475,Test_Times!$Q$5:$Q$863))</f>
        <v/>
      </c>
      <c r="J475" s="18" t="str">
        <f aca="false">IF(OR(H475="",N(I475)=0),"",H475/I475)</f>
        <v/>
      </c>
      <c r="K475" s="16"/>
    </row>
    <row r="476" customFormat="false" ht="15" hidden="false" customHeight="false" outlineLevel="0" collapsed="false">
      <c r="A476" s="23"/>
      <c r="B476" s="16"/>
      <c r="C476" s="16"/>
      <c r="D476" s="16"/>
      <c r="E476" s="16"/>
      <c r="F476" s="24"/>
      <c r="G476" s="24"/>
      <c r="H476" s="18" t="str">
        <f aca="false">IF(OR(F476="",G476=""),"",(G476-F476)*24)</f>
        <v/>
      </c>
      <c r="I476" s="18" t="str">
        <f aca="false">IF(C476="","",SUMIF(Test_Times!$E$5:$E$863,C476&amp;"|"&amp;D476,Test_Times!$L$5:$L$863)+N(E476)*SUMIF(Test_Times!$E$5:$E$863,C476&amp;"|"&amp;D476,Test_Times!$Q$5:$Q$863))</f>
        <v/>
      </c>
      <c r="J476" s="18" t="str">
        <f aca="false">IF(OR(H476="",N(I476)=0),"",H476/I476)</f>
        <v/>
      </c>
      <c r="K476" s="16"/>
    </row>
    <row r="477" customFormat="false" ht="15" hidden="false" customHeight="false" outlineLevel="0" collapsed="false">
      <c r="A477" s="23"/>
      <c r="B477" s="16"/>
      <c r="C477" s="16"/>
      <c r="D477" s="16"/>
      <c r="E477" s="16"/>
      <c r="F477" s="24"/>
      <c r="G477" s="24"/>
      <c r="H477" s="18" t="str">
        <f aca="false">IF(OR(F477="",G477=""),"",(G477-F477)*24)</f>
        <v/>
      </c>
      <c r="I477" s="18" t="str">
        <f aca="false">IF(C477="","",SUMIF(Test_Times!$E$5:$E$863,C477&amp;"|"&amp;D477,Test_Times!$L$5:$L$863)+N(E477)*SUMIF(Test_Times!$E$5:$E$863,C477&amp;"|"&amp;D477,Test_Times!$Q$5:$Q$863))</f>
        <v/>
      </c>
      <c r="J477" s="18" t="str">
        <f aca="false">IF(OR(H477="",N(I477)=0),"",H477/I477)</f>
        <v/>
      </c>
      <c r="K477" s="16"/>
    </row>
    <row r="478" customFormat="false" ht="15" hidden="false" customHeight="false" outlineLevel="0" collapsed="false">
      <c r="A478" s="23"/>
      <c r="B478" s="16"/>
      <c r="C478" s="16"/>
      <c r="D478" s="16"/>
      <c r="E478" s="16"/>
      <c r="F478" s="24"/>
      <c r="G478" s="24"/>
      <c r="H478" s="18" t="str">
        <f aca="false">IF(OR(F478="",G478=""),"",(G478-F478)*24)</f>
        <v/>
      </c>
      <c r="I478" s="18" t="str">
        <f aca="false">IF(C478="","",SUMIF(Test_Times!$E$5:$E$863,C478&amp;"|"&amp;D478,Test_Times!$L$5:$L$863)+N(E478)*SUMIF(Test_Times!$E$5:$E$863,C478&amp;"|"&amp;D478,Test_Times!$Q$5:$Q$863))</f>
        <v/>
      </c>
      <c r="J478" s="18" t="str">
        <f aca="false">IF(OR(H478="",N(I478)=0),"",H478/I478)</f>
        <v/>
      </c>
      <c r="K478" s="16"/>
    </row>
    <row r="479" customFormat="false" ht="15" hidden="false" customHeight="false" outlineLevel="0" collapsed="false">
      <c r="A479" s="23"/>
      <c r="B479" s="16"/>
      <c r="C479" s="16"/>
      <c r="D479" s="16"/>
      <c r="E479" s="16"/>
      <c r="F479" s="24"/>
      <c r="G479" s="24"/>
      <c r="H479" s="18" t="str">
        <f aca="false">IF(OR(F479="",G479=""),"",(G479-F479)*24)</f>
        <v/>
      </c>
      <c r="I479" s="18" t="str">
        <f aca="false">IF(C479="","",SUMIF(Test_Times!$E$5:$E$863,C479&amp;"|"&amp;D479,Test_Times!$L$5:$L$863)+N(E479)*SUMIF(Test_Times!$E$5:$E$863,C479&amp;"|"&amp;D479,Test_Times!$Q$5:$Q$863))</f>
        <v/>
      </c>
      <c r="J479" s="18" t="str">
        <f aca="false">IF(OR(H479="",N(I479)=0),"",H479/I479)</f>
        <v/>
      </c>
      <c r="K479" s="16"/>
    </row>
    <row r="480" customFormat="false" ht="15" hidden="false" customHeight="false" outlineLevel="0" collapsed="false">
      <c r="A480" s="23"/>
      <c r="B480" s="16"/>
      <c r="C480" s="16"/>
      <c r="D480" s="16"/>
      <c r="E480" s="16"/>
      <c r="F480" s="24"/>
      <c r="G480" s="24"/>
      <c r="H480" s="18" t="str">
        <f aca="false">IF(OR(F480="",G480=""),"",(G480-F480)*24)</f>
        <v/>
      </c>
      <c r="I480" s="18" t="str">
        <f aca="false">IF(C480="","",SUMIF(Test_Times!$E$5:$E$863,C480&amp;"|"&amp;D480,Test_Times!$L$5:$L$863)+N(E480)*SUMIF(Test_Times!$E$5:$E$863,C480&amp;"|"&amp;D480,Test_Times!$Q$5:$Q$863))</f>
        <v/>
      </c>
      <c r="J480" s="18" t="str">
        <f aca="false">IF(OR(H480="",N(I480)=0),"",H480/I480)</f>
        <v/>
      </c>
      <c r="K480" s="16"/>
    </row>
    <row r="481" customFormat="false" ht="15" hidden="false" customHeight="false" outlineLevel="0" collapsed="false">
      <c r="A481" s="23"/>
      <c r="B481" s="16"/>
      <c r="C481" s="16"/>
      <c r="D481" s="16"/>
      <c r="E481" s="16"/>
      <c r="F481" s="24"/>
      <c r="G481" s="24"/>
      <c r="H481" s="18" t="str">
        <f aca="false">IF(OR(F481="",G481=""),"",(G481-F481)*24)</f>
        <v/>
      </c>
      <c r="I481" s="18" t="str">
        <f aca="false">IF(C481="","",SUMIF(Test_Times!$E$5:$E$863,C481&amp;"|"&amp;D481,Test_Times!$L$5:$L$863)+N(E481)*SUMIF(Test_Times!$E$5:$E$863,C481&amp;"|"&amp;D481,Test_Times!$Q$5:$Q$863))</f>
        <v/>
      </c>
      <c r="J481" s="18" t="str">
        <f aca="false">IF(OR(H481="",N(I481)=0),"",H481/I481)</f>
        <v/>
      </c>
      <c r="K481" s="16"/>
    </row>
    <row r="482" customFormat="false" ht="15" hidden="false" customHeight="false" outlineLevel="0" collapsed="false">
      <c r="A482" s="23"/>
      <c r="B482" s="16"/>
      <c r="C482" s="16"/>
      <c r="D482" s="16"/>
      <c r="E482" s="16"/>
      <c r="F482" s="24"/>
      <c r="G482" s="24"/>
      <c r="H482" s="18" t="str">
        <f aca="false">IF(OR(F482="",G482=""),"",(G482-F482)*24)</f>
        <v/>
      </c>
      <c r="I482" s="18" t="str">
        <f aca="false">IF(C482="","",SUMIF(Test_Times!$E$5:$E$863,C482&amp;"|"&amp;D482,Test_Times!$L$5:$L$863)+N(E482)*SUMIF(Test_Times!$E$5:$E$863,C482&amp;"|"&amp;D482,Test_Times!$Q$5:$Q$863))</f>
        <v/>
      </c>
      <c r="J482" s="18" t="str">
        <f aca="false">IF(OR(H482="",N(I482)=0),"",H482/I482)</f>
        <v/>
      </c>
      <c r="K482" s="16"/>
    </row>
    <row r="483" customFormat="false" ht="15" hidden="false" customHeight="false" outlineLevel="0" collapsed="false">
      <c r="A483" s="23"/>
      <c r="B483" s="16"/>
      <c r="C483" s="16"/>
      <c r="D483" s="16"/>
      <c r="E483" s="16"/>
      <c r="F483" s="24"/>
      <c r="G483" s="24"/>
      <c r="H483" s="18" t="str">
        <f aca="false">IF(OR(F483="",G483=""),"",(G483-F483)*24)</f>
        <v/>
      </c>
      <c r="I483" s="18" t="str">
        <f aca="false">IF(C483="","",SUMIF(Test_Times!$E$5:$E$863,C483&amp;"|"&amp;D483,Test_Times!$L$5:$L$863)+N(E483)*SUMIF(Test_Times!$E$5:$E$863,C483&amp;"|"&amp;D483,Test_Times!$Q$5:$Q$863))</f>
        <v/>
      </c>
      <c r="J483" s="18" t="str">
        <f aca="false">IF(OR(H483="",N(I483)=0),"",H483/I483)</f>
        <v/>
      </c>
      <c r="K483" s="16"/>
    </row>
    <row r="484" customFormat="false" ht="15" hidden="false" customHeight="false" outlineLevel="0" collapsed="false">
      <c r="A484" s="23"/>
      <c r="B484" s="16"/>
      <c r="C484" s="16"/>
      <c r="D484" s="16"/>
      <c r="E484" s="16"/>
      <c r="F484" s="24"/>
      <c r="G484" s="24"/>
      <c r="H484" s="18" t="str">
        <f aca="false">IF(OR(F484="",G484=""),"",(G484-F484)*24)</f>
        <v/>
      </c>
      <c r="I484" s="18" t="str">
        <f aca="false">IF(C484="","",SUMIF(Test_Times!$E$5:$E$863,C484&amp;"|"&amp;D484,Test_Times!$L$5:$L$863)+N(E484)*SUMIF(Test_Times!$E$5:$E$863,C484&amp;"|"&amp;D484,Test_Times!$Q$5:$Q$863))</f>
        <v/>
      </c>
      <c r="J484" s="18" t="str">
        <f aca="false">IF(OR(H484="",N(I484)=0),"",H484/I484)</f>
        <v/>
      </c>
      <c r="K484" s="16"/>
    </row>
    <row r="485" customFormat="false" ht="15" hidden="false" customHeight="false" outlineLevel="0" collapsed="false">
      <c r="A485" s="23"/>
      <c r="B485" s="16"/>
      <c r="C485" s="16"/>
      <c r="D485" s="16"/>
      <c r="E485" s="16"/>
      <c r="F485" s="24"/>
      <c r="G485" s="24"/>
      <c r="H485" s="18" t="str">
        <f aca="false">IF(OR(F485="",G485=""),"",(G485-F485)*24)</f>
        <v/>
      </c>
      <c r="I485" s="18" t="str">
        <f aca="false">IF(C485="","",SUMIF(Test_Times!$E$5:$E$863,C485&amp;"|"&amp;D485,Test_Times!$L$5:$L$863)+N(E485)*SUMIF(Test_Times!$E$5:$E$863,C485&amp;"|"&amp;D485,Test_Times!$Q$5:$Q$863))</f>
        <v/>
      </c>
      <c r="J485" s="18" t="str">
        <f aca="false">IF(OR(H485="",N(I485)=0),"",H485/I485)</f>
        <v/>
      </c>
      <c r="K485" s="16"/>
    </row>
    <row r="486" customFormat="false" ht="15" hidden="false" customHeight="false" outlineLevel="0" collapsed="false">
      <c r="A486" s="23"/>
      <c r="B486" s="16"/>
      <c r="C486" s="16"/>
      <c r="D486" s="16"/>
      <c r="E486" s="16"/>
      <c r="F486" s="24"/>
      <c r="G486" s="24"/>
      <c r="H486" s="18" t="str">
        <f aca="false">IF(OR(F486="",G486=""),"",(G486-F486)*24)</f>
        <v/>
      </c>
      <c r="I486" s="18" t="str">
        <f aca="false">IF(C486="","",SUMIF(Test_Times!$E$5:$E$863,C486&amp;"|"&amp;D486,Test_Times!$L$5:$L$863)+N(E486)*SUMIF(Test_Times!$E$5:$E$863,C486&amp;"|"&amp;D486,Test_Times!$Q$5:$Q$863))</f>
        <v/>
      </c>
      <c r="J486" s="18" t="str">
        <f aca="false">IF(OR(H486="",N(I486)=0),"",H486/I486)</f>
        <v/>
      </c>
      <c r="K486" s="16"/>
    </row>
    <row r="487" customFormat="false" ht="15" hidden="false" customHeight="false" outlineLevel="0" collapsed="false">
      <c r="A487" s="23"/>
      <c r="B487" s="16"/>
      <c r="C487" s="16"/>
      <c r="D487" s="16"/>
      <c r="E487" s="16"/>
      <c r="F487" s="24"/>
      <c r="G487" s="24"/>
      <c r="H487" s="18" t="str">
        <f aca="false">IF(OR(F487="",G487=""),"",(G487-F487)*24)</f>
        <v/>
      </c>
      <c r="I487" s="18" t="str">
        <f aca="false">IF(C487="","",SUMIF(Test_Times!$E$5:$E$863,C487&amp;"|"&amp;D487,Test_Times!$L$5:$L$863)+N(E487)*SUMIF(Test_Times!$E$5:$E$863,C487&amp;"|"&amp;D487,Test_Times!$Q$5:$Q$863))</f>
        <v/>
      </c>
      <c r="J487" s="18" t="str">
        <f aca="false">IF(OR(H487="",N(I487)=0),"",H487/I487)</f>
        <v/>
      </c>
      <c r="K487" s="16"/>
    </row>
    <row r="488" customFormat="false" ht="15" hidden="false" customHeight="false" outlineLevel="0" collapsed="false">
      <c r="A488" s="23"/>
      <c r="B488" s="16"/>
      <c r="C488" s="16"/>
      <c r="D488" s="16"/>
      <c r="E488" s="16"/>
      <c r="F488" s="24"/>
      <c r="G488" s="24"/>
      <c r="H488" s="18" t="str">
        <f aca="false">IF(OR(F488="",G488=""),"",(G488-F488)*24)</f>
        <v/>
      </c>
      <c r="I488" s="18" t="str">
        <f aca="false">IF(C488="","",SUMIF(Test_Times!$E$5:$E$863,C488&amp;"|"&amp;D488,Test_Times!$L$5:$L$863)+N(E488)*SUMIF(Test_Times!$E$5:$E$863,C488&amp;"|"&amp;D488,Test_Times!$Q$5:$Q$863))</f>
        <v/>
      </c>
      <c r="J488" s="18" t="str">
        <f aca="false">IF(OR(H488="",N(I488)=0),"",H488/I488)</f>
        <v/>
      </c>
      <c r="K488" s="16"/>
    </row>
    <row r="489" customFormat="false" ht="15" hidden="false" customHeight="false" outlineLevel="0" collapsed="false">
      <c r="A489" s="23"/>
      <c r="B489" s="16"/>
      <c r="C489" s="16"/>
      <c r="D489" s="16"/>
      <c r="E489" s="16"/>
      <c r="F489" s="24"/>
      <c r="G489" s="24"/>
      <c r="H489" s="18" t="str">
        <f aca="false">IF(OR(F489="",G489=""),"",(G489-F489)*24)</f>
        <v/>
      </c>
      <c r="I489" s="18" t="str">
        <f aca="false">IF(C489="","",SUMIF(Test_Times!$E$5:$E$863,C489&amp;"|"&amp;D489,Test_Times!$L$5:$L$863)+N(E489)*SUMIF(Test_Times!$E$5:$E$863,C489&amp;"|"&amp;D489,Test_Times!$Q$5:$Q$863))</f>
        <v/>
      </c>
      <c r="J489" s="18" t="str">
        <f aca="false">IF(OR(H489="",N(I489)=0),"",H489/I489)</f>
        <v/>
      </c>
      <c r="K489" s="16"/>
    </row>
    <row r="490" customFormat="false" ht="15" hidden="false" customHeight="false" outlineLevel="0" collapsed="false">
      <c r="A490" s="23"/>
      <c r="B490" s="16"/>
      <c r="C490" s="16"/>
      <c r="D490" s="16"/>
      <c r="E490" s="16"/>
      <c r="F490" s="24"/>
      <c r="G490" s="24"/>
      <c r="H490" s="18" t="str">
        <f aca="false">IF(OR(F490="",G490=""),"",(G490-F490)*24)</f>
        <v/>
      </c>
      <c r="I490" s="18" t="str">
        <f aca="false">IF(C490="","",SUMIF(Test_Times!$E$5:$E$863,C490&amp;"|"&amp;D490,Test_Times!$L$5:$L$863)+N(E490)*SUMIF(Test_Times!$E$5:$E$863,C490&amp;"|"&amp;D490,Test_Times!$Q$5:$Q$863))</f>
        <v/>
      </c>
      <c r="J490" s="18" t="str">
        <f aca="false">IF(OR(H490="",N(I490)=0),"",H490/I490)</f>
        <v/>
      </c>
      <c r="K490" s="16"/>
    </row>
    <row r="491" customFormat="false" ht="15" hidden="false" customHeight="false" outlineLevel="0" collapsed="false">
      <c r="A491" s="23"/>
      <c r="B491" s="16"/>
      <c r="C491" s="16"/>
      <c r="D491" s="16"/>
      <c r="E491" s="16"/>
      <c r="F491" s="24"/>
      <c r="G491" s="24"/>
      <c r="H491" s="18" t="str">
        <f aca="false">IF(OR(F491="",G491=""),"",(G491-F491)*24)</f>
        <v/>
      </c>
      <c r="I491" s="18" t="str">
        <f aca="false">IF(C491="","",SUMIF(Test_Times!$E$5:$E$863,C491&amp;"|"&amp;D491,Test_Times!$L$5:$L$863)+N(E491)*SUMIF(Test_Times!$E$5:$E$863,C491&amp;"|"&amp;D491,Test_Times!$Q$5:$Q$863))</f>
        <v/>
      </c>
      <c r="J491" s="18" t="str">
        <f aca="false">IF(OR(H491="",N(I491)=0),"",H491/I491)</f>
        <v/>
      </c>
      <c r="K491" s="16"/>
    </row>
    <row r="492" customFormat="false" ht="15" hidden="false" customHeight="false" outlineLevel="0" collapsed="false">
      <c r="A492" s="23"/>
      <c r="B492" s="16"/>
      <c r="C492" s="16"/>
      <c r="D492" s="16"/>
      <c r="E492" s="16"/>
      <c r="F492" s="24"/>
      <c r="G492" s="24"/>
      <c r="H492" s="18" t="str">
        <f aca="false">IF(OR(F492="",G492=""),"",(G492-F492)*24)</f>
        <v/>
      </c>
      <c r="I492" s="18" t="str">
        <f aca="false">IF(C492="","",SUMIF(Test_Times!$E$5:$E$863,C492&amp;"|"&amp;D492,Test_Times!$L$5:$L$863)+N(E492)*SUMIF(Test_Times!$E$5:$E$863,C492&amp;"|"&amp;D492,Test_Times!$Q$5:$Q$863))</f>
        <v/>
      </c>
      <c r="J492" s="18" t="str">
        <f aca="false">IF(OR(H492="",N(I492)=0),"",H492/I492)</f>
        <v/>
      </c>
      <c r="K492" s="16"/>
    </row>
    <row r="493" customFormat="false" ht="15" hidden="false" customHeight="false" outlineLevel="0" collapsed="false">
      <c r="A493" s="23"/>
      <c r="B493" s="16"/>
      <c r="C493" s="16"/>
      <c r="D493" s="16"/>
      <c r="E493" s="16"/>
      <c r="F493" s="24"/>
      <c r="G493" s="24"/>
      <c r="H493" s="18" t="str">
        <f aca="false">IF(OR(F493="",G493=""),"",(G493-F493)*24)</f>
        <v/>
      </c>
      <c r="I493" s="18" t="str">
        <f aca="false">IF(C493="","",SUMIF(Test_Times!$E$5:$E$863,C493&amp;"|"&amp;D493,Test_Times!$L$5:$L$863)+N(E493)*SUMIF(Test_Times!$E$5:$E$863,C493&amp;"|"&amp;D493,Test_Times!$Q$5:$Q$863))</f>
        <v/>
      </c>
      <c r="J493" s="18" t="str">
        <f aca="false">IF(OR(H493="",N(I493)=0),"",H493/I493)</f>
        <v/>
      </c>
      <c r="K493" s="16"/>
    </row>
    <row r="494" customFormat="false" ht="15" hidden="false" customHeight="false" outlineLevel="0" collapsed="false">
      <c r="A494" s="23"/>
      <c r="B494" s="16"/>
      <c r="C494" s="16"/>
      <c r="D494" s="16"/>
      <c r="E494" s="16"/>
      <c r="F494" s="24"/>
      <c r="G494" s="24"/>
      <c r="H494" s="18" t="str">
        <f aca="false">IF(OR(F494="",G494=""),"",(G494-F494)*24)</f>
        <v/>
      </c>
      <c r="I494" s="18" t="str">
        <f aca="false">IF(C494="","",SUMIF(Test_Times!$E$5:$E$863,C494&amp;"|"&amp;D494,Test_Times!$L$5:$L$863)+N(E494)*SUMIF(Test_Times!$E$5:$E$863,C494&amp;"|"&amp;D494,Test_Times!$Q$5:$Q$863))</f>
        <v/>
      </c>
      <c r="J494" s="18" t="str">
        <f aca="false">IF(OR(H494="",N(I494)=0),"",H494/I494)</f>
        <v/>
      </c>
      <c r="K494" s="16"/>
    </row>
    <row r="495" customFormat="false" ht="15" hidden="false" customHeight="false" outlineLevel="0" collapsed="false">
      <c r="A495" s="23"/>
      <c r="B495" s="16"/>
      <c r="C495" s="16"/>
      <c r="D495" s="16"/>
      <c r="E495" s="16"/>
      <c r="F495" s="24"/>
      <c r="G495" s="24"/>
      <c r="H495" s="18" t="str">
        <f aca="false">IF(OR(F495="",G495=""),"",(G495-F495)*24)</f>
        <v/>
      </c>
      <c r="I495" s="18" t="str">
        <f aca="false">IF(C495="","",SUMIF(Test_Times!$E$5:$E$863,C495&amp;"|"&amp;D495,Test_Times!$L$5:$L$863)+N(E495)*SUMIF(Test_Times!$E$5:$E$863,C495&amp;"|"&amp;D495,Test_Times!$Q$5:$Q$863))</f>
        <v/>
      </c>
      <c r="J495" s="18" t="str">
        <f aca="false">IF(OR(H495="",N(I495)=0),"",H495/I495)</f>
        <v/>
      </c>
      <c r="K495" s="16"/>
    </row>
    <row r="496" customFormat="false" ht="15" hidden="false" customHeight="false" outlineLevel="0" collapsed="false">
      <c r="A496" s="23"/>
      <c r="B496" s="16"/>
      <c r="C496" s="16"/>
      <c r="D496" s="16"/>
      <c r="E496" s="16"/>
      <c r="F496" s="24"/>
      <c r="G496" s="24"/>
      <c r="H496" s="18" t="str">
        <f aca="false">IF(OR(F496="",G496=""),"",(G496-F496)*24)</f>
        <v/>
      </c>
      <c r="I496" s="18" t="str">
        <f aca="false">IF(C496="","",SUMIF(Test_Times!$E$5:$E$863,C496&amp;"|"&amp;D496,Test_Times!$L$5:$L$863)+N(E496)*SUMIF(Test_Times!$E$5:$E$863,C496&amp;"|"&amp;D496,Test_Times!$Q$5:$Q$863))</f>
        <v/>
      </c>
      <c r="J496" s="18" t="str">
        <f aca="false">IF(OR(H496="",N(I496)=0),"",H496/I496)</f>
        <v/>
      </c>
      <c r="K496" s="16"/>
    </row>
    <row r="497" customFormat="false" ht="15" hidden="false" customHeight="false" outlineLevel="0" collapsed="false">
      <c r="A497" s="23"/>
      <c r="B497" s="16"/>
      <c r="C497" s="16"/>
      <c r="D497" s="16"/>
      <c r="E497" s="16"/>
      <c r="F497" s="24"/>
      <c r="G497" s="24"/>
      <c r="H497" s="18" t="str">
        <f aca="false">IF(OR(F497="",G497=""),"",(G497-F497)*24)</f>
        <v/>
      </c>
      <c r="I497" s="18" t="str">
        <f aca="false">IF(C497="","",SUMIF(Test_Times!$E$5:$E$863,C497&amp;"|"&amp;D497,Test_Times!$L$5:$L$863)+N(E497)*SUMIF(Test_Times!$E$5:$E$863,C497&amp;"|"&amp;D497,Test_Times!$Q$5:$Q$863))</f>
        <v/>
      </c>
      <c r="J497" s="18" t="str">
        <f aca="false">IF(OR(H497="",N(I497)=0),"",H497/I497)</f>
        <v/>
      </c>
      <c r="K497" s="16"/>
    </row>
    <row r="498" customFormat="false" ht="15" hidden="false" customHeight="false" outlineLevel="0" collapsed="false">
      <c r="A498" s="23"/>
      <c r="B498" s="16"/>
      <c r="C498" s="16"/>
      <c r="D498" s="16"/>
      <c r="E498" s="16"/>
      <c r="F498" s="24"/>
      <c r="G498" s="24"/>
      <c r="H498" s="18" t="str">
        <f aca="false">IF(OR(F498="",G498=""),"",(G498-F498)*24)</f>
        <v/>
      </c>
      <c r="I498" s="18" t="str">
        <f aca="false">IF(C498="","",SUMIF(Test_Times!$E$5:$E$863,C498&amp;"|"&amp;D498,Test_Times!$L$5:$L$863)+N(E498)*SUMIF(Test_Times!$E$5:$E$863,C498&amp;"|"&amp;D498,Test_Times!$Q$5:$Q$863))</f>
        <v/>
      </c>
      <c r="J498" s="18" t="str">
        <f aca="false">IF(OR(H498="",N(I498)=0),"",H498/I498)</f>
        <v/>
      </c>
      <c r="K498" s="16"/>
    </row>
    <row r="499" customFormat="false" ht="15" hidden="false" customHeight="false" outlineLevel="0" collapsed="false">
      <c r="A499" s="23"/>
      <c r="B499" s="16"/>
      <c r="C499" s="16"/>
      <c r="D499" s="16"/>
      <c r="E499" s="16"/>
      <c r="F499" s="24"/>
      <c r="G499" s="24"/>
      <c r="H499" s="18" t="str">
        <f aca="false">IF(OR(F499="",G499=""),"",(G499-F499)*24)</f>
        <v/>
      </c>
      <c r="I499" s="18" t="str">
        <f aca="false">IF(C499="","",SUMIF(Test_Times!$E$5:$E$863,C499&amp;"|"&amp;D499,Test_Times!$L$5:$L$863)+N(E499)*SUMIF(Test_Times!$E$5:$E$863,C499&amp;"|"&amp;D499,Test_Times!$Q$5:$Q$863))</f>
        <v/>
      </c>
      <c r="J499" s="18" t="str">
        <f aca="false">IF(OR(H499="",N(I499)=0),"",H499/I499)</f>
        <v/>
      </c>
      <c r="K499" s="16"/>
    </row>
    <row r="500" customFormat="false" ht="15" hidden="false" customHeight="false" outlineLevel="0" collapsed="false">
      <c r="A500" s="23"/>
      <c r="B500" s="16"/>
      <c r="C500" s="16"/>
      <c r="D500" s="16"/>
      <c r="E500" s="16"/>
      <c r="F500" s="24"/>
      <c r="G500" s="24"/>
      <c r="H500" s="18" t="str">
        <f aca="false">IF(OR(F500="",G500=""),"",(G500-F500)*24)</f>
        <v/>
      </c>
      <c r="I500" s="18" t="str">
        <f aca="false">IF(C500="","",SUMIF(Test_Times!$E$5:$E$863,C500&amp;"|"&amp;D500,Test_Times!$L$5:$L$863)+N(E500)*SUMIF(Test_Times!$E$5:$E$863,C500&amp;"|"&amp;D500,Test_Times!$Q$5:$Q$863))</f>
        <v/>
      </c>
      <c r="J500" s="18" t="str">
        <f aca="false">IF(OR(H500="",N(I500)=0),"",H500/I500)</f>
        <v/>
      </c>
      <c r="K500" s="16"/>
    </row>
    <row r="501" customFormat="false" ht="15" hidden="false" customHeight="false" outlineLevel="0" collapsed="false">
      <c r="A501" s="23"/>
      <c r="B501" s="16"/>
      <c r="C501" s="16"/>
      <c r="D501" s="16"/>
      <c r="E501" s="16"/>
      <c r="F501" s="24"/>
      <c r="G501" s="24"/>
      <c r="H501" s="18" t="str">
        <f aca="false">IF(OR(F501="",G501=""),"",(G501-F501)*24)</f>
        <v/>
      </c>
      <c r="I501" s="18" t="str">
        <f aca="false">IF(C501="","",SUMIF(Test_Times!$E$5:$E$863,C501&amp;"|"&amp;D501,Test_Times!$L$5:$L$863)+N(E501)*SUMIF(Test_Times!$E$5:$E$863,C501&amp;"|"&amp;D501,Test_Times!$Q$5:$Q$863))</f>
        <v/>
      </c>
      <c r="J501" s="18" t="str">
        <f aca="false">IF(OR(H501="",N(I501)=0),"",H501/I501)</f>
        <v/>
      </c>
      <c r="K501" s="16"/>
    </row>
    <row r="502" customFormat="false" ht="15" hidden="false" customHeight="false" outlineLevel="0" collapsed="false">
      <c r="A502" s="23"/>
      <c r="B502" s="16"/>
      <c r="C502" s="16"/>
      <c r="D502" s="16"/>
      <c r="E502" s="16"/>
      <c r="F502" s="24"/>
      <c r="G502" s="24"/>
      <c r="H502" s="18" t="str">
        <f aca="false">IF(OR(F502="",G502=""),"",(G502-F502)*24)</f>
        <v/>
      </c>
      <c r="I502" s="18" t="str">
        <f aca="false">IF(C502="","",SUMIF(Test_Times!$E$5:$E$863,C502&amp;"|"&amp;D502,Test_Times!$L$5:$L$863)+N(E502)*SUMIF(Test_Times!$E$5:$E$863,C502&amp;"|"&amp;D502,Test_Times!$Q$5:$Q$863))</f>
        <v/>
      </c>
      <c r="J502" s="18" t="str">
        <f aca="false">IF(OR(H502="",N(I502)=0),"",H502/I502)</f>
        <v/>
      </c>
      <c r="K502" s="16"/>
    </row>
    <row r="503" customFormat="false" ht="15" hidden="false" customHeight="false" outlineLevel="0" collapsed="false">
      <c r="A503" s="23"/>
      <c r="B503" s="16"/>
      <c r="C503" s="16"/>
      <c r="D503" s="16"/>
      <c r="E503" s="16"/>
      <c r="F503" s="24"/>
      <c r="G503" s="24"/>
      <c r="H503" s="18" t="str">
        <f aca="false">IF(OR(F503="",G503=""),"",(G503-F503)*24)</f>
        <v/>
      </c>
      <c r="I503" s="18" t="str">
        <f aca="false">IF(C503="","",SUMIF(Test_Times!$E$5:$E$863,C503&amp;"|"&amp;D503,Test_Times!$L$5:$L$863)+N(E503)*SUMIF(Test_Times!$E$5:$E$863,C503&amp;"|"&amp;D503,Test_Times!$Q$5:$Q$863))</f>
        <v/>
      </c>
      <c r="J503" s="18" t="str">
        <f aca="false">IF(OR(H503="",N(I503)=0),"",H503/I503)</f>
        <v/>
      </c>
      <c r="K503" s="16"/>
    </row>
    <row r="504" customFormat="false" ht="15" hidden="false" customHeight="false" outlineLevel="0" collapsed="false">
      <c r="A504" s="23"/>
      <c r="B504" s="16"/>
      <c r="C504" s="16"/>
      <c r="D504" s="16"/>
      <c r="E504" s="16"/>
      <c r="F504" s="24"/>
      <c r="G504" s="24"/>
      <c r="H504" s="18" t="str">
        <f aca="false">IF(OR(F504="",G504=""),"",(G504-F504)*24)</f>
        <v/>
      </c>
      <c r="I504" s="18" t="str">
        <f aca="false">IF(C504="","",SUMIF(Test_Times!$E$5:$E$863,C504&amp;"|"&amp;D504,Test_Times!$L$5:$L$863)+N(E504)*SUMIF(Test_Times!$E$5:$E$863,C504&amp;"|"&amp;D504,Test_Times!$Q$5:$Q$863))</f>
        <v/>
      </c>
      <c r="J504" s="18" t="str">
        <f aca="false">IF(OR(H504="",N(I504)=0),"",H504/I504)</f>
        <v/>
      </c>
      <c r="K50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1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764</v>
      </c>
    </row>
    <row r="2" customFormat="false" ht="15" hidden="false" customHeight="false" outlineLevel="0" collapsed="false">
      <c r="A2" s="2" t="s">
        <v>765</v>
      </c>
    </row>
    <row r="4" customFormat="false" ht="45" hidden="false" customHeight="true" outlineLevel="0" collapsed="false">
      <c r="A4" s="7" t="s">
        <v>766</v>
      </c>
      <c r="B4" s="7" t="s">
        <v>767</v>
      </c>
      <c r="C4" s="7" t="s">
        <v>768</v>
      </c>
      <c r="D4" s="7" t="s">
        <v>769</v>
      </c>
      <c r="E4" s="7" t="s">
        <v>770</v>
      </c>
      <c r="F4" s="7" t="s">
        <v>771</v>
      </c>
      <c r="G4" s="7" t="s">
        <v>772</v>
      </c>
      <c r="H4" s="7" t="s">
        <v>773</v>
      </c>
      <c r="I4" s="7" t="s">
        <v>774</v>
      </c>
      <c r="J4" s="7" t="s">
        <v>775</v>
      </c>
      <c r="K4" s="7" t="s">
        <v>776</v>
      </c>
      <c r="L4" s="7" t="s">
        <v>178</v>
      </c>
    </row>
    <row r="5" customFormat="false" ht="15" hidden="false" customHeight="false" outlineLevel="0" collapsed="false">
      <c r="A5" s="2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customFormat="false" ht="15" hidden="false" customHeight="false" outlineLevel="0" collapsed="false">
      <c r="A6" s="28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customFormat="false" ht="15" hidden="false" customHeight="false" outlineLevel="0" collapsed="false">
      <c r="A7" s="28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customFormat="false" ht="15" hidden="false" customHeight="false" outlineLevel="0" collapsed="false">
      <c r="A8" s="28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customFormat="false" ht="15" hidden="false" customHeight="false" outlineLevel="0" collapsed="false">
      <c r="A9" s="28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customFormat="false" ht="15" hidden="false" customHeight="false" outlineLevel="0" collapsed="false">
      <c r="A10" s="28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customFormat="false" ht="15" hidden="false" customHeight="false" outlineLevel="0" collapsed="false">
      <c r="A11" s="2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customFormat="false" ht="15" hidden="false" customHeight="false" outlineLevel="0" collapsed="false">
      <c r="A12" s="28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customFormat="false" ht="15" hidden="false" customHeight="false" outlineLevel="0" collapsed="false">
      <c r="A13" s="2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customFormat="false" ht="15" hidden="false" customHeight="false" outlineLevel="0" collapsed="false">
      <c r="A14" s="28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customFormat="false" ht="15" hidden="false" customHeight="false" outlineLevel="0" collapsed="false">
      <c r="A15" s="28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customFormat="false" ht="15" hidden="false" customHeight="false" outlineLevel="0" collapsed="false">
      <c r="A16" s="28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customFormat="false" ht="15" hidden="false" customHeight="false" outlineLevel="0" collapsed="false">
      <c r="A17" s="29" t="s">
        <v>777</v>
      </c>
      <c r="B17" s="22" t="n">
        <f aca="false">SUM(B5:B16)</f>
        <v>0</v>
      </c>
      <c r="C17" s="22" t="n">
        <f aca="false">SUM(C5:C16)</f>
        <v>0</v>
      </c>
      <c r="D17" s="22" t="str">
        <f aca="false">IFERROR(AVERAGE(D5:D16),"")</f>
        <v/>
      </c>
      <c r="E17" s="22" t="str">
        <f aca="false">IFERROR(AVERAGE(E5:E16),"")</f>
        <v/>
      </c>
      <c r="F17" s="22" t="str">
        <f aca="false">IFERROR(AVERAGE(F5:F16),"")</f>
        <v/>
      </c>
      <c r="G17" s="22" t="n">
        <f aca="false">SUM(G5:G16)</f>
        <v>0</v>
      </c>
      <c r="H17" s="22" t="n">
        <f aca="false">SUM(H5:H16)</f>
        <v>0</v>
      </c>
      <c r="I17" s="22" t="n">
        <f aca="false">SUM(I5:I16)</f>
        <v>0</v>
      </c>
      <c r="J17" s="22" t="n">
        <f aca="false">SUM(J5:J16)</f>
        <v>0</v>
      </c>
      <c r="K17" s="22" t="n">
        <f aca="false">SUM(K5:K16)</f>
        <v>0</v>
      </c>
    </row>
    <row r="19" customFormat="false" ht="15" hidden="false" customHeight="false" outlineLevel="0" collapsed="false">
      <c r="A19" s="5" t="s">
        <v>778</v>
      </c>
      <c r="E19" s="18" t="n">
        <f aca="false">IFERROR(H17/(40*(52-Settings!$B$6)),"")</f>
        <v>0</v>
      </c>
    </row>
    <row r="20" customFormat="false" ht="15" hidden="false" customHeight="false" outlineLevel="0" collapsed="false">
      <c r="A20" s="5" t="s">
        <v>779</v>
      </c>
      <c r="E20" s="18" t="str">
        <f aca="false">IFERROR(E17/F17,"")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9" style="0" width="10"/>
  </cols>
  <sheetData>
    <row r="1" customFormat="false" ht="17.35" hidden="false" customHeight="false" outlineLevel="0" collapsed="false">
      <c r="A1" s="1" t="s">
        <v>780</v>
      </c>
    </row>
    <row r="2" customFormat="false" ht="15" hidden="false" customHeight="false" outlineLevel="0" collapsed="false">
      <c r="A2" s="2" t="s">
        <v>781</v>
      </c>
    </row>
    <row r="4" customFormat="false" ht="45" hidden="false" customHeight="true" outlineLevel="0" collapsed="false">
      <c r="A4" s="7" t="s">
        <v>782</v>
      </c>
      <c r="B4" s="7" t="s">
        <v>158</v>
      </c>
      <c r="C4" s="7" t="s">
        <v>621</v>
      </c>
      <c r="D4" s="7" t="s">
        <v>783</v>
      </c>
      <c r="E4" s="7" t="s">
        <v>784</v>
      </c>
      <c r="F4" s="7" t="s">
        <v>650</v>
      </c>
      <c r="G4" s="7" t="s">
        <v>652</v>
      </c>
      <c r="H4" s="7" t="s">
        <v>785</v>
      </c>
      <c r="I4" s="7" t="s">
        <v>786</v>
      </c>
      <c r="J4" s="7" t="s">
        <v>787</v>
      </c>
    </row>
    <row r="5" customFormat="false" ht="15" hidden="false" customHeight="false" outlineLevel="0" collapsed="false">
      <c r="A5" s="10" t="s">
        <v>195</v>
      </c>
      <c r="B5" s="10" t="s">
        <v>659</v>
      </c>
      <c r="C5" s="10" t="s">
        <v>660</v>
      </c>
      <c r="D5" s="15" t="n">
        <f aca="false">SUMIFS(Test_Times!$AH$5:$AH$863,Test_Times!$A$5:$A$863,A5,Test_Times!$G$5:$G$863,"HPLC")</f>
        <v>0</v>
      </c>
      <c r="E5" s="15" t="n">
        <f aca="false">SUMIF(Test_Times!$A$5:$A$863,A5,Test_Times!$AH$5:$AH$863)</f>
        <v>0</v>
      </c>
      <c r="F5" s="15" t="n">
        <f aca="false">SUMIF(Test_Times!$A$5:$A$863,A5,Test_Times!$AG$5:$AG$863)</f>
        <v>0</v>
      </c>
      <c r="G5" s="15" t="n">
        <f aca="false">SUMIF(Test_Times!$A$5:$A$863,A5,Test_Times!$AI$5:$AI$863)</f>
        <v>0</v>
      </c>
      <c r="H5" s="15" t="n">
        <f aca="false">SUMIFS(Test_Times!$AL$5:$AL$863,Test_Times!$A$5:$A$863,A5,Test_Times!$G$5:$G$863,"HPLC")</f>
        <v>0</v>
      </c>
      <c r="I5" s="30" t="n">
        <f aca="false">IFERROR(D5/SUM($D$5:$D$248),0)</f>
        <v>0</v>
      </c>
      <c r="J5" s="31" t="n">
        <f aca="false">D5+ROW()/10000000</f>
        <v>5E-007</v>
      </c>
    </row>
    <row r="6" customFormat="false" ht="15" hidden="false" customHeight="false" outlineLevel="0" collapsed="false">
      <c r="A6" s="10" t="s">
        <v>201</v>
      </c>
      <c r="B6" s="10" t="s">
        <v>659</v>
      </c>
      <c r="C6" s="10" t="s">
        <v>671</v>
      </c>
      <c r="D6" s="15" t="n">
        <f aca="false">SUMIFS(Test_Times!$AH$5:$AH$863,Test_Times!$A$5:$A$863,A6,Test_Times!$G$5:$G$863,"HPLC")</f>
        <v>0</v>
      </c>
      <c r="E6" s="15" t="n">
        <f aca="false">SUMIF(Test_Times!$A$5:$A$863,A6,Test_Times!$AH$5:$AH$863)</f>
        <v>0</v>
      </c>
      <c r="F6" s="15" t="n">
        <f aca="false">SUMIF(Test_Times!$A$5:$A$863,A6,Test_Times!$AG$5:$AG$863)</f>
        <v>0</v>
      </c>
      <c r="G6" s="15" t="n">
        <f aca="false">SUMIF(Test_Times!$A$5:$A$863,A6,Test_Times!$AI$5:$AI$863)</f>
        <v>0</v>
      </c>
      <c r="H6" s="15" t="n">
        <f aca="false">SUMIFS(Test_Times!$AL$5:$AL$863,Test_Times!$A$5:$A$863,A6,Test_Times!$G$5:$G$863,"HPLC")</f>
        <v>0</v>
      </c>
      <c r="I6" s="30" t="n">
        <f aca="false">IFERROR(D6/SUM($D$5:$D$248),0)</f>
        <v>0</v>
      </c>
      <c r="J6" s="31" t="n">
        <f aca="false">D6+ROW()/10000000</f>
        <v>6E-007</v>
      </c>
    </row>
    <row r="7" customFormat="false" ht="15" hidden="false" customHeight="false" outlineLevel="0" collapsed="false">
      <c r="A7" s="10" t="s">
        <v>206</v>
      </c>
      <c r="B7" s="10" t="s">
        <v>659</v>
      </c>
      <c r="C7" s="10" t="s">
        <v>673</v>
      </c>
      <c r="D7" s="15" t="n">
        <f aca="false">SUMIFS(Test_Times!$AH$5:$AH$863,Test_Times!$A$5:$A$863,A7,Test_Times!$G$5:$G$863,"HPLC")</f>
        <v>0</v>
      </c>
      <c r="E7" s="15" t="n">
        <f aca="false">SUMIF(Test_Times!$A$5:$A$863,A7,Test_Times!$AH$5:$AH$863)</f>
        <v>0</v>
      </c>
      <c r="F7" s="15" t="n">
        <f aca="false">SUMIF(Test_Times!$A$5:$A$863,A7,Test_Times!$AG$5:$AG$863)</f>
        <v>0</v>
      </c>
      <c r="G7" s="15" t="n">
        <f aca="false">SUMIF(Test_Times!$A$5:$A$863,A7,Test_Times!$AI$5:$AI$863)</f>
        <v>0</v>
      </c>
      <c r="H7" s="15" t="n">
        <f aca="false">SUMIFS(Test_Times!$AL$5:$AL$863,Test_Times!$A$5:$A$863,A7,Test_Times!$G$5:$G$863,"HPLC")</f>
        <v>0</v>
      </c>
      <c r="I7" s="30" t="n">
        <f aca="false">IFERROR(D7/SUM($D$5:$D$248),0)</f>
        <v>0</v>
      </c>
      <c r="J7" s="31" t="n">
        <f aca="false">D7+ROW()/10000000</f>
        <v>7E-007</v>
      </c>
    </row>
    <row r="8" customFormat="false" ht="15" hidden="false" customHeight="false" outlineLevel="0" collapsed="false">
      <c r="A8" s="10" t="s">
        <v>210</v>
      </c>
      <c r="B8" s="10" t="s">
        <v>659</v>
      </c>
      <c r="C8" s="10" t="s">
        <v>674</v>
      </c>
      <c r="D8" s="15" t="n">
        <f aca="false">SUMIFS(Test_Times!$AH$5:$AH$863,Test_Times!$A$5:$A$863,A8,Test_Times!$G$5:$G$863,"HPLC")</f>
        <v>0</v>
      </c>
      <c r="E8" s="15" t="n">
        <f aca="false">SUMIF(Test_Times!$A$5:$A$863,A8,Test_Times!$AH$5:$AH$863)</f>
        <v>0</v>
      </c>
      <c r="F8" s="15" t="n">
        <f aca="false">SUMIF(Test_Times!$A$5:$A$863,A8,Test_Times!$AG$5:$AG$863)</f>
        <v>0</v>
      </c>
      <c r="G8" s="15" t="n">
        <f aca="false">SUMIF(Test_Times!$A$5:$A$863,A8,Test_Times!$AI$5:$AI$863)</f>
        <v>0</v>
      </c>
      <c r="H8" s="15" t="n">
        <f aca="false">SUMIFS(Test_Times!$AL$5:$AL$863,Test_Times!$A$5:$A$863,A8,Test_Times!$G$5:$G$863,"HPLC")</f>
        <v>0</v>
      </c>
      <c r="I8" s="30" t="n">
        <f aca="false">IFERROR(D8/SUM($D$5:$D$248),0)</f>
        <v>0</v>
      </c>
      <c r="J8" s="31" t="n">
        <f aca="false">D8+ROW()/10000000</f>
        <v>8E-007</v>
      </c>
    </row>
    <row r="9" customFormat="false" ht="15" hidden="false" customHeight="false" outlineLevel="0" collapsed="false">
      <c r="A9" s="10" t="s">
        <v>215</v>
      </c>
      <c r="B9" s="10" t="s">
        <v>659</v>
      </c>
      <c r="C9" s="10" t="s">
        <v>675</v>
      </c>
      <c r="D9" s="15" t="n">
        <f aca="false">SUMIFS(Test_Times!$AH$5:$AH$863,Test_Times!$A$5:$A$863,A9,Test_Times!$G$5:$G$863,"HPLC")</f>
        <v>0</v>
      </c>
      <c r="E9" s="15" t="n">
        <f aca="false">SUMIF(Test_Times!$A$5:$A$863,A9,Test_Times!$AH$5:$AH$863)</f>
        <v>0</v>
      </c>
      <c r="F9" s="15" t="n">
        <f aca="false">SUMIF(Test_Times!$A$5:$A$863,A9,Test_Times!$AG$5:$AG$863)</f>
        <v>0</v>
      </c>
      <c r="G9" s="15" t="n">
        <f aca="false">SUMIF(Test_Times!$A$5:$A$863,A9,Test_Times!$AI$5:$AI$863)</f>
        <v>0</v>
      </c>
      <c r="H9" s="15" t="n">
        <f aca="false">SUMIFS(Test_Times!$AL$5:$AL$863,Test_Times!$A$5:$A$863,A9,Test_Times!$G$5:$G$863,"HPLC")</f>
        <v>0</v>
      </c>
      <c r="I9" s="30" t="n">
        <f aca="false">IFERROR(D9/SUM($D$5:$D$248),0)</f>
        <v>0</v>
      </c>
      <c r="J9" s="31" t="n">
        <f aca="false">D9+ROW()/10000000</f>
        <v>9E-007</v>
      </c>
    </row>
    <row r="10" customFormat="false" ht="15" hidden="false" customHeight="false" outlineLevel="0" collapsed="false">
      <c r="A10" s="10" t="s">
        <v>221</v>
      </c>
      <c r="B10" s="10" t="s">
        <v>659</v>
      </c>
      <c r="C10" s="10" t="s">
        <v>676</v>
      </c>
      <c r="D10" s="15" t="n">
        <f aca="false">SUMIFS(Test_Times!$AH$5:$AH$863,Test_Times!$A$5:$A$863,A10,Test_Times!$G$5:$G$863,"HPLC")</f>
        <v>0</v>
      </c>
      <c r="E10" s="15" t="n">
        <f aca="false">SUMIF(Test_Times!$A$5:$A$863,A10,Test_Times!$AH$5:$AH$863)</f>
        <v>0</v>
      </c>
      <c r="F10" s="15" t="n">
        <f aca="false">SUMIF(Test_Times!$A$5:$A$863,A10,Test_Times!$AG$5:$AG$863)</f>
        <v>0</v>
      </c>
      <c r="G10" s="15" t="n">
        <f aca="false">SUMIF(Test_Times!$A$5:$A$863,A10,Test_Times!$AI$5:$AI$863)</f>
        <v>0</v>
      </c>
      <c r="H10" s="15" t="n">
        <f aca="false">SUMIFS(Test_Times!$AL$5:$AL$863,Test_Times!$A$5:$A$863,A10,Test_Times!$G$5:$G$863,"HPLC")</f>
        <v>0</v>
      </c>
      <c r="I10" s="30" t="n">
        <f aca="false">IFERROR(D10/SUM($D$5:$D$248),0)</f>
        <v>0</v>
      </c>
      <c r="J10" s="31" t="n">
        <f aca="false">D10+ROW()/10000000</f>
        <v>1E-006</v>
      </c>
    </row>
    <row r="11" customFormat="false" ht="15" hidden="false" customHeight="false" outlineLevel="0" collapsed="false">
      <c r="A11" s="10" t="s">
        <v>227</v>
      </c>
      <c r="B11" s="10" t="s">
        <v>659</v>
      </c>
      <c r="C11" s="10" t="s">
        <v>677</v>
      </c>
      <c r="D11" s="15" t="n">
        <f aca="false">SUMIFS(Test_Times!$AH$5:$AH$863,Test_Times!$A$5:$A$863,A11,Test_Times!$G$5:$G$863,"HPLC")</f>
        <v>0</v>
      </c>
      <c r="E11" s="15" t="n">
        <f aca="false">SUMIF(Test_Times!$A$5:$A$863,A11,Test_Times!$AH$5:$AH$863)</f>
        <v>0</v>
      </c>
      <c r="F11" s="15" t="n">
        <f aca="false">SUMIF(Test_Times!$A$5:$A$863,A11,Test_Times!$AG$5:$AG$863)</f>
        <v>0</v>
      </c>
      <c r="G11" s="15" t="n">
        <f aca="false">SUMIF(Test_Times!$A$5:$A$863,A11,Test_Times!$AI$5:$AI$863)</f>
        <v>0</v>
      </c>
      <c r="H11" s="15" t="n">
        <f aca="false">SUMIFS(Test_Times!$AL$5:$AL$863,Test_Times!$A$5:$A$863,A11,Test_Times!$G$5:$G$863,"HPLC")</f>
        <v>0</v>
      </c>
      <c r="I11" s="30" t="n">
        <f aca="false">IFERROR(D11/SUM($D$5:$D$248),0)</f>
        <v>0</v>
      </c>
      <c r="J11" s="31" t="n">
        <f aca="false">D11+ROW()/10000000</f>
        <v>1.1E-006</v>
      </c>
    </row>
    <row r="12" customFormat="false" ht="15" hidden="false" customHeight="false" outlineLevel="0" collapsed="false">
      <c r="A12" s="10" t="s">
        <v>231</v>
      </c>
      <c r="B12" s="10" t="s">
        <v>659</v>
      </c>
      <c r="C12" s="10" t="s">
        <v>678</v>
      </c>
      <c r="D12" s="15" t="n">
        <f aca="false">SUMIFS(Test_Times!$AH$5:$AH$863,Test_Times!$A$5:$A$863,A12,Test_Times!$G$5:$G$863,"HPLC")</f>
        <v>0</v>
      </c>
      <c r="E12" s="15" t="n">
        <f aca="false">SUMIF(Test_Times!$A$5:$A$863,A12,Test_Times!$AH$5:$AH$863)</f>
        <v>0</v>
      </c>
      <c r="F12" s="15" t="n">
        <f aca="false">SUMIF(Test_Times!$A$5:$A$863,A12,Test_Times!$AG$5:$AG$863)</f>
        <v>0</v>
      </c>
      <c r="G12" s="15" t="n">
        <f aca="false">SUMIF(Test_Times!$A$5:$A$863,A12,Test_Times!$AI$5:$AI$863)</f>
        <v>0</v>
      </c>
      <c r="H12" s="15" t="n">
        <f aca="false">SUMIFS(Test_Times!$AL$5:$AL$863,Test_Times!$A$5:$A$863,A12,Test_Times!$G$5:$G$863,"HPLC")</f>
        <v>0</v>
      </c>
      <c r="I12" s="30" t="n">
        <f aca="false">IFERROR(D12/SUM($D$5:$D$248),0)</f>
        <v>0</v>
      </c>
      <c r="J12" s="31" t="n">
        <f aca="false">D12+ROW()/10000000</f>
        <v>1.2E-006</v>
      </c>
    </row>
    <row r="13" customFormat="false" ht="15" hidden="false" customHeight="false" outlineLevel="0" collapsed="false">
      <c r="A13" s="10" t="s">
        <v>235</v>
      </c>
      <c r="B13" s="10" t="s">
        <v>659</v>
      </c>
      <c r="C13" s="10" t="s">
        <v>679</v>
      </c>
      <c r="D13" s="15" t="n">
        <f aca="false">SUMIFS(Test_Times!$AH$5:$AH$863,Test_Times!$A$5:$A$863,A13,Test_Times!$G$5:$G$863,"HPLC")</f>
        <v>0</v>
      </c>
      <c r="E13" s="15" t="n">
        <f aca="false">SUMIF(Test_Times!$A$5:$A$863,A13,Test_Times!$AH$5:$AH$863)</f>
        <v>0</v>
      </c>
      <c r="F13" s="15" t="n">
        <f aca="false">SUMIF(Test_Times!$A$5:$A$863,A13,Test_Times!$AG$5:$AG$863)</f>
        <v>0</v>
      </c>
      <c r="G13" s="15" t="n">
        <f aca="false">SUMIF(Test_Times!$A$5:$A$863,A13,Test_Times!$AI$5:$AI$863)</f>
        <v>0</v>
      </c>
      <c r="H13" s="15" t="n">
        <f aca="false">SUMIFS(Test_Times!$AL$5:$AL$863,Test_Times!$A$5:$A$863,A13,Test_Times!$G$5:$G$863,"HPLC")</f>
        <v>0</v>
      </c>
      <c r="I13" s="30" t="n">
        <f aca="false">IFERROR(D13/SUM($D$5:$D$248),0)</f>
        <v>0</v>
      </c>
      <c r="J13" s="31" t="n">
        <f aca="false">D13+ROW()/10000000</f>
        <v>1.3E-006</v>
      </c>
    </row>
    <row r="14" customFormat="false" ht="15" hidden="false" customHeight="false" outlineLevel="0" collapsed="false">
      <c r="A14" s="10" t="s">
        <v>238</v>
      </c>
      <c r="B14" s="10" t="s">
        <v>659</v>
      </c>
      <c r="C14" s="10" t="s">
        <v>680</v>
      </c>
      <c r="D14" s="15" t="n">
        <f aca="false">SUMIFS(Test_Times!$AH$5:$AH$863,Test_Times!$A$5:$A$863,A14,Test_Times!$G$5:$G$863,"HPLC")</f>
        <v>0</v>
      </c>
      <c r="E14" s="15" t="n">
        <f aca="false">SUMIF(Test_Times!$A$5:$A$863,A14,Test_Times!$AH$5:$AH$863)</f>
        <v>0</v>
      </c>
      <c r="F14" s="15" t="n">
        <f aca="false">SUMIF(Test_Times!$A$5:$A$863,A14,Test_Times!$AG$5:$AG$863)</f>
        <v>0</v>
      </c>
      <c r="G14" s="15" t="n">
        <f aca="false">SUMIF(Test_Times!$A$5:$A$863,A14,Test_Times!$AI$5:$AI$863)</f>
        <v>0</v>
      </c>
      <c r="H14" s="15" t="n">
        <f aca="false">SUMIFS(Test_Times!$AL$5:$AL$863,Test_Times!$A$5:$A$863,A14,Test_Times!$G$5:$G$863,"HPLC")</f>
        <v>0</v>
      </c>
      <c r="I14" s="30" t="n">
        <f aca="false">IFERROR(D14/SUM($D$5:$D$248),0)</f>
        <v>0</v>
      </c>
      <c r="J14" s="31" t="n">
        <f aca="false">D14+ROW()/10000000</f>
        <v>1.4E-006</v>
      </c>
    </row>
    <row r="15" customFormat="false" ht="15" hidden="false" customHeight="false" outlineLevel="0" collapsed="false">
      <c r="A15" s="10" t="s">
        <v>241</v>
      </c>
      <c r="B15" s="10" t="s">
        <v>659</v>
      </c>
      <c r="C15" s="10" t="s">
        <v>681</v>
      </c>
      <c r="D15" s="15" t="n">
        <f aca="false">SUMIFS(Test_Times!$AH$5:$AH$863,Test_Times!$A$5:$A$863,A15,Test_Times!$G$5:$G$863,"HPLC")</f>
        <v>0</v>
      </c>
      <c r="E15" s="15" t="n">
        <f aca="false">SUMIF(Test_Times!$A$5:$A$863,A15,Test_Times!$AH$5:$AH$863)</f>
        <v>0</v>
      </c>
      <c r="F15" s="15" t="n">
        <f aca="false">SUMIF(Test_Times!$A$5:$A$863,A15,Test_Times!$AG$5:$AG$863)</f>
        <v>0</v>
      </c>
      <c r="G15" s="15" t="n">
        <f aca="false">SUMIF(Test_Times!$A$5:$A$863,A15,Test_Times!$AI$5:$AI$863)</f>
        <v>0</v>
      </c>
      <c r="H15" s="15" t="n">
        <f aca="false">SUMIFS(Test_Times!$AL$5:$AL$863,Test_Times!$A$5:$A$863,A15,Test_Times!$G$5:$G$863,"HPLC")</f>
        <v>0</v>
      </c>
      <c r="I15" s="30" t="n">
        <f aca="false">IFERROR(D15/SUM($D$5:$D$248),0)</f>
        <v>0</v>
      </c>
      <c r="J15" s="31" t="n">
        <f aca="false">D15+ROW()/10000000</f>
        <v>1.5E-006</v>
      </c>
    </row>
    <row r="16" customFormat="false" ht="15" hidden="false" customHeight="false" outlineLevel="0" collapsed="false">
      <c r="A16" s="10" t="s">
        <v>244</v>
      </c>
      <c r="B16" s="10" t="s">
        <v>659</v>
      </c>
      <c r="C16" s="10" t="s">
        <v>682</v>
      </c>
      <c r="D16" s="15" t="n">
        <f aca="false">SUMIFS(Test_Times!$AH$5:$AH$863,Test_Times!$A$5:$A$863,A16,Test_Times!$G$5:$G$863,"HPLC")</f>
        <v>0</v>
      </c>
      <c r="E16" s="15" t="n">
        <f aca="false">SUMIF(Test_Times!$A$5:$A$863,A16,Test_Times!$AH$5:$AH$863)</f>
        <v>0</v>
      </c>
      <c r="F16" s="15" t="n">
        <f aca="false">SUMIF(Test_Times!$A$5:$A$863,A16,Test_Times!$AG$5:$AG$863)</f>
        <v>0</v>
      </c>
      <c r="G16" s="15" t="n">
        <f aca="false">SUMIF(Test_Times!$A$5:$A$863,A16,Test_Times!$AI$5:$AI$863)</f>
        <v>0</v>
      </c>
      <c r="H16" s="15" t="n">
        <f aca="false">SUMIFS(Test_Times!$AL$5:$AL$863,Test_Times!$A$5:$A$863,A16,Test_Times!$G$5:$G$863,"HPLC")</f>
        <v>0</v>
      </c>
      <c r="I16" s="30" t="n">
        <f aca="false">IFERROR(D16/SUM($D$5:$D$248),0)</f>
        <v>0</v>
      </c>
      <c r="J16" s="31" t="n">
        <f aca="false">D16+ROW()/10000000</f>
        <v>1.6E-006</v>
      </c>
    </row>
    <row r="17" customFormat="false" ht="15" hidden="false" customHeight="false" outlineLevel="0" collapsed="false">
      <c r="A17" s="10" t="s">
        <v>247</v>
      </c>
      <c r="B17" s="10" t="s">
        <v>659</v>
      </c>
      <c r="C17" s="10" t="s">
        <v>683</v>
      </c>
      <c r="D17" s="15" t="n">
        <f aca="false">SUMIFS(Test_Times!$AH$5:$AH$863,Test_Times!$A$5:$A$863,A17,Test_Times!$G$5:$G$863,"HPLC")</f>
        <v>0</v>
      </c>
      <c r="E17" s="15" t="n">
        <f aca="false">SUMIF(Test_Times!$A$5:$A$863,A17,Test_Times!$AH$5:$AH$863)</f>
        <v>0</v>
      </c>
      <c r="F17" s="15" t="n">
        <f aca="false">SUMIF(Test_Times!$A$5:$A$863,A17,Test_Times!$AG$5:$AG$863)</f>
        <v>0</v>
      </c>
      <c r="G17" s="15" t="n">
        <f aca="false">SUMIF(Test_Times!$A$5:$A$863,A17,Test_Times!$AI$5:$AI$863)</f>
        <v>0</v>
      </c>
      <c r="H17" s="15" t="n">
        <f aca="false">SUMIFS(Test_Times!$AL$5:$AL$863,Test_Times!$A$5:$A$863,A17,Test_Times!$G$5:$G$863,"HPLC")</f>
        <v>0</v>
      </c>
      <c r="I17" s="30" t="n">
        <f aca="false">IFERROR(D17/SUM($D$5:$D$248),0)</f>
        <v>0</v>
      </c>
      <c r="J17" s="31" t="n">
        <f aca="false">D17+ROW()/10000000</f>
        <v>1.7E-006</v>
      </c>
    </row>
    <row r="18" customFormat="false" ht="15" hidden="false" customHeight="false" outlineLevel="0" collapsed="false">
      <c r="A18" s="10" t="s">
        <v>251</v>
      </c>
      <c r="B18" s="10" t="s">
        <v>659</v>
      </c>
      <c r="C18" s="10" t="s">
        <v>684</v>
      </c>
      <c r="D18" s="15" t="n">
        <f aca="false">SUMIFS(Test_Times!$AH$5:$AH$863,Test_Times!$A$5:$A$863,A18,Test_Times!$G$5:$G$863,"HPLC")</f>
        <v>0</v>
      </c>
      <c r="E18" s="15" t="n">
        <f aca="false">SUMIF(Test_Times!$A$5:$A$863,A18,Test_Times!$AH$5:$AH$863)</f>
        <v>0</v>
      </c>
      <c r="F18" s="15" t="n">
        <f aca="false">SUMIF(Test_Times!$A$5:$A$863,A18,Test_Times!$AG$5:$AG$863)</f>
        <v>0</v>
      </c>
      <c r="G18" s="15" t="n">
        <f aca="false">SUMIF(Test_Times!$A$5:$A$863,A18,Test_Times!$AI$5:$AI$863)</f>
        <v>0</v>
      </c>
      <c r="H18" s="15" t="n">
        <f aca="false">SUMIFS(Test_Times!$AL$5:$AL$863,Test_Times!$A$5:$A$863,A18,Test_Times!$G$5:$G$863,"HPLC")</f>
        <v>0</v>
      </c>
      <c r="I18" s="30" t="n">
        <f aca="false">IFERROR(D18/SUM($D$5:$D$248),0)</f>
        <v>0</v>
      </c>
      <c r="J18" s="31" t="n">
        <f aca="false">D18+ROW()/10000000</f>
        <v>1.8E-006</v>
      </c>
    </row>
    <row r="19" customFormat="false" ht="15" hidden="false" customHeight="false" outlineLevel="0" collapsed="false">
      <c r="A19" s="10" t="s">
        <v>254</v>
      </c>
      <c r="B19" s="10" t="s">
        <v>659</v>
      </c>
      <c r="C19" s="10" t="s">
        <v>687</v>
      </c>
      <c r="D19" s="15" t="n">
        <f aca="false">SUMIFS(Test_Times!$AH$5:$AH$863,Test_Times!$A$5:$A$863,A19,Test_Times!$G$5:$G$863,"HPLC")</f>
        <v>0</v>
      </c>
      <c r="E19" s="15" t="n">
        <f aca="false">SUMIF(Test_Times!$A$5:$A$863,A19,Test_Times!$AH$5:$AH$863)</f>
        <v>0</v>
      </c>
      <c r="F19" s="15" t="n">
        <f aca="false">SUMIF(Test_Times!$A$5:$A$863,A19,Test_Times!$AG$5:$AG$863)</f>
        <v>0</v>
      </c>
      <c r="G19" s="15" t="n">
        <f aca="false">SUMIF(Test_Times!$A$5:$A$863,A19,Test_Times!$AI$5:$AI$863)</f>
        <v>0</v>
      </c>
      <c r="H19" s="15" t="n">
        <f aca="false">SUMIFS(Test_Times!$AL$5:$AL$863,Test_Times!$A$5:$A$863,A19,Test_Times!$G$5:$G$863,"HPLC")</f>
        <v>0</v>
      </c>
      <c r="I19" s="30" t="n">
        <f aca="false">IFERROR(D19/SUM($D$5:$D$248),0)</f>
        <v>0</v>
      </c>
      <c r="J19" s="31" t="n">
        <f aca="false">D19+ROW()/10000000</f>
        <v>1.9E-006</v>
      </c>
    </row>
    <row r="20" customFormat="false" ht="15" hidden="false" customHeight="false" outlineLevel="0" collapsed="false">
      <c r="A20" s="10" t="s">
        <v>259</v>
      </c>
      <c r="B20" s="10" t="s">
        <v>659</v>
      </c>
      <c r="C20" s="10" t="s">
        <v>688</v>
      </c>
      <c r="D20" s="15" t="n">
        <f aca="false">SUMIFS(Test_Times!$AH$5:$AH$863,Test_Times!$A$5:$A$863,A20,Test_Times!$G$5:$G$863,"HPLC")</f>
        <v>0</v>
      </c>
      <c r="E20" s="15" t="n">
        <f aca="false">SUMIF(Test_Times!$A$5:$A$863,A20,Test_Times!$AH$5:$AH$863)</f>
        <v>0</v>
      </c>
      <c r="F20" s="15" t="n">
        <f aca="false">SUMIF(Test_Times!$A$5:$A$863,A20,Test_Times!$AG$5:$AG$863)</f>
        <v>0</v>
      </c>
      <c r="G20" s="15" t="n">
        <f aca="false">SUMIF(Test_Times!$A$5:$A$863,A20,Test_Times!$AI$5:$AI$863)</f>
        <v>0</v>
      </c>
      <c r="H20" s="15" t="n">
        <f aca="false">SUMIFS(Test_Times!$AL$5:$AL$863,Test_Times!$A$5:$A$863,A20,Test_Times!$G$5:$G$863,"HPLC")</f>
        <v>0</v>
      </c>
      <c r="I20" s="30" t="n">
        <f aca="false">IFERROR(D20/SUM($D$5:$D$248),0)</f>
        <v>0</v>
      </c>
      <c r="J20" s="31" t="n">
        <f aca="false">D20+ROW()/10000000</f>
        <v>2E-006</v>
      </c>
    </row>
    <row r="21" customFormat="false" ht="15" hidden="false" customHeight="false" outlineLevel="0" collapsed="false">
      <c r="A21" s="10" t="s">
        <v>262</v>
      </c>
      <c r="B21" s="10" t="s">
        <v>659</v>
      </c>
      <c r="C21" s="10" t="s">
        <v>689</v>
      </c>
      <c r="D21" s="15" t="n">
        <f aca="false">SUMIFS(Test_Times!$AH$5:$AH$863,Test_Times!$A$5:$A$863,A21,Test_Times!$G$5:$G$863,"HPLC")</f>
        <v>0</v>
      </c>
      <c r="E21" s="15" t="n">
        <f aca="false">SUMIF(Test_Times!$A$5:$A$863,A21,Test_Times!$AH$5:$AH$863)</f>
        <v>0</v>
      </c>
      <c r="F21" s="15" t="n">
        <f aca="false">SUMIF(Test_Times!$A$5:$A$863,A21,Test_Times!$AG$5:$AG$863)</f>
        <v>0</v>
      </c>
      <c r="G21" s="15" t="n">
        <f aca="false">SUMIF(Test_Times!$A$5:$A$863,A21,Test_Times!$AI$5:$AI$863)</f>
        <v>0</v>
      </c>
      <c r="H21" s="15" t="n">
        <f aca="false">SUMIFS(Test_Times!$AL$5:$AL$863,Test_Times!$A$5:$A$863,A21,Test_Times!$G$5:$G$863,"HPLC")</f>
        <v>0</v>
      </c>
      <c r="I21" s="30" t="n">
        <f aca="false">IFERROR(D21/SUM($D$5:$D$248),0)</f>
        <v>0</v>
      </c>
      <c r="J21" s="31" t="n">
        <f aca="false">D21+ROW()/10000000</f>
        <v>2.1E-006</v>
      </c>
    </row>
    <row r="22" customFormat="false" ht="15" hidden="false" customHeight="false" outlineLevel="0" collapsed="false">
      <c r="A22" s="10" t="s">
        <v>266</v>
      </c>
      <c r="B22" s="10" t="s">
        <v>659</v>
      </c>
      <c r="C22" s="10" t="s">
        <v>690</v>
      </c>
      <c r="D22" s="15" t="n">
        <f aca="false">SUMIFS(Test_Times!$AH$5:$AH$863,Test_Times!$A$5:$A$863,A22,Test_Times!$G$5:$G$863,"HPLC")</f>
        <v>0</v>
      </c>
      <c r="E22" s="15" t="n">
        <f aca="false">SUMIF(Test_Times!$A$5:$A$863,A22,Test_Times!$AH$5:$AH$863)</f>
        <v>0</v>
      </c>
      <c r="F22" s="15" t="n">
        <f aca="false">SUMIF(Test_Times!$A$5:$A$863,A22,Test_Times!$AG$5:$AG$863)</f>
        <v>0</v>
      </c>
      <c r="G22" s="15" t="n">
        <f aca="false">SUMIF(Test_Times!$A$5:$A$863,A22,Test_Times!$AI$5:$AI$863)</f>
        <v>0</v>
      </c>
      <c r="H22" s="15" t="n">
        <f aca="false">SUMIFS(Test_Times!$AL$5:$AL$863,Test_Times!$A$5:$A$863,A22,Test_Times!$G$5:$G$863,"HPLC")</f>
        <v>0</v>
      </c>
      <c r="I22" s="30" t="n">
        <f aca="false">IFERROR(D22/SUM($D$5:$D$248),0)</f>
        <v>0</v>
      </c>
      <c r="J22" s="31" t="n">
        <f aca="false">D22+ROW()/10000000</f>
        <v>2.2E-006</v>
      </c>
    </row>
    <row r="23" customFormat="false" ht="15" hidden="false" customHeight="false" outlineLevel="0" collapsed="false">
      <c r="A23" s="10" t="s">
        <v>270</v>
      </c>
      <c r="B23" s="10" t="s">
        <v>659</v>
      </c>
      <c r="C23" s="10" t="s">
        <v>691</v>
      </c>
      <c r="D23" s="15" t="n">
        <f aca="false">SUMIFS(Test_Times!$AH$5:$AH$863,Test_Times!$A$5:$A$863,A23,Test_Times!$G$5:$G$863,"HPLC")</f>
        <v>0</v>
      </c>
      <c r="E23" s="15" t="n">
        <f aca="false">SUMIF(Test_Times!$A$5:$A$863,A23,Test_Times!$AH$5:$AH$863)</f>
        <v>0</v>
      </c>
      <c r="F23" s="15" t="n">
        <f aca="false">SUMIF(Test_Times!$A$5:$A$863,A23,Test_Times!$AG$5:$AG$863)</f>
        <v>0</v>
      </c>
      <c r="G23" s="15" t="n">
        <f aca="false">SUMIF(Test_Times!$A$5:$A$863,A23,Test_Times!$AI$5:$AI$863)</f>
        <v>0</v>
      </c>
      <c r="H23" s="15" t="n">
        <f aca="false">SUMIFS(Test_Times!$AL$5:$AL$863,Test_Times!$A$5:$A$863,A23,Test_Times!$G$5:$G$863,"HPLC")</f>
        <v>0</v>
      </c>
      <c r="I23" s="30" t="n">
        <f aca="false">IFERROR(D23/SUM($D$5:$D$248),0)</f>
        <v>0</v>
      </c>
      <c r="J23" s="31" t="n">
        <f aca="false">D23+ROW()/10000000</f>
        <v>2.3E-006</v>
      </c>
    </row>
    <row r="24" customFormat="false" ht="15" hidden="false" customHeight="false" outlineLevel="0" collapsed="false">
      <c r="A24" s="10" t="s">
        <v>274</v>
      </c>
      <c r="B24" s="10" t="s">
        <v>659</v>
      </c>
      <c r="C24" s="10" t="s">
        <v>692</v>
      </c>
      <c r="D24" s="15" t="n">
        <f aca="false">SUMIFS(Test_Times!$AH$5:$AH$863,Test_Times!$A$5:$A$863,A24,Test_Times!$G$5:$G$863,"HPLC")</f>
        <v>0</v>
      </c>
      <c r="E24" s="15" t="n">
        <f aca="false">SUMIF(Test_Times!$A$5:$A$863,A24,Test_Times!$AH$5:$AH$863)</f>
        <v>0</v>
      </c>
      <c r="F24" s="15" t="n">
        <f aca="false">SUMIF(Test_Times!$A$5:$A$863,A24,Test_Times!$AG$5:$AG$863)</f>
        <v>0</v>
      </c>
      <c r="G24" s="15" t="n">
        <f aca="false">SUMIF(Test_Times!$A$5:$A$863,A24,Test_Times!$AI$5:$AI$863)</f>
        <v>0</v>
      </c>
      <c r="H24" s="15" t="n">
        <f aca="false">SUMIFS(Test_Times!$AL$5:$AL$863,Test_Times!$A$5:$A$863,A24,Test_Times!$G$5:$G$863,"HPLC")</f>
        <v>0</v>
      </c>
      <c r="I24" s="30" t="n">
        <f aca="false">IFERROR(D24/SUM($D$5:$D$248),0)</f>
        <v>0</v>
      </c>
      <c r="J24" s="31" t="n">
        <f aca="false">D24+ROW()/10000000</f>
        <v>2.4E-006</v>
      </c>
    </row>
    <row r="25" customFormat="false" ht="15" hidden="false" customHeight="false" outlineLevel="0" collapsed="false">
      <c r="A25" s="10" t="s">
        <v>280</v>
      </c>
      <c r="B25" s="10" t="s">
        <v>659</v>
      </c>
      <c r="C25" s="10" t="s">
        <v>694</v>
      </c>
      <c r="D25" s="15" t="n">
        <f aca="false">SUMIFS(Test_Times!$AH$5:$AH$863,Test_Times!$A$5:$A$863,A25,Test_Times!$G$5:$G$863,"HPLC")</f>
        <v>0</v>
      </c>
      <c r="E25" s="15" t="n">
        <f aca="false">SUMIF(Test_Times!$A$5:$A$863,A25,Test_Times!$AH$5:$AH$863)</f>
        <v>0</v>
      </c>
      <c r="F25" s="15" t="n">
        <f aca="false">SUMIF(Test_Times!$A$5:$A$863,A25,Test_Times!$AG$5:$AG$863)</f>
        <v>0</v>
      </c>
      <c r="G25" s="15" t="n">
        <f aca="false">SUMIF(Test_Times!$A$5:$A$863,A25,Test_Times!$AI$5:$AI$863)</f>
        <v>0</v>
      </c>
      <c r="H25" s="15" t="n">
        <f aca="false">SUMIFS(Test_Times!$AL$5:$AL$863,Test_Times!$A$5:$A$863,A25,Test_Times!$G$5:$G$863,"HPLC")</f>
        <v>0</v>
      </c>
      <c r="I25" s="30" t="n">
        <f aca="false">IFERROR(D25/SUM($D$5:$D$248),0)</f>
        <v>0</v>
      </c>
      <c r="J25" s="31" t="n">
        <f aca="false">D25+ROW()/10000000</f>
        <v>2.5E-006</v>
      </c>
    </row>
    <row r="26" customFormat="false" ht="15" hidden="false" customHeight="false" outlineLevel="0" collapsed="false">
      <c r="A26" s="10" t="s">
        <v>284</v>
      </c>
      <c r="B26" s="10" t="s">
        <v>659</v>
      </c>
      <c r="C26" s="10" t="s">
        <v>695</v>
      </c>
      <c r="D26" s="15" t="n">
        <f aca="false">SUMIFS(Test_Times!$AH$5:$AH$863,Test_Times!$A$5:$A$863,A26,Test_Times!$G$5:$G$863,"HPLC")</f>
        <v>0</v>
      </c>
      <c r="E26" s="15" t="n">
        <f aca="false">SUMIF(Test_Times!$A$5:$A$863,A26,Test_Times!$AH$5:$AH$863)</f>
        <v>0</v>
      </c>
      <c r="F26" s="15" t="n">
        <f aca="false">SUMIF(Test_Times!$A$5:$A$863,A26,Test_Times!$AG$5:$AG$863)</f>
        <v>0</v>
      </c>
      <c r="G26" s="15" t="n">
        <f aca="false">SUMIF(Test_Times!$A$5:$A$863,A26,Test_Times!$AI$5:$AI$863)</f>
        <v>0</v>
      </c>
      <c r="H26" s="15" t="n">
        <f aca="false">SUMIFS(Test_Times!$AL$5:$AL$863,Test_Times!$A$5:$A$863,A26,Test_Times!$G$5:$G$863,"HPLC")</f>
        <v>0</v>
      </c>
      <c r="I26" s="30" t="n">
        <f aca="false">IFERROR(D26/SUM($D$5:$D$248),0)</f>
        <v>0</v>
      </c>
      <c r="J26" s="31" t="n">
        <f aca="false">D26+ROW()/10000000</f>
        <v>2.6E-006</v>
      </c>
    </row>
    <row r="27" customFormat="false" ht="15" hidden="false" customHeight="false" outlineLevel="0" collapsed="false">
      <c r="A27" s="10" t="s">
        <v>288</v>
      </c>
      <c r="B27" s="10" t="s">
        <v>659</v>
      </c>
      <c r="C27" s="10" t="s">
        <v>697</v>
      </c>
      <c r="D27" s="15" t="n">
        <f aca="false">SUMIFS(Test_Times!$AH$5:$AH$863,Test_Times!$A$5:$A$863,A27,Test_Times!$G$5:$G$863,"HPLC")</f>
        <v>0</v>
      </c>
      <c r="E27" s="15" t="n">
        <f aca="false">SUMIF(Test_Times!$A$5:$A$863,A27,Test_Times!$AH$5:$AH$863)</f>
        <v>0</v>
      </c>
      <c r="F27" s="15" t="n">
        <f aca="false">SUMIF(Test_Times!$A$5:$A$863,A27,Test_Times!$AG$5:$AG$863)</f>
        <v>0</v>
      </c>
      <c r="G27" s="15" t="n">
        <f aca="false">SUMIF(Test_Times!$A$5:$A$863,A27,Test_Times!$AI$5:$AI$863)</f>
        <v>0</v>
      </c>
      <c r="H27" s="15" t="n">
        <f aca="false">SUMIFS(Test_Times!$AL$5:$AL$863,Test_Times!$A$5:$A$863,A27,Test_Times!$G$5:$G$863,"HPLC")</f>
        <v>0</v>
      </c>
      <c r="I27" s="30" t="n">
        <f aca="false">IFERROR(D27/SUM($D$5:$D$248),0)</f>
        <v>0</v>
      </c>
      <c r="J27" s="31" t="n">
        <f aca="false">D27+ROW()/10000000</f>
        <v>2.7E-006</v>
      </c>
    </row>
    <row r="28" customFormat="false" ht="15" hidden="false" customHeight="false" outlineLevel="0" collapsed="false">
      <c r="A28" s="10" t="s">
        <v>292</v>
      </c>
      <c r="B28" s="10" t="s">
        <v>659</v>
      </c>
      <c r="C28" s="10" t="s">
        <v>698</v>
      </c>
      <c r="D28" s="15" t="n">
        <f aca="false">SUMIFS(Test_Times!$AH$5:$AH$863,Test_Times!$A$5:$A$863,A28,Test_Times!$G$5:$G$863,"HPLC")</f>
        <v>0</v>
      </c>
      <c r="E28" s="15" t="n">
        <f aca="false">SUMIF(Test_Times!$A$5:$A$863,A28,Test_Times!$AH$5:$AH$863)</f>
        <v>0</v>
      </c>
      <c r="F28" s="15" t="n">
        <f aca="false">SUMIF(Test_Times!$A$5:$A$863,A28,Test_Times!$AG$5:$AG$863)</f>
        <v>0</v>
      </c>
      <c r="G28" s="15" t="n">
        <f aca="false">SUMIF(Test_Times!$A$5:$A$863,A28,Test_Times!$AI$5:$AI$863)</f>
        <v>0</v>
      </c>
      <c r="H28" s="15" t="n">
        <f aca="false">SUMIFS(Test_Times!$AL$5:$AL$863,Test_Times!$A$5:$A$863,A28,Test_Times!$G$5:$G$863,"HPLC")</f>
        <v>0</v>
      </c>
      <c r="I28" s="30" t="n">
        <f aca="false">IFERROR(D28/SUM($D$5:$D$248),0)</f>
        <v>0</v>
      </c>
      <c r="J28" s="31" t="n">
        <f aca="false">D28+ROW()/10000000</f>
        <v>2.8E-006</v>
      </c>
    </row>
    <row r="29" customFormat="false" ht="15" hidden="false" customHeight="false" outlineLevel="0" collapsed="false">
      <c r="A29" s="10" t="s">
        <v>296</v>
      </c>
      <c r="B29" s="10" t="s">
        <v>659</v>
      </c>
      <c r="C29" s="10" t="s">
        <v>699</v>
      </c>
      <c r="D29" s="15" t="n">
        <f aca="false">SUMIFS(Test_Times!$AH$5:$AH$863,Test_Times!$A$5:$A$863,A29,Test_Times!$G$5:$G$863,"HPLC")</f>
        <v>0</v>
      </c>
      <c r="E29" s="15" t="n">
        <f aca="false">SUMIF(Test_Times!$A$5:$A$863,A29,Test_Times!$AH$5:$AH$863)</f>
        <v>0</v>
      </c>
      <c r="F29" s="15" t="n">
        <f aca="false">SUMIF(Test_Times!$A$5:$A$863,A29,Test_Times!$AG$5:$AG$863)</f>
        <v>0</v>
      </c>
      <c r="G29" s="15" t="n">
        <f aca="false">SUMIF(Test_Times!$A$5:$A$863,A29,Test_Times!$AI$5:$AI$863)</f>
        <v>0</v>
      </c>
      <c r="H29" s="15" t="n">
        <f aca="false">SUMIFS(Test_Times!$AL$5:$AL$863,Test_Times!$A$5:$A$863,A29,Test_Times!$G$5:$G$863,"HPLC")</f>
        <v>0</v>
      </c>
      <c r="I29" s="30" t="n">
        <f aca="false">IFERROR(D29/SUM($D$5:$D$248),0)</f>
        <v>0</v>
      </c>
      <c r="J29" s="31" t="n">
        <f aca="false">D29+ROW()/10000000</f>
        <v>2.9E-006</v>
      </c>
    </row>
    <row r="30" customFormat="false" ht="15" hidden="false" customHeight="false" outlineLevel="0" collapsed="false">
      <c r="A30" s="10" t="s">
        <v>300</v>
      </c>
      <c r="B30" s="10" t="s">
        <v>659</v>
      </c>
      <c r="C30" s="10" t="s">
        <v>700</v>
      </c>
      <c r="D30" s="15" t="n">
        <f aca="false">SUMIFS(Test_Times!$AH$5:$AH$863,Test_Times!$A$5:$A$863,A30,Test_Times!$G$5:$G$863,"HPLC")</f>
        <v>0</v>
      </c>
      <c r="E30" s="15" t="n">
        <f aca="false">SUMIF(Test_Times!$A$5:$A$863,A30,Test_Times!$AH$5:$AH$863)</f>
        <v>0</v>
      </c>
      <c r="F30" s="15" t="n">
        <f aca="false">SUMIF(Test_Times!$A$5:$A$863,A30,Test_Times!$AG$5:$AG$863)</f>
        <v>0</v>
      </c>
      <c r="G30" s="15" t="n">
        <f aca="false">SUMIF(Test_Times!$A$5:$A$863,A30,Test_Times!$AI$5:$AI$863)</f>
        <v>0</v>
      </c>
      <c r="H30" s="15" t="n">
        <f aca="false">SUMIFS(Test_Times!$AL$5:$AL$863,Test_Times!$A$5:$A$863,A30,Test_Times!$G$5:$G$863,"HPLC")</f>
        <v>0</v>
      </c>
      <c r="I30" s="30" t="n">
        <f aca="false">IFERROR(D30/SUM($D$5:$D$248),0)</f>
        <v>0</v>
      </c>
      <c r="J30" s="31" t="n">
        <f aca="false">D30+ROW()/10000000</f>
        <v>3E-006</v>
      </c>
    </row>
    <row r="31" customFormat="false" ht="15" hidden="false" customHeight="false" outlineLevel="0" collapsed="false">
      <c r="A31" s="10" t="s">
        <v>306</v>
      </c>
      <c r="B31" s="10" t="s">
        <v>659</v>
      </c>
      <c r="C31" s="10" t="s">
        <v>702</v>
      </c>
      <c r="D31" s="15" t="n">
        <f aca="false">SUMIFS(Test_Times!$AH$5:$AH$863,Test_Times!$A$5:$A$863,A31,Test_Times!$G$5:$G$863,"HPLC")</f>
        <v>0</v>
      </c>
      <c r="E31" s="15" t="n">
        <f aca="false">SUMIF(Test_Times!$A$5:$A$863,A31,Test_Times!$AH$5:$AH$863)</f>
        <v>0</v>
      </c>
      <c r="F31" s="15" t="n">
        <f aca="false">SUMIF(Test_Times!$A$5:$A$863,A31,Test_Times!$AG$5:$AG$863)</f>
        <v>0</v>
      </c>
      <c r="G31" s="15" t="n">
        <f aca="false">SUMIF(Test_Times!$A$5:$A$863,A31,Test_Times!$AI$5:$AI$863)</f>
        <v>0</v>
      </c>
      <c r="H31" s="15" t="n">
        <f aca="false">SUMIFS(Test_Times!$AL$5:$AL$863,Test_Times!$A$5:$A$863,A31,Test_Times!$G$5:$G$863,"HPLC")</f>
        <v>0</v>
      </c>
      <c r="I31" s="30" t="n">
        <f aca="false">IFERROR(D31/SUM($D$5:$D$248),0)</f>
        <v>0</v>
      </c>
      <c r="J31" s="31" t="n">
        <f aca="false">D31+ROW()/10000000</f>
        <v>3.1E-006</v>
      </c>
    </row>
    <row r="32" customFormat="false" ht="15" hidden="false" customHeight="false" outlineLevel="0" collapsed="false">
      <c r="A32" s="10" t="s">
        <v>311</v>
      </c>
      <c r="B32" s="10" t="s">
        <v>659</v>
      </c>
      <c r="C32" s="10" t="s">
        <v>703</v>
      </c>
      <c r="D32" s="15" t="n">
        <f aca="false">SUMIFS(Test_Times!$AH$5:$AH$863,Test_Times!$A$5:$A$863,A32,Test_Times!$G$5:$G$863,"HPLC")</f>
        <v>0</v>
      </c>
      <c r="E32" s="15" t="n">
        <f aca="false">SUMIF(Test_Times!$A$5:$A$863,A32,Test_Times!$AH$5:$AH$863)</f>
        <v>0</v>
      </c>
      <c r="F32" s="15" t="n">
        <f aca="false">SUMIF(Test_Times!$A$5:$A$863,A32,Test_Times!$AG$5:$AG$863)</f>
        <v>0</v>
      </c>
      <c r="G32" s="15" t="n">
        <f aca="false">SUMIF(Test_Times!$A$5:$A$863,A32,Test_Times!$AI$5:$AI$863)</f>
        <v>0</v>
      </c>
      <c r="H32" s="15" t="n">
        <f aca="false">SUMIFS(Test_Times!$AL$5:$AL$863,Test_Times!$A$5:$A$863,A32,Test_Times!$G$5:$G$863,"HPLC")</f>
        <v>0</v>
      </c>
      <c r="I32" s="30" t="n">
        <f aca="false">IFERROR(D32/SUM($D$5:$D$248),0)</f>
        <v>0</v>
      </c>
      <c r="J32" s="31" t="n">
        <f aca="false">D32+ROW()/10000000</f>
        <v>3.2E-006</v>
      </c>
    </row>
    <row r="33" customFormat="false" ht="15" hidden="false" customHeight="false" outlineLevel="0" collapsed="false">
      <c r="A33" s="10" t="s">
        <v>318</v>
      </c>
      <c r="B33" s="10" t="s">
        <v>659</v>
      </c>
      <c r="C33" s="10" t="s">
        <v>704</v>
      </c>
      <c r="D33" s="15" t="n">
        <f aca="false">SUMIFS(Test_Times!$AH$5:$AH$863,Test_Times!$A$5:$A$863,A33,Test_Times!$G$5:$G$863,"HPLC")</f>
        <v>0</v>
      </c>
      <c r="E33" s="15" t="n">
        <f aca="false">SUMIF(Test_Times!$A$5:$A$863,A33,Test_Times!$AH$5:$AH$863)</f>
        <v>0</v>
      </c>
      <c r="F33" s="15" t="n">
        <f aca="false">SUMIF(Test_Times!$A$5:$A$863,A33,Test_Times!$AG$5:$AG$863)</f>
        <v>0</v>
      </c>
      <c r="G33" s="15" t="n">
        <f aca="false">SUMIF(Test_Times!$A$5:$A$863,A33,Test_Times!$AI$5:$AI$863)</f>
        <v>0</v>
      </c>
      <c r="H33" s="15" t="n">
        <f aca="false">SUMIFS(Test_Times!$AL$5:$AL$863,Test_Times!$A$5:$A$863,A33,Test_Times!$G$5:$G$863,"HPLC")</f>
        <v>0</v>
      </c>
      <c r="I33" s="30" t="n">
        <f aca="false">IFERROR(D33/SUM($D$5:$D$248),0)</f>
        <v>0</v>
      </c>
      <c r="J33" s="31" t="n">
        <f aca="false">D33+ROW()/10000000</f>
        <v>3.3E-006</v>
      </c>
    </row>
    <row r="34" customFormat="false" ht="15" hidden="false" customHeight="false" outlineLevel="0" collapsed="false">
      <c r="A34" s="10" t="s">
        <v>321</v>
      </c>
      <c r="B34" s="10" t="s">
        <v>659</v>
      </c>
      <c r="C34" s="10" t="s">
        <v>705</v>
      </c>
      <c r="D34" s="15" t="n">
        <f aca="false">SUMIFS(Test_Times!$AH$5:$AH$863,Test_Times!$A$5:$A$863,A34,Test_Times!$G$5:$G$863,"HPLC")</f>
        <v>0</v>
      </c>
      <c r="E34" s="15" t="n">
        <f aca="false">SUMIF(Test_Times!$A$5:$A$863,A34,Test_Times!$AH$5:$AH$863)</f>
        <v>0</v>
      </c>
      <c r="F34" s="15" t="n">
        <f aca="false">SUMIF(Test_Times!$A$5:$A$863,A34,Test_Times!$AG$5:$AG$863)</f>
        <v>0</v>
      </c>
      <c r="G34" s="15" t="n">
        <f aca="false">SUMIF(Test_Times!$A$5:$A$863,A34,Test_Times!$AI$5:$AI$863)</f>
        <v>0</v>
      </c>
      <c r="H34" s="15" t="n">
        <f aca="false">SUMIFS(Test_Times!$AL$5:$AL$863,Test_Times!$A$5:$A$863,A34,Test_Times!$G$5:$G$863,"HPLC")</f>
        <v>0</v>
      </c>
      <c r="I34" s="30" t="n">
        <f aca="false">IFERROR(D34/SUM($D$5:$D$248),0)</f>
        <v>0</v>
      </c>
      <c r="J34" s="31" t="n">
        <f aca="false">D34+ROW()/10000000</f>
        <v>3.4E-006</v>
      </c>
    </row>
    <row r="35" customFormat="false" ht="15" hidden="false" customHeight="false" outlineLevel="0" collapsed="false">
      <c r="A35" s="10" t="s">
        <v>324</v>
      </c>
      <c r="B35" s="10" t="s">
        <v>659</v>
      </c>
      <c r="C35" s="10" t="s">
        <v>706</v>
      </c>
      <c r="D35" s="15" t="n">
        <f aca="false">SUMIFS(Test_Times!$AH$5:$AH$863,Test_Times!$A$5:$A$863,A35,Test_Times!$G$5:$G$863,"HPLC")</f>
        <v>0</v>
      </c>
      <c r="E35" s="15" t="n">
        <f aca="false">SUMIF(Test_Times!$A$5:$A$863,A35,Test_Times!$AH$5:$AH$863)</f>
        <v>0</v>
      </c>
      <c r="F35" s="15" t="n">
        <f aca="false">SUMIF(Test_Times!$A$5:$A$863,A35,Test_Times!$AG$5:$AG$863)</f>
        <v>0</v>
      </c>
      <c r="G35" s="15" t="n">
        <f aca="false">SUMIF(Test_Times!$A$5:$A$863,A35,Test_Times!$AI$5:$AI$863)</f>
        <v>0</v>
      </c>
      <c r="H35" s="15" t="n">
        <f aca="false">SUMIFS(Test_Times!$AL$5:$AL$863,Test_Times!$A$5:$A$863,A35,Test_Times!$G$5:$G$863,"HPLC")</f>
        <v>0</v>
      </c>
      <c r="I35" s="30" t="n">
        <f aca="false">IFERROR(D35/SUM($D$5:$D$248),0)</f>
        <v>0</v>
      </c>
      <c r="J35" s="31" t="n">
        <f aca="false">D35+ROW()/10000000</f>
        <v>3.5E-006</v>
      </c>
    </row>
    <row r="36" customFormat="false" ht="15" hidden="false" customHeight="false" outlineLevel="0" collapsed="false">
      <c r="A36" s="10" t="s">
        <v>328</v>
      </c>
      <c r="B36" s="10" t="s">
        <v>659</v>
      </c>
      <c r="C36" s="10" t="s">
        <v>707</v>
      </c>
      <c r="D36" s="15" t="n">
        <f aca="false">SUMIFS(Test_Times!$AH$5:$AH$863,Test_Times!$A$5:$A$863,A36,Test_Times!$G$5:$G$863,"HPLC")</f>
        <v>0</v>
      </c>
      <c r="E36" s="15" t="n">
        <f aca="false">SUMIF(Test_Times!$A$5:$A$863,A36,Test_Times!$AH$5:$AH$863)</f>
        <v>0</v>
      </c>
      <c r="F36" s="15" t="n">
        <f aca="false">SUMIF(Test_Times!$A$5:$A$863,A36,Test_Times!$AG$5:$AG$863)</f>
        <v>0</v>
      </c>
      <c r="G36" s="15" t="n">
        <f aca="false">SUMIF(Test_Times!$A$5:$A$863,A36,Test_Times!$AI$5:$AI$863)</f>
        <v>0</v>
      </c>
      <c r="H36" s="15" t="n">
        <f aca="false">SUMIFS(Test_Times!$AL$5:$AL$863,Test_Times!$A$5:$A$863,A36,Test_Times!$G$5:$G$863,"HPLC")</f>
        <v>0</v>
      </c>
      <c r="I36" s="30" t="n">
        <f aca="false">IFERROR(D36/SUM($D$5:$D$248),0)</f>
        <v>0</v>
      </c>
      <c r="J36" s="31" t="n">
        <f aca="false">D36+ROW()/10000000</f>
        <v>3.6E-006</v>
      </c>
    </row>
    <row r="37" customFormat="false" ht="15" hidden="false" customHeight="false" outlineLevel="0" collapsed="false">
      <c r="A37" s="10" t="s">
        <v>332</v>
      </c>
      <c r="B37" s="10" t="s">
        <v>659</v>
      </c>
      <c r="C37" s="10" t="s">
        <v>708</v>
      </c>
      <c r="D37" s="15" t="n">
        <f aca="false">SUMIFS(Test_Times!$AH$5:$AH$863,Test_Times!$A$5:$A$863,A37,Test_Times!$G$5:$G$863,"HPLC")</f>
        <v>0</v>
      </c>
      <c r="E37" s="15" t="n">
        <f aca="false">SUMIF(Test_Times!$A$5:$A$863,A37,Test_Times!$AH$5:$AH$863)</f>
        <v>0</v>
      </c>
      <c r="F37" s="15" t="n">
        <f aca="false">SUMIF(Test_Times!$A$5:$A$863,A37,Test_Times!$AG$5:$AG$863)</f>
        <v>0</v>
      </c>
      <c r="G37" s="15" t="n">
        <f aca="false">SUMIF(Test_Times!$A$5:$A$863,A37,Test_Times!$AI$5:$AI$863)</f>
        <v>0</v>
      </c>
      <c r="H37" s="15" t="n">
        <f aca="false">SUMIFS(Test_Times!$AL$5:$AL$863,Test_Times!$A$5:$A$863,A37,Test_Times!$G$5:$G$863,"HPLC")</f>
        <v>0</v>
      </c>
      <c r="I37" s="30" t="n">
        <f aca="false">IFERROR(D37/SUM($D$5:$D$248),0)</f>
        <v>0</v>
      </c>
      <c r="J37" s="31" t="n">
        <f aca="false">D37+ROW()/10000000</f>
        <v>3.7E-006</v>
      </c>
    </row>
    <row r="38" customFormat="false" ht="15" hidden="false" customHeight="false" outlineLevel="0" collapsed="false">
      <c r="A38" s="10" t="s">
        <v>335</v>
      </c>
      <c r="B38" s="10" t="s">
        <v>659</v>
      </c>
      <c r="C38" s="10" t="s">
        <v>709</v>
      </c>
      <c r="D38" s="15" t="n">
        <f aca="false">SUMIFS(Test_Times!$AH$5:$AH$863,Test_Times!$A$5:$A$863,A38,Test_Times!$G$5:$G$863,"HPLC")</f>
        <v>0</v>
      </c>
      <c r="E38" s="15" t="n">
        <f aca="false">SUMIF(Test_Times!$A$5:$A$863,A38,Test_Times!$AH$5:$AH$863)</f>
        <v>0</v>
      </c>
      <c r="F38" s="15" t="n">
        <f aca="false">SUMIF(Test_Times!$A$5:$A$863,A38,Test_Times!$AG$5:$AG$863)</f>
        <v>0</v>
      </c>
      <c r="G38" s="15" t="n">
        <f aca="false">SUMIF(Test_Times!$A$5:$A$863,A38,Test_Times!$AI$5:$AI$863)</f>
        <v>0</v>
      </c>
      <c r="H38" s="15" t="n">
        <f aca="false">SUMIFS(Test_Times!$AL$5:$AL$863,Test_Times!$A$5:$A$863,A38,Test_Times!$G$5:$G$863,"HPLC")</f>
        <v>0</v>
      </c>
      <c r="I38" s="30" t="n">
        <f aca="false">IFERROR(D38/SUM($D$5:$D$248),0)</f>
        <v>0</v>
      </c>
      <c r="J38" s="31" t="n">
        <f aca="false">D38+ROW()/10000000</f>
        <v>3.8E-006</v>
      </c>
    </row>
    <row r="39" customFormat="false" ht="15" hidden="false" customHeight="false" outlineLevel="0" collapsed="false">
      <c r="A39" s="10" t="s">
        <v>339</v>
      </c>
      <c r="B39" s="10" t="s">
        <v>659</v>
      </c>
      <c r="C39" s="10" t="s">
        <v>710</v>
      </c>
      <c r="D39" s="15" t="n">
        <f aca="false">SUMIFS(Test_Times!$AH$5:$AH$863,Test_Times!$A$5:$A$863,A39,Test_Times!$G$5:$G$863,"HPLC")</f>
        <v>0</v>
      </c>
      <c r="E39" s="15" t="n">
        <f aca="false">SUMIF(Test_Times!$A$5:$A$863,A39,Test_Times!$AH$5:$AH$863)</f>
        <v>0</v>
      </c>
      <c r="F39" s="15" t="n">
        <f aca="false">SUMIF(Test_Times!$A$5:$A$863,A39,Test_Times!$AG$5:$AG$863)</f>
        <v>0</v>
      </c>
      <c r="G39" s="15" t="n">
        <f aca="false">SUMIF(Test_Times!$A$5:$A$863,A39,Test_Times!$AI$5:$AI$863)</f>
        <v>0</v>
      </c>
      <c r="H39" s="15" t="n">
        <f aca="false">SUMIFS(Test_Times!$AL$5:$AL$863,Test_Times!$A$5:$A$863,A39,Test_Times!$G$5:$G$863,"HPLC")</f>
        <v>0</v>
      </c>
      <c r="I39" s="30" t="n">
        <f aca="false">IFERROR(D39/SUM($D$5:$D$248),0)</f>
        <v>0</v>
      </c>
      <c r="J39" s="31" t="n">
        <f aca="false">D39+ROW()/10000000</f>
        <v>3.9E-006</v>
      </c>
    </row>
    <row r="40" customFormat="false" ht="15" hidden="false" customHeight="false" outlineLevel="0" collapsed="false">
      <c r="A40" s="10" t="s">
        <v>342</v>
      </c>
      <c r="B40" s="10" t="s">
        <v>659</v>
      </c>
      <c r="C40" s="10" t="s">
        <v>711</v>
      </c>
      <c r="D40" s="15" t="n">
        <f aca="false">SUMIFS(Test_Times!$AH$5:$AH$863,Test_Times!$A$5:$A$863,A40,Test_Times!$G$5:$G$863,"HPLC")</f>
        <v>0</v>
      </c>
      <c r="E40" s="15" t="n">
        <f aca="false">SUMIF(Test_Times!$A$5:$A$863,A40,Test_Times!$AH$5:$AH$863)</f>
        <v>0</v>
      </c>
      <c r="F40" s="15" t="n">
        <f aca="false">SUMIF(Test_Times!$A$5:$A$863,A40,Test_Times!$AG$5:$AG$863)</f>
        <v>0</v>
      </c>
      <c r="G40" s="15" t="n">
        <f aca="false">SUMIF(Test_Times!$A$5:$A$863,A40,Test_Times!$AI$5:$AI$863)</f>
        <v>0</v>
      </c>
      <c r="H40" s="15" t="n">
        <f aca="false">SUMIFS(Test_Times!$AL$5:$AL$863,Test_Times!$A$5:$A$863,A40,Test_Times!$G$5:$G$863,"HPLC")</f>
        <v>0</v>
      </c>
      <c r="I40" s="30" t="n">
        <f aca="false">IFERROR(D40/SUM($D$5:$D$248),0)</f>
        <v>0</v>
      </c>
      <c r="J40" s="31" t="n">
        <f aca="false">D40+ROW()/10000000</f>
        <v>4E-006</v>
      </c>
    </row>
    <row r="41" customFormat="false" ht="15" hidden="false" customHeight="false" outlineLevel="0" collapsed="false">
      <c r="A41" s="10" t="s">
        <v>344</v>
      </c>
      <c r="B41" s="10" t="s">
        <v>659</v>
      </c>
      <c r="C41" s="10" t="s">
        <v>712</v>
      </c>
      <c r="D41" s="15" t="n">
        <f aca="false">SUMIFS(Test_Times!$AH$5:$AH$863,Test_Times!$A$5:$A$863,A41,Test_Times!$G$5:$G$863,"HPLC")</f>
        <v>0</v>
      </c>
      <c r="E41" s="15" t="n">
        <f aca="false">SUMIF(Test_Times!$A$5:$A$863,A41,Test_Times!$AH$5:$AH$863)</f>
        <v>0</v>
      </c>
      <c r="F41" s="15" t="n">
        <f aca="false">SUMIF(Test_Times!$A$5:$A$863,A41,Test_Times!$AG$5:$AG$863)</f>
        <v>0</v>
      </c>
      <c r="G41" s="15" t="n">
        <f aca="false">SUMIF(Test_Times!$A$5:$A$863,A41,Test_Times!$AI$5:$AI$863)</f>
        <v>0</v>
      </c>
      <c r="H41" s="15" t="n">
        <f aca="false">SUMIFS(Test_Times!$AL$5:$AL$863,Test_Times!$A$5:$A$863,A41,Test_Times!$G$5:$G$863,"HPLC")</f>
        <v>0</v>
      </c>
      <c r="I41" s="30" t="n">
        <f aca="false">IFERROR(D41/SUM($D$5:$D$248),0)</f>
        <v>0</v>
      </c>
      <c r="J41" s="31" t="n">
        <f aca="false">D41+ROW()/10000000</f>
        <v>4.1E-006</v>
      </c>
    </row>
    <row r="42" customFormat="false" ht="15" hidden="false" customHeight="false" outlineLevel="0" collapsed="false">
      <c r="A42" s="10" t="s">
        <v>347</v>
      </c>
      <c r="B42" s="10" t="s">
        <v>659</v>
      </c>
      <c r="C42" s="10" t="s">
        <v>713</v>
      </c>
      <c r="D42" s="15" t="n">
        <f aca="false">SUMIFS(Test_Times!$AH$5:$AH$863,Test_Times!$A$5:$A$863,A42,Test_Times!$G$5:$G$863,"HPLC")</f>
        <v>0</v>
      </c>
      <c r="E42" s="15" t="n">
        <f aca="false">SUMIF(Test_Times!$A$5:$A$863,A42,Test_Times!$AH$5:$AH$863)</f>
        <v>0</v>
      </c>
      <c r="F42" s="15" t="n">
        <f aca="false">SUMIF(Test_Times!$A$5:$A$863,A42,Test_Times!$AG$5:$AG$863)</f>
        <v>0</v>
      </c>
      <c r="G42" s="15" t="n">
        <f aca="false">SUMIF(Test_Times!$A$5:$A$863,A42,Test_Times!$AI$5:$AI$863)</f>
        <v>0</v>
      </c>
      <c r="H42" s="15" t="n">
        <f aca="false">SUMIFS(Test_Times!$AL$5:$AL$863,Test_Times!$A$5:$A$863,A42,Test_Times!$G$5:$G$863,"HPLC")</f>
        <v>0</v>
      </c>
      <c r="I42" s="30" t="n">
        <f aca="false">IFERROR(D42/SUM($D$5:$D$248),0)</f>
        <v>0</v>
      </c>
      <c r="J42" s="31" t="n">
        <f aca="false">D42+ROW()/10000000</f>
        <v>4.2E-006</v>
      </c>
    </row>
    <row r="43" customFormat="false" ht="15" hidden="false" customHeight="false" outlineLevel="0" collapsed="false">
      <c r="A43" s="10" t="s">
        <v>350</v>
      </c>
      <c r="B43" s="10" t="s">
        <v>659</v>
      </c>
      <c r="C43" s="10" t="s">
        <v>714</v>
      </c>
      <c r="D43" s="15" t="n">
        <f aca="false">SUMIFS(Test_Times!$AH$5:$AH$863,Test_Times!$A$5:$A$863,A43,Test_Times!$G$5:$G$863,"HPLC")</f>
        <v>0</v>
      </c>
      <c r="E43" s="15" t="n">
        <f aca="false">SUMIF(Test_Times!$A$5:$A$863,A43,Test_Times!$AH$5:$AH$863)</f>
        <v>0</v>
      </c>
      <c r="F43" s="15" t="n">
        <f aca="false">SUMIF(Test_Times!$A$5:$A$863,A43,Test_Times!$AG$5:$AG$863)</f>
        <v>0</v>
      </c>
      <c r="G43" s="15" t="n">
        <f aca="false">SUMIF(Test_Times!$A$5:$A$863,A43,Test_Times!$AI$5:$AI$863)</f>
        <v>0</v>
      </c>
      <c r="H43" s="15" t="n">
        <f aca="false">SUMIFS(Test_Times!$AL$5:$AL$863,Test_Times!$A$5:$A$863,A43,Test_Times!$G$5:$G$863,"HPLC")</f>
        <v>0</v>
      </c>
      <c r="I43" s="30" t="n">
        <f aca="false">IFERROR(D43/SUM($D$5:$D$248),0)</f>
        <v>0</v>
      </c>
      <c r="J43" s="31" t="n">
        <f aca="false">D43+ROW()/10000000</f>
        <v>4.3E-006</v>
      </c>
    </row>
    <row r="44" customFormat="false" ht="15" hidden="false" customHeight="false" outlineLevel="0" collapsed="false">
      <c r="A44" s="10" t="s">
        <v>353</v>
      </c>
      <c r="B44" s="10" t="s">
        <v>659</v>
      </c>
      <c r="C44" s="10" t="s">
        <v>715</v>
      </c>
      <c r="D44" s="15" t="n">
        <f aca="false">SUMIFS(Test_Times!$AH$5:$AH$863,Test_Times!$A$5:$A$863,A44,Test_Times!$G$5:$G$863,"HPLC")</f>
        <v>0</v>
      </c>
      <c r="E44" s="15" t="n">
        <f aca="false">SUMIF(Test_Times!$A$5:$A$863,A44,Test_Times!$AH$5:$AH$863)</f>
        <v>0</v>
      </c>
      <c r="F44" s="15" t="n">
        <f aca="false">SUMIF(Test_Times!$A$5:$A$863,A44,Test_Times!$AG$5:$AG$863)</f>
        <v>0</v>
      </c>
      <c r="G44" s="15" t="n">
        <f aca="false">SUMIF(Test_Times!$A$5:$A$863,A44,Test_Times!$AI$5:$AI$863)</f>
        <v>0</v>
      </c>
      <c r="H44" s="15" t="n">
        <f aca="false">SUMIFS(Test_Times!$AL$5:$AL$863,Test_Times!$A$5:$A$863,A44,Test_Times!$G$5:$G$863,"HPLC")</f>
        <v>0</v>
      </c>
      <c r="I44" s="30" t="n">
        <f aca="false">IFERROR(D44/SUM($D$5:$D$248),0)</f>
        <v>0</v>
      </c>
      <c r="J44" s="31" t="n">
        <f aca="false">D44+ROW()/10000000</f>
        <v>4.4E-006</v>
      </c>
    </row>
    <row r="45" customFormat="false" ht="15" hidden="false" customHeight="false" outlineLevel="0" collapsed="false">
      <c r="A45" s="10" t="s">
        <v>355</v>
      </c>
      <c r="B45" s="10" t="s">
        <v>659</v>
      </c>
      <c r="C45" s="10" t="s">
        <v>716</v>
      </c>
      <c r="D45" s="15" t="n">
        <f aca="false">SUMIFS(Test_Times!$AH$5:$AH$863,Test_Times!$A$5:$A$863,A45,Test_Times!$G$5:$G$863,"HPLC")</f>
        <v>0</v>
      </c>
      <c r="E45" s="15" t="n">
        <f aca="false">SUMIF(Test_Times!$A$5:$A$863,A45,Test_Times!$AH$5:$AH$863)</f>
        <v>0</v>
      </c>
      <c r="F45" s="15" t="n">
        <f aca="false">SUMIF(Test_Times!$A$5:$A$863,A45,Test_Times!$AG$5:$AG$863)</f>
        <v>0</v>
      </c>
      <c r="G45" s="15" t="n">
        <f aca="false">SUMIF(Test_Times!$A$5:$A$863,A45,Test_Times!$AI$5:$AI$863)</f>
        <v>0</v>
      </c>
      <c r="H45" s="15" t="n">
        <f aca="false">SUMIFS(Test_Times!$AL$5:$AL$863,Test_Times!$A$5:$A$863,A45,Test_Times!$G$5:$G$863,"HPLC")</f>
        <v>0</v>
      </c>
      <c r="I45" s="30" t="n">
        <f aca="false">IFERROR(D45/SUM($D$5:$D$248),0)</f>
        <v>0</v>
      </c>
      <c r="J45" s="31" t="n">
        <f aca="false">D45+ROW()/10000000</f>
        <v>4.5E-006</v>
      </c>
    </row>
    <row r="46" customFormat="false" ht="15" hidden="false" customHeight="false" outlineLevel="0" collapsed="false">
      <c r="A46" s="10" t="s">
        <v>357</v>
      </c>
      <c r="B46" s="10" t="s">
        <v>659</v>
      </c>
      <c r="C46" s="10" t="s">
        <v>717</v>
      </c>
      <c r="D46" s="15" t="n">
        <f aca="false">SUMIFS(Test_Times!$AH$5:$AH$863,Test_Times!$A$5:$A$863,A46,Test_Times!$G$5:$G$863,"HPLC")</f>
        <v>0</v>
      </c>
      <c r="E46" s="15" t="n">
        <f aca="false">SUMIF(Test_Times!$A$5:$A$863,A46,Test_Times!$AH$5:$AH$863)</f>
        <v>0</v>
      </c>
      <c r="F46" s="15" t="n">
        <f aca="false">SUMIF(Test_Times!$A$5:$A$863,A46,Test_Times!$AG$5:$AG$863)</f>
        <v>0</v>
      </c>
      <c r="G46" s="15" t="n">
        <f aca="false">SUMIF(Test_Times!$A$5:$A$863,A46,Test_Times!$AI$5:$AI$863)</f>
        <v>0</v>
      </c>
      <c r="H46" s="15" t="n">
        <f aca="false">SUMIFS(Test_Times!$AL$5:$AL$863,Test_Times!$A$5:$A$863,A46,Test_Times!$G$5:$G$863,"HPLC")</f>
        <v>0</v>
      </c>
      <c r="I46" s="30" t="n">
        <f aca="false">IFERROR(D46/SUM($D$5:$D$248),0)</f>
        <v>0</v>
      </c>
      <c r="J46" s="31" t="n">
        <f aca="false">D46+ROW()/10000000</f>
        <v>4.6E-006</v>
      </c>
    </row>
    <row r="47" customFormat="false" ht="15" hidden="false" customHeight="false" outlineLevel="0" collapsed="false">
      <c r="A47" s="10" t="s">
        <v>360</v>
      </c>
      <c r="B47" s="10" t="s">
        <v>659</v>
      </c>
      <c r="C47" s="10" t="s">
        <v>718</v>
      </c>
      <c r="D47" s="15" t="n">
        <f aca="false">SUMIFS(Test_Times!$AH$5:$AH$863,Test_Times!$A$5:$A$863,A47,Test_Times!$G$5:$G$863,"HPLC")</f>
        <v>0</v>
      </c>
      <c r="E47" s="15" t="n">
        <f aca="false">SUMIF(Test_Times!$A$5:$A$863,A47,Test_Times!$AH$5:$AH$863)</f>
        <v>0</v>
      </c>
      <c r="F47" s="15" t="n">
        <f aca="false">SUMIF(Test_Times!$A$5:$A$863,A47,Test_Times!$AG$5:$AG$863)</f>
        <v>0</v>
      </c>
      <c r="G47" s="15" t="n">
        <f aca="false">SUMIF(Test_Times!$A$5:$A$863,A47,Test_Times!$AI$5:$AI$863)</f>
        <v>0</v>
      </c>
      <c r="H47" s="15" t="n">
        <f aca="false">SUMIFS(Test_Times!$AL$5:$AL$863,Test_Times!$A$5:$A$863,A47,Test_Times!$G$5:$G$863,"HPLC")</f>
        <v>0</v>
      </c>
      <c r="I47" s="30" t="n">
        <f aca="false">IFERROR(D47/SUM($D$5:$D$248),0)</f>
        <v>0</v>
      </c>
      <c r="J47" s="31" t="n">
        <f aca="false">D47+ROW()/10000000</f>
        <v>4.7E-006</v>
      </c>
    </row>
    <row r="48" customFormat="false" ht="15" hidden="false" customHeight="false" outlineLevel="0" collapsed="false">
      <c r="A48" s="10" t="s">
        <v>363</v>
      </c>
      <c r="B48" s="10" t="s">
        <v>659</v>
      </c>
      <c r="C48" s="10" t="s">
        <v>719</v>
      </c>
      <c r="D48" s="15" t="n">
        <f aca="false">SUMIFS(Test_Times!$AH$5:$AH$863,Test_Times!$A$5:$A$863,A48,Test_Times!$G$5:$G$863,"HPLC")</f>
        <v>0</v>
      </c>
      <c r="E48" s="15" t="n">
        <f aca="false">SUMIF(Test_Times!$A$5:$A$863,A48,Test_Times!$AH$5:$AH$863)</f>
        <v>0</v>
      </c>
      <c r="F48" s="15" t="n">
        <f aca="false">SUMIF(Test_Times!$A$5:$A$863,A48,Test_Times!$AG$5:$AG$863)</f>
        <v>0</v>
      </c>
      <c r="G48" s="15" t="n">
        <f aca="false">SUMIF(Test_Times!$A$5:$A$863,A48,Test_Times!$AI$5:$AI$863)</f>
        <v>0</v>
      </c>
      <c r="H48" s="15" t="n">
        <f aca="false">SUMIFS(Test_Times!$AL$5:$AL$863,Test_Times!$A$5:$A$863,A48,Test_Times!$G$5:$G$863,"HPLC")</f>
        <v>0</v>
      </c>
      <c r="I48" s="30" t="n">
        <f aca="false">IFERROR(D48/SUM($D$5:$D$248),0)</f>
        <v>0</v>
      </c>
      <c r="J48" s="31" t="n">
        <f aca="false">D48+ROW()/10000000</f>
        <v>4.8E-006</v>
      </c>
    </row>
    <row r="49" customFormat="false" ht="15" hidden="false" customHeight="false" outlineLevel="0" collapsed="false">
      <c r="A49" s="10" t="s">
        <v>366</v>
      </c>
      <c r="B49" s="10" t="s">
        <v>659</v>
      </c>
      <c r="C49" s="10" t="s">
        <v>720</v>
      </c>
      <c r="D49" s="15" t="n">
        <f aca="false">SUMIFS(Test_Times!$AH$5:$AH$863,Test_Times!$A$5:$A$863,A49,Test_Times!$G$5:$G$863,"HPLC")</f>
        <v>0</v>
      </c>
      <c r="E49" s="15" t="n">
        <f aca="false">SUMIF(Test_Times!$A$5:$A$863,A49,Test_Times!$AH$5:$AH$863)</f>
        <v>0</v>
      </c>
      <c r="F49" s="15" t="n">
        <f aca="false">SUMIF(Test_Times!$A$5:$A$863,A49,Test_Times!$AG$5:$AG$863)</f>
        <v>0</v>
      </c>
      <c r="G49" s="15" t="n">
        <f aca="false">SUMIF(Test_Times!$A$5:$A$863,A49,Test_Times!$AI$5:$AI$863)</f>
        <v>0</v>
      </c>
      <c r="H49" s="15" t="n">
        <f aca="false">SUMIFS(Test_Times!$AL$5:$AL$863,Test_Times!$A$5:$A$863,A49,Test_Times!$G$5:$G$863,"HPLC")</f>
        <v>0</v>
      </c>
      <c r="I49" s="30" t="n">
        <f aca="false">IFERROR(D49/SUM($D$5:$D$248),0)</f>
        <v>0</v>
      </c>
      <c r="J49" s="31" t="n">
        <f aca="false">D49+ROW()/10000000</f>
        <v>4.9E-006</v>
      </c>
    </row>
    <row r="50" customFormat="false" ht="15" hidden="false" customHeight="false" outlineLevel="0" collapsed="false">
      <c r="A50" s="10" t="s">
        <v>369</v>
      </c>
      <c r="B50" s="10" t="s">
        <v>659</v>
      </c>
      <c r="C50" s="10" t="s">
        <v>721</v>
      </c>
      <c r="D50" s="15" t="n">
        <f aca="false">SUMIFS(Test_Times!$AH$5:$AH$863,Test_Times!$A$5:$A$863,A50,Test_Times!$G$5:$G$863,"HPLC")</f>
        <v>0</v>
      </c>
      <c r="E50" s="15" t="n">
        <f aca="false">SUMIF(Test_Times!$A$5:$A$863,A50,Test_Times!$AH$5:$AH$863)</f>
        <v>0</v>
      </c>
      <c r="F50" s="15" t="n">
        <f aca="false">SUMIF(Test_Times!$A$5:$A$863,A50,Test_Times!$AG$5:$AG$863)</f>
        <v>0</v>
      </c>
      <c r="G50" s="15" t="n">
        <f aca="false">SUMIF(Test_Times!$A$5:$A$863,A50,Test_Times!$AI$5:$AI$863)</f>
        <v>0</v>
      </c>
      <c r="H50" s="15" t="n">
        <f aca="false">SUMIFS(Test_Times!$AL$5:$AL$863,Test_Times!$A$5:$A$863,A50,Test_Times!$G$5:$G$863,"HPLC")</f>
        <v>0</v>
      </c>
      <c r="I50" s="30" t="n">
        <f aca="false">IFERROR(D50/SUM($D$5:$D$248),0)</f>
        <v>0</v>
      </c>
      <c r="J50" s="31" t="n">
        <f aca="false">D50+ROW()/10000000</f>
        <v>5E-006</v>
      </c>
    </row>
    <row r="51" customFormat="false" ht="15" hidden="false" customHeight="false" outlineLevel="0" collapsed="false">
      <c r="A51" s="10" t="s">
        <v>373</v>
      </c>
      <c r="B51" s="10" t="s">
        <v>659</v>
      </c>
      <c r="C51" s="10" t="s">
        <v>722</v>
      </c>
      <c r="D51" s="15" t="n">
        <f aca="false">SUMIFS(Test_Times!$AH$5:$AH$863,Test_Times!$A$5:$A$863,A51,Test_Times!$G$5:$G$863,"HPLC")</f>
        <v>0</v>
      </c>
      <c r="E51" s="15" t="n">
        <f aca="false">SUMIF(Test_Times!$A$5:$A$863,A51,Test_Times!$AH$5:$AH$863)</f>
        <v>0</v>
      </c>
      <c r="F51" s="15" t="n">
        <f aca="false">SUMIF(Test_Times!$A$5:$A$863,A51,Test_Times!$AG$5:$AG$863)</f>
        <v>0</v>
      </c>
      <c r="G51" s="15" t="n">
        <f aca="false">SUMIF(Test_Times!$A$5:$A$863,A51,Test_Times!$AI$5:$AI$863)</f>
        <v>0</v>
      </c>
      <c r="H51" s="15" t="n">
        <f aca="false">SUMIFS(Test_Times!$AL$5:$AL$863,Test_Times!$A$5:$A$863,A51,Test_Times!$G$5:$G$863,"HPLC")</f>
        <v>0</v>
      </c>
      <c r="I51" s="30" t="n">
        <f aca="false">IFERROR(D51/SUM($D$5:$D$248),0)</f>
        <v>0</v>
      </c>
      <c r="J51" s="31" t="n">
        <f aca="false">D51+ROW()/10000000</f>
        <v>5.1E-006</v>
      </c>
    </row>
    <row r="52" customFormat="false" ht="15" hidden="false" customHeight="false" outlineLevel="0" collapsed="false">
      <c r="A52" s="10" t="s">
        <v>376</v>
      </c>
      <c r="B52" s="10" t="s">
        <v>659</v>
      </c>
      <c r="C52" s="10" t="s">
        <v>723</v>
      </c>
      <c r="D52" s="15" t="n">
        <f aca="false">SUMIFS(Test_Times!$AH$5:$AH$863,Test_Times!$A$5:$A$863,A52,Test_Times!$G$5:$G$863,"HPLC")</f>
        <v>0</v>
      </c>
      <c r="E52" s="15" t="n">
        <f aca="false">SUMIF(Test_Times!$A$5:$A$863,A52,Test_Times!$AH$5:$AH$863)</f>
        <v>0</v>
      </c>
      <c r="F52" s="15" t="n">
        <f aca="false">SUMIF(Test_Times!$A$5:$A$863,A52,Test_Times!$AG$5:$AG$863)</f>
        <v>0</v>
      </c>
      <c r="G52" s="15" t="n">
        <f aca="false">SUMIF(Test_Times!$A$5:$A$863,A52,Test_Times!$AI$5:$AI$863)</f>
        <v>0</v>
      </c>
      <c r="H52" s="15" t="n">
        <f aca="false">SUMIFS(Test_Times!$AL$5:$AL$863,Test_Times!$A$5:$A$863,A52,Test_Times!$G$5:$G$863,"HPLC")</f>
        <v>0</v>
      </c>
      <c r="I52" s="30" t="n">
        <f aca="false">IFERROR(D52/SUM($D$5:$D$248),0)</f>
        <v>0</v>
      </c>
      <c r="J52" s="31" t="n">
        <f aca="false">D52+ROW()/10000000</f>
        <v>5.2E-006</v>
      </c>
    </row>
    <row r="53" customFormat="false" ht="15" hidden="false" customHeight="false" outlineLevel="0" collapsed="false">
      <c r="A53" s="10" t="s">
        <v>379</v>
      </c>
      <c r="B53" s="10" t="s">
        <v>659</v>
      </c>
      <c r="C53" s="10" t="s">
        <v>724</v>
      </c>
      <c r="D53" s="15" t="n">
        <f aca="false">SUMIFS(Test_Times!$AH$5:$AH$863,Test_Times!$A$5:$A$863,A53,Test_Times!$G$5:$G$863,"HPLC")</f>
        <v>0</v>
      </c>
      <c r="E53" s="15" t="n">
        <f aca="false">SUMIF(Test_Times!$A$5:$A$863,A53,Test_Times!$AH$5:$AH$863)</f>
        <v>0</v>
      </c>
      <c r="F53" s="15" t="n">
        <f aca="false">SUMIF(Test_Times!$A$5:$A$863,A53,Test_Times!$AG$5:$AG$863)</f>
        <v>0</v>
      </c>
      <c r="G53" s="15" t="n">
        <f aca="false">SUMIF(Test_Times!$A$5:$A$863,A53,Test_Times!$AI$5:$AI$863)</f>
        <v>0</v>
      </c>
      <c r="H53" s="15" t="n">
        <f aca="false">SUMIFS(Test_Times!$AL$5:$AL$863,Test_Times!$A$5:$A$863,A53,Test_Times!$G$5:$G$863,"HPLC")</f>
        <v>0</v>
      </c>
      <c r="I53" s="30" t="n">
        <f aca="false">IFERROR(D53/SUM($D$5:$D$248),0)</f>
        <v>0</v>
      </c>
      <c r="J53" s="31" t="n">
        <f aca="false">D53+ROW()/10000000</f>
        <v>5.3E-006</v>
      </c>
    </row>
    <row r="54" customFormat="false" ht="15" hidden="false" customHeight="false" outlineLevel="0" collapsed="false">
      <c r="A54" s="10" t="s">
        <v>382</v>
      </c>
      <c r="B54" s="10" t="s">
        <v>659</v>
      </c>
      <c r="C54" s="10" t="s">
        <v>725</v>
      </c>
      <c r="D54" s="15" t="n">
        <f aca="false">SUMIFS(Test_Times!$AH$5:$AH$863,Test_Times!$A$5:$A$863,A54,Test_Times!$G$5:$G$863,"HPLC")</f>
        <v>0</v>
      </c>
      <c r="E54" s="15" t="n">
        <f aca="false">SUMIF(Test_Times!$A$5:$A$863,A54,Test_Times!$AH$5:$AH$863)</f>
        <v>0</v>
      </c>
      <c r="F54" s="15" t="n">
        <f aca="false">SUMIF(Test_Times!$A$5:$A$863,A54,Test_Times!$AG$5:$AG$863)</f>
        <v>0</v>
      </c>
      <c r="G54" s="15" t="n">
        <f aca="false">SUMIF(Test_Times!$A$5:$A$863,A54,Test_Times!$AI$5:$AI$863)</f>
        <v>0</v>
      </c>
      <c r="H54" s="15" t="n">
        <f aca="false">SUMIFS(Test_Times!$AL$5:$AL$863,Test_Times!$A$5:$A$863,A54,Test_Times!$G$5:$G$863,"HPLC")</f>
        <v>0</v>
      </c>
      <c r="I54" s="30" t="n">
        <f aca="false">IFERROR(D54/SUM($D$5:$D$248),0)</f>
        <v>0</v>
      </c>
      <c r="J54" s="31" t="n">
        <f aca="false">D54+ROW()/10000000</f>
        <v>5.4E-006</v>
      </c>
    </row>
    <row r="55" customFormat="false" ht="15" hidden="false" customHeight="false" outlineLevel="0" collapsed="false">
      <c r="A55" s="10" t="s">
        <v>385</v>
      </c>
      <c r="B55" s="10" t="s">
        <v>659</v>
      </c>
      <c r="C55" s="10" t="s">
        <v>726</v>
      </c>
      <c r="D55" s="15" t="n">
        <f aca="false">SUMIFS(Test_Times!$AH$5:$AH$863,Test_Times!$A$5:$A$863,A55,Test_Times!$G$5:$G$863,"HPLC")</f>
        <v>0</v>
      </c>
      <c r="E55" s="15" t="n">
        <f aca="false">SUMIF(Test_Times!$A$5:$A$863,A55,Test_Times!$AH$5:$AH$863)</f>
        <v>0</v>
      </c>
      <c r="F55" s="15" t="n">
        <f aca="false">SUMIF(Test_Times!$A$5:$A$863,A55,Test_Times!$AG$5:$AG$863)</f>
        <v>0</v>
      </c>
      <c r="G55" s="15" t="n">
        <f aca="false">SUMIF(Test_Times!$A$5:$A$863,A55,Test_Times!$AI$5:$AI$863)</f>
        <v>0</v>
      </c>
      <c r="H55" s="15" t="n">
        <f aca="false">SUMIFS(Test_Times!$AL$5:$AL$863,Test_Times!$A$5:$A$863,A55,Test_Times!$G$5:$G$863,"HPLC")</f>
        <v>0</v>
      </c>
      <c r="I55" s="30" t="n">
        <f aca="false">IFERROR(D55/SUM($D$5:$D$248),0)</f>
        <v>0</v>
      </c>
      <c r="J55" s="31" t="n">
        <f aca="false">D55+ROW()/10000000</f>
        <v>5.5E-006</v>
      </c>
    </row>
    <row r="56" customFormat="false" ht="15" hidden="false" customHeight="false" outlineLevel="0" collapsed="false">
      <c r="A56" s="10" t="s">
        <v>388</v>
      </c>
      <c r="B56" s="10" t="s">
        <v>659</v>
      </c>
      <c r="C56" s="10" t="s">
        <v>727</v>
      </c>
      <c r="D56" s="15" t="n">
        <f aca="false">SUMIFS(Test_Times!$AH$5:$AH$863,Test_Times!$A$5:$A$863,A56,Test_Times!$G$5:$G$863,"HPLC")</f>
        <v>0</v>
      </c>
      <c r="E56" s="15" t="n">
        <f aca="false">SUMIF(Test_Times!$A$5:$A$863,A56,Test_Times!$AH$5:$AH$863)</f>
        <v>0</v>
      </c>
      <c r="F56" s="15" t="n">
        <f aca="false">SUMIF(Test_Times!$A$5:$A$863,A56,Test_Times!$AG$5:$AG$863)</f>
        <v>0</v>
      </c>
      <c r="G56" s="15" t="n">
        <f aca="false">SUMIF(Test_Times!$A$5:$A$863,A56,Test_Times!$AI$5:$AI$863)</f>
        <v>0</v>
      </c>
      <c r="H56" s="15" t="n">
        <f aca="false">SUMIFS(Test_Times!$AL$5:$AL$863,Test_Times!$A$5:$A$863,A56,Test_Times!$G$5:$G$863,"HPLC")</f>
        <v>0</v>
      </c>
      <c r="I56" s="30" t="n">
        <f aca="false">IFERROR(D56/SUM($D$5:$D$248),0)</f>
        <v>0</v>
      </c>
      <c r="J56" s="31" t="n">
        <f aca="false">D56+ROW()/10000000</f>
        <v>5.6E-006</v>
      </c>
    </row>
    <row r="57" customFormat="false" ht="15" hidden="false" customHeight="false" outlineLevel="0" collapsed="false">
      <c r="A57" s="10" t="s">
        <v>392</v>
      </c>
      <c r="B57" s="10" t="s">
        <v>659</v>
      </c>
      <c r="C57" s="10" t="s">
        <v>728</v>
      </c>
      <c r="D57" s="15" t="n">
        <f aca="false">SUMIFS(Test_Times!$AH$5:$AH$863,Test_Times!$A$5:$A$863,A57,Test_Times!$G$5:$G$863,"HPLC")</f>
        <v>0</v>
      </c>
      <c r="E57" s="15" t="n">
        <f aca="false">SUMIF(Test_Times!$A$5:$A$863,A57,Test_Times!$AH$5:$AH$863)</f>
        <v>0</v>
      </c>
      <c r="F57" s="15" t="n">
        <f aca="false">SUMIF(Test_Times!$A$5:$A$863,A57,Test_Times!$AG$5:$AG$863)</f>
        <v>0</v>
      </c>
      <c r="G57" s="15" t="n">
        <f aca="false">SUMIF(Test_Times!$A$5:$A$863,A57,Test_Times!$AI$5:$AI$863)</f>
        <v>0</v>
      </c>
      <c r="H57" s="15" t="n">
        <f aca="false">SUMIFS(Test_Times!$AL$5:$AL$863,Test_Times!$A$5:$A$863,A57,Test_Times!$G$5:$G$863,"HPLC")</f>
        <v>0</v>
      </c>
      <c r="I57" s="30" t="n">
        <f aca="false">IFERROR(D57/SUM($D$5:$D$248),0)</f>
        <v>0</v>
      </c>
      <c r="J57" s="31" t="n">
        <f aca="false">D57+ROW()/10000000</f>
        <v>5.7E-006</v>
      </c>
    </row>
    <row r="58" customFormat="false" ht="15" hidden="false" customHeight="false" outlineLevel="0" collapsed="false">
      <c r="A58" s="10" t="s">
        <v>396</v>
      </c>
      <c r="B58" s="10" t="s">
        <v>659</v>
      </c>
      <c r="C58" s="10" t="s">
        <v>729</v>
      </c>
      <c r="D58" s="15" t="n">
        <f aca="false">SUMIFS(Test_Times!$AH$5:$AH$863,Test_Times!$A$5:$A$863,A58,Test_Times!$G$5:$G$863,"HPLC")</f>
        <v>0</v>
      </c>
      <c r="E58" s="15" t="n">
        <f aca="false">SUMIF(Test_Times!$A$5:$A$863,A58,Test_Times!$AH$5:$AH$863)</f>
        <v>0</v>
      </c>
      <c r="F58" s="15" t="n">
        <f aca="false">SUMIF(Test_Times!$A$5:$A$863,A58,Test_Times!$AG$5:$AG$863)</f>
        <v>0</v>
      </c>
      <c r="G58" s="15" t="n">
        <f aca="false">SUMIF(Test_Times!$A$5:$A$863,A58,Test_Times!$AI$5:$AI$863)</f>
        <v>0</v>
      </c>
      <c r="H58" s="15" t="n">
        <f aca="false">SUMIFS(Test_Times!$AL$5:$AL$863,Test_Times!$A$5:$A$863,A58,Test_Times!$G$5:$G$863,"HPLC")</f>
        <v>0</v>
      </c>
      <c r="I58" s="30" t="n">
        <f aca="false">IFERROR(D58/SUM($D$5:$D$248),0)</f>
        <v>0</v>
      </c>
      <c r="J58" s="31" t="n">
        <f aca="false">D58+ROW()/10000000</f>
        <v>5.8E-006</v>
      </c>
    </row>
    <row r="59" customFormat="false" ht="15" hidden="false" customHeight="false" outlineLevel="0" collapsed="false">
      <c r="A59" s="10" t="s">
        <v>399</v>
      </c>
      <c r="B59" s="10" t="s">
        <v>659</v>
      </c>
      <c r="C59" s="10" t="s">
        <v>730</v>
      </c>
      <c r="D59" s="15" t="n">
        <f aca="false">SUMIFS(Test_Times!$AH$5:$AH$863,Test_Times!$A$5:$A$863,A59,Test_Times!$G$5:$G$863,"HPLC")</f>
        <v>0</v>
      </c>
      <c r="E59" s="15" t="n">
        <f aca="false">SUMIF(Test_Times!$A$5:$A$863,A59,Test_Times!$AH$5:$AH$863)</f>
        <v>0</v>
      </c>
      <c r="F59" s="15" t="n">
        <f aca="false">SUMIF(Test_Times!$A$5:$A$863,A59,Test_Times!$AG$5:$AG$863)</f>
        <v>0</v>
      </c>
      <c r="G59" s="15" t="n">
        <f aca="false">SUMIF(Test_Times!$A$5:$A$863,A59,Test_Times!$AI$5:$AI$863)</f>
        <v>0</v>
      </c>
      <c r="H59" s="15" t="n">
        <f aca="false">SUMIFS(Test_Times!$AL$5:$AL$863,Test_Times!$A$5:$A$863,A59,Test_Times!$G$5:$G$863,"HPLC")</f>
        <v>0</v>
      </c>
      <c r="I59" s="30" t="n">
        <f aca="false">IFERROR(D59/SUM($D$5:$D$248),0)</f>
        <v>0</v>
      </c>
      <c r="J59" s="31" t="n">
        <f aca="false">D59+ROW()/10000000</f>
        <v>5.9E-006</v>
      </c>
    </row>
    <row r="60" customFormat="false" ht="15" hidden="false" customHeight="false" outlineLevel="0" collapsed="false">
      <c r="A60" s="10" t="s">
        <v>403</v>
      </c>
      <c r="B60" s="10" t="s">
        <v>659</v>
      </c>
      <c r="C60" s="10" t="s">
        <v>731</v>
      </c>
      <c r="D60" s="15" t="n">
        <f aca="false">SUMIFS(Test_Times!$AH$5:$AH$863,Test_Times!$A$5:$A$863,A60,Test_Times!$G$5:$G$863,"HPLC")</f>
        <v>0</v>
      </c>
      <c r="E60" s="15" t="n">
        <f aca="false">SUMIF(Test_Times!$A$5:$A$863,A60,Test_Times!$AH$5:$AH$863)</f>
        <v>0</v>
      </c>
      <c r="F60" s="15" t="n">
        <f aca="false">SUMIF(Test_Times!$A$5:$A$863,A60,Test_Times!$AG$5:$AG$863)</f>
        <v>0</v>
      </c>
      <c r="G60" s="15" t="n">
        <f aca="false">SUMIF(Test_Times!$A$5:$A$863,A60,Test_Times!$AI$5:$AI$863)</f>
        <v>0</v>
      </c>
      <c r="H60" s="15" t="n">
        <f aca="false">SUMIFS(Test_Times!$AL$5:$AL$863,Test_Times!$A$5:$A$863,A60,Test_Times!$G$5:$G$863,"HPLC")</f>
        <v>0</v>
      </c>
      <c r="I60" s="30" t="n">
        <f aca="false">IFERROR(D60/SUM($D$5:$D$248),0)</f>
        <v>0</v>
      </c>
      <c r="J60" s="31" t="n">
        <f aca="false">D60+ROW()/10000000</f>
        <v>6E-006</v>
      </c>
    </row>
    <row r="61" customFormat="false" ht="15" hidden="false" customHeight="false" outlineLevel="0" collapsed="false">
      <c r="A61" s="10" t="s">
        <v>406</v>
      </c>
      <c r="B61" s="10" t="s">
        <v>659</v>
      </c>
      <c r="C61" s="10" t="s">
        <v>732</v>
      </c>
      <c r="D61" s="15" t="n">
        <f aca="false">SUMIFS(Test_Times!$AH$5:$AH$863,Test_Times!$A$5:$A$863,A61,Test_Times!$G$5:$G$863,"HPLC")</f>
        <v>0</v>
      </c>
      <c r="E61" s="15" t="n">
        <f aca="false">SUMIF(Test_Times!$A$5:$A$863,A61,Test_Times!$AH$5:$AH$863)</f>
        <v>0</v>
      </c>
      <c r="F61" s="15" t="n">
        <f aca="false">SUMIF(Test_Times!$A$5:$A$863,A61,Test_Times!$AG$5:$AG$863)</f>
        <v>0</v>
      </c>
      <c r="G61" s="15" t="n">
        <f aca="false">SUMIF(Test_Times!$A$5:$A$863,A61,Test_Times!$AI$5:$AI$863)</f>
        <v>0</v>
      </c>
      <c r="H61" s="15" t="n">
        <f aca="false">SUMIFS(Test_Times!$AL$5:$AL$863,Test_Times!$A$5:$A$863,A61,Test_Times!$G$5:$G$863,"HPLC")</f>
        <v>0</v>
      </c>
      <c r="I61" s="30" t="n">
        <f aca="false">IFERROR(D61/SUM($D$5:$D$248),0)</f>
        <v>0</v>
      </c>
      <c r="J61" s="31" t="n">
        <f aca="false">D61+ROW()/10000000</f>
        <v>6.1E-006</v>
      </c>
    </row>
    <row r="62" customFormat="false" ht="15" hidden="false" customHeight="false" outlineLevel="0" collapsed="false">
      <c r="A62" s="10" t="s">
        <v>409</v>
      </c>
      <c r="B62" s="10" t="s">
        <v>659</v>
      </c>
      <c r="C62" s="10" t="s">
        <v>733</v>
      </c>
      <c r="D62" s="15" t="n">
        <f aca="false">SUMIFS(Test_Times!$AH$5:$AH$863,Test_Times!$A$5:$A$863,A62,Test_Times!$G$5:$G$863,"HPLC")</f>
        <v>0</v>
      </c>
      <c r="E62" s="15" t="n">
        <f aca="false">SUMIF(Test_Times!$A$5:$A$863,A62,Test_Times!$AH$5:$AH$863)</f>
        <v>0</v>
      </c>
      <c r="F62" s="15" t="n">
        <f aca="false">SUMIF(Test_Times!$A$5:$A$863,A62,Test_Times!$AG$5:$AG$863)</f>
        <v>0</v>
      </c>
      <c r="G62" s="15" t="n">
        <f aca="false">SUMIF(Test_Times!$A$5:$A$863,A62,Test_Times!$AI$5:$AI$863)</f>
        <v>0</v>
      </c>
      <c r="H62" s="15" t="n">
        <f aca="false">SUMIFS(Test_Times!$AL$5:$AL$863,Test_Times!$A$5:$A$863,A62,Test_Times!$G$5:$G$863,"HPLC")</f>
        <v>0</v>
      </c>
      <c r="I62" s="30" t="n">
        <f aca="false">IFERROR(D62/SUM($D$5:$D$248),0)</f>
        <v>0</v>
      </c>
      <c r="J62" s="31" t="n">
        <f aca="false">D62+ROW()/10000000</f>
        <v>6.2E-006</v>
      </c>
    </row>
    <row r="63" customFormat="false" ht="15" hidden="false" customHeight="false" outlineLevel="0" collapsed="false">
      <c r="A63" s="10" t="s">
        <v>412</v>
      </c>
      <c r="B63" s="10" t="s">
        <v>659</v>
      </c>
      <c r="C63" s="10" t="s">
        <v>734</v>
      </c>
      <c r="D63" s="15" t="n">
        <f aca="false">SUMIFS(Test_Times!$AH$5:$AH$863,Test_Times!$A$5:$A$863,A63,Test_Times!$G$5:$G$863,"HPLC")</f>
        <v>0</v>
      </c>
      <c r="E63" s="15" t="n">
        <f aca="false">SUMIF(Test_Times!$A$5:$A$863,A63,Test_Times!$AH$5:$AH$863)</f>
        <v>0</v>
      </c>
      <c r="F63" s="15" t="n">
        <f aca="false">SUMIF(Test_Times!$A$5:$A$863,A63,Test_Times!$AG$5:$AG$863)</f>
        <v>0</v>
      </c>
      <c r="G63" s="15" t="n">
        <f aca="false">SUMIF(Test_Times!$A$5:$A$863,A63,Test_Times!$AI$5:$AI$863)</f>
        <v>0</v>
      </c>
      <c r="H63" s="15" t="n">
        <f aca="false">SUMIFS(Test_Times!$AL$5:$AL$863,Test_Times!$A$5:$A$863,A63,Test_Times!$G$5:$G$863,"HPLC")</f>
        <v>0</v>
      </c>
      <c r="I63" s="30" t="n">
        <f aca="false">IFERROR(D63/SUM($D$5:$D$248),0)</f>
        <v>0</v>
      </c>
      <c r="J63" s="31" t="n">
        <f aca="false">D63+ROW()/10000000</f>
        <v>6.3E-006</v>
      </c>
    </row>
    <row r="64" customFormat="false" ht="15" hidden="false" customHeight="false" outlineLevel="0" collapsed="false">
      <c r="A64" s="10" t="s">
        <v>415</v>
      </c>
      <c r="B64" s="10" t="s">
        <v>659</v>
      </c>
      <c r="C64" s="10" t="s">
        <v>735</v>
      </c>
      <c r="D64" s="15" t="n">
        <f aca="false">SUMIFS(Test_Times!$AH$5:$AH$863,Test_Times!$A$5:$A$863,A64,Test_Times!$G$5:$G$863,"HPLC")</f>
        <v>0</v>
      </c>
      <c r="E64" s="15" t="n">
        <f aca="false">SUMIF(Test_Times!$A$5:$A$863,A64,Test_Times!$AH$5:$AH$863)</f>
        <v>0</v>
      </c>
      <c r="F64" s="15" t="n">
        <f aca="false">SUMIF(Test_Times!$A$5:$A$863,A64,Test_Times!$AG$5:$AG$863)</f>
        <v>0</v>
      </c>
      <c r="G64" s="15" t="n">
        <f aca="false">SUMIF(Test_Times!$A$5:$A$863,A64,Test_Times!$AI$5:$AI$863)</f>
        <v>0</v>
      </c>
      <c r="H64" s="15" t="n">
        <f aca="false">SUMIFS(Test_Times!$AL$5:$AL$863,Test_Times!$A$5:$A$863,A64,Test_Times!$G$5:$G$863,"HPLC")</f>
        <v>0</v>
      </c>
      <c r="I64" s="30" t="n">
        <f aca="false">IFERROR(D64/SUM($D$5:$D$248),0)</f>
        <v>0</v>
      </c>
      <c r="J64" s="31" t="n">
        <f aca="false">D64+ROW()/10000000</f>
        <v>6.4E-006</v>
      </c>
    </row>
    <row r="65" customFormat="false" ht="15" hidden="false" customHeight="false" outlineLevel="0" collapsed="false">
      <c r="A65" s="10" t="s">
        <v>418</v>
      </c>
      <c r="B65" s="10" t="s">
        <v>659</v>
      </c>
      <c r="C65" s="10" t="s">
        <v>736</v>
      </c>
      <c r="D65" s="15" t="n">
        <f aca="false">SUMIFS(Test_Times!$AH$5:$AH$863,Test_Times!$A$5:$A$863,A65,Test_Times!$G$5:$G$863,"HPLC")</f>
        <v>0</v>
      </c>
      <c r="E65" s="15" t="n">
        <f aca="false">SUMIF(Test_Times!$A$5:$A$863,A65,Test_Times!$AH$5:$AH$863)</f>
        <v>0</v>
      </c>
      <c r="F65" s="15" t="n">
        <f aca="false">SUMIF(Test_Times!$A$5:$A$863,A65,Test_Times!$AG$5:$AG$863)</f>
        <v>0</v>
      </c>
      <c r="G65" s="15" t="n">
        <f aca="false">SUMIF(Test_Times!$A$5:$A$863,A65,Test_Times!$AI$5:$AI$863)</f>
        <v>0</v>
      </c>
      <c r="H65" s="15" t="n">
        <f aca="false">SUMIFS(Test_Times!$AL$5:$AL$863,Test_Times!$A$5:$A$863,A65,Test_Times!$G$5:$G$863,"HPLC")</f>
        <v>0</v>
      </c>
      <c r="I65" s="30" t="n">
        <f aca="false">IFERROR(D65/SUM($D$5:$D$248),0)</f>
        <v>0</v>
      </c>
      <c r="J65" s="31" t="n">
        <f aca="false">D65+ROW()/10000000</f>
        <v>6.5E-006</v>
      </c>
    </row>
    <row r="66" customFormat="false" ht="15" hidden="false" customHeight="false" outlineLevel="0" collapsed="false">
      <c r="A66" s="10" t="s">
        <v>420</v>
      </c>
      <c r="B66" s="10" t="s">
        <v>659</v>
      </c>
      <c r="C66" s="10" t="s">
        <v>737</v>
      </c>
      <c r="D66" s="15" t="n">
        <f aca="false">SUMIFS(Test_Times!$AH$5:$AH$863,Test_Times!$A$5:$A$863,A66,Test_Times!$G$5:$G$863,"HPLC")</f>
        <v>0</v>
      </c>
      <c r="E66" s="15" t="n">
        <f aca="false">SUMIF(Test_Times!$A$5:$A$863,A66,Test_Times!$AH$5:$AH$863)</f>
        <v>0</v>
      </c>
      <c r="F66" s="15" t="n">
        <f aca="false">SUMIF(Test_Times!$A$5:$A$863,A66,Test_Times!$AG$5:$AG$863)</f>
        <v>0</v>
      </c>
      <c r="G66" s="15" t="n">
        <f aca="false">SUMIF(Test_Times!$A$5:$A$863,A66,Test_Times!$AI$5:$AI$863)</f>
        <v>0</v>
      </c>
      <c r="H66" s="15" t="n">
        <f aca="false">SUMIFS(Test_Times!$AL$5:$AL$863,Test_Times!$A$5:$A$863,A66,Test_Times!$G$5:$G$863,"HPLC")</f>
        <v>0</v>
      </c>
      <c r="I66" s="30" t="n">
        <f aca="false">IFERROR(D66/SUM($D$5:$D$248),0)</f>
        <v>0</v>
      </c>
      <c r="J66" s="31" t="n">
        <f aca="false">D66+ROW()/10000000</f>
        <v>6.6E-006</v>
      </c>
    </row>
    <row r="67" customFormat="false" ht="15" hidden="false" customHeight="false" outlineLevel="0" collapsed="false">
      <c r="A67" s="10" t="s">
        <v>422</v>
      </c>
      <c r="B67" s="10" t="s">
        <v>659</v>
      </c>
      <c r="C67" s="10" t="s">
        <v>738</v>
      </c>
      <c r="D67" s="15" t="n">
        <f aca="false">SUMIFS(Test_Times!$AH$5:$AH$863,Test_Times!$A$5:$A$863,A67,Test_Times!$G$5:$G$863,"HPLC")</f>
        <v>0</v>
      </c>
      <c r="E67" s="15" t="n">
        <f aca="false">SUMIF(Test_Times!$A$5:$A$863,A67,Test_Times!$AH$5:$AH$863)</f>
        <v>0</v>
      </c>
      <c r="F67" s="15" t="n">
        <f aca="false">SUMIF(Test_Times!$A$5:$A$863,A67,Test_Times!$AG$5:$AG$863)</f>
        <v>0</v>
      </c>
      <c r="G67" s="15" t="n">
        <f aca="false">SUMIF(Test_Times!$A$5:$A$863,A67,Test_Times!$AI$5:$AI$863)</f>
        <v>0</v>
      </c>
      <c r="H67" s="15" t="n">
        <f aca="false">SUMIFS(Test_Times!$AL$5:$AL$863,Test_Times!$A$5:$A$863,A67,Test_Times!$G$5:$G$863,"HPLC")</f>
        <v>0</v>
      </c>
      <c r="I67" s="30" t="n">
        <f aca="false">IFERROR(D67/SUM($D$5:$D$248),0)</f>
        <v>0</v>
      </c>
      <c r="J67" s="31" t="n">
        <f aca="false">D67+ROW()/10000000</f>
        <v>6.7E-006</v>
      </c>
    </row>
    <row r="68" customFormat="false" ht="15" hidden="false" customHeight="false" outlineLevel="0" collapsed="false">
      <c r="A68" s="10" t="s">
        <v>425</v>
      </c>
      <c r="B68" s="10" t="s">
        <v>659</v>
      </c>
      <c r="C68" s="10" t="s">
        <v>739</v>
      </c>
      <c r="D68" s="15" t="n">
        <f aca="false">SUMIFS(Test_Times!$AH$5:$AH$863,Test_Times!$A$5:$A$863,A68,Test_Times!$G$5:$G$863,"HPLC")</f>
        <v>0</v>
      </c>
      <c r="E68" s="15" t="n">
        <f aca="false">SUMIF(Test_Times!$A$5:$A$863,A68,Test_Times!$AH$5:$AH$863)</f>
        <v>0</v>
      </c>
      <c r="F68" s="15" t="n">
        <f aca="false">SUMIF(Test_Times!$A$5:$A$863,A68,Test_Times!$AG$5:$AG$863)</f>
        <v>0</v>
      </c>
      <c r="G68" s="15" t="n">
        <f aca="false">SUMIF(Test_Times!$A$5:$A$863,A68,Test_Times!$AI$5:$AI$863)</f>
        <v>0</v>
      </c>
      <c r="H68" s="15" t="n">
        <f aca="false">SUMIFS(Test_Times!$AL$5:$AL$863,Test_Times!$A$5:$A$863,A68,Test_Times!$G$5:$G$863,"HPLC")</f>
        <v>0</v>
      </c>
      <c r="I68" s="30" t="n">
        <f aca="false">IFERROR(D68/SUM($D$5:$D$248),0)</f>
        <v>0</v>
      </c>
      <c r="J68" s="31" t="n">
        <f aca="false">D68+ROW()/10000000</f>
        <v>6.8E-006</v>
      </c>
    </row>
    <row r="69" customFormat="false" ht="15" hidden="false" customHeight="false" outlineLevel="0" collapsed="false">
      <c r="A69" s="10" t="s">
        <v>436</v>
      </c>
      <c r="B69" s="10" t="s">
        <v>740</v>
      </c>
      <c r="C69" s="10" t="s">
        <v>437</v>
      </c>
      <c r="D69" s="15" t="n">
        <f aca="false">SUMIFS(Test_Times!$AH$5:$AH$863,Test_Times!$A$5:$A$863,A69,Test_Times!$G$5:$G$863,"HPLC")</f>
        <v>0</v>
      </c>
      <c r="E69" s="15" t="n">
        <f aca="false">SUMIF(Test_Times!$A$5:$A$863,A69,Test_Times!$AH$5:$AH$863)</f>
        <v>0</v>
      </c>
      <c r="F69" s="15" t="n">
        <f aca="false">SUMIF(Test_Times!$A$5:$A$863,A69,Test_Times!$AG$5:$AG$863)</f>
        <v>0</v>
      </c>
      <c r="G69" s="15" t="n">
        <f aca="false">SUMIF(Test_Times!$A$5:$A$863,A69,Test_Times!$AI$5:$AI$863)</f>
        <v>0</v>
      </c>
      <c r="H69" s="15" t="n">
        <f aca="false">SUMIFS(Test_Times!$AL$5:$AL$863,Test_Times!$A$5:$A$863,A69,Test_Times!$G$5:$G$863,"HPLC")</f>
        <v>0</v>
      </c>
      <c r="I69" s="30" t="n">
        <f aca="false">IFERROR(D69/SUM($D$5:$D$248),0)</f>
        <v>0</v>
      </c>
      <c r="J69" s="31" t="n">
        <f aca="false">D69+ROW()/10000000</f>
        <v>6.9E-006</v>
      </c>
    </row>
    <row r="70" customFormat="false" ht="15" hidden="false" customHeight="false" outlineLevel="0" collapsed="false">
      <c r="A70" s="10" t="s">
        <v>438</v>
      </c>
      <c r="B70" s="10" t="s">
        <v>740</v>
      </c>
      <c r="C70" s="10" t="s">
        <v>437</v>
      </c>
      <c r="D70" s="15" t="n">
        <f aca="false">SUMIFS(Test_Times!$AH$5:$AH$863,Test_Times!$A$5:$A$863,A70,Test_Times!$G$5:$G$863,"HPLC")</f>
        <v>0</v>
      </c>
      <c r="E70" s="15" t="n">
        <f aca="false">SUMIF(Test_Times!$A$5:$A$863,A70,Test_Times!$AH$5:$AH$863)</f>
        <v>0</v>
      </c>
      <c r="F70" s="15" t="n">
        <f aca="false">SUMIF(Test_Times!$A$5:$A$863,A70,Test_Times!$AG$5:$AG$863)</f>
        <v>0</v>
      </c>
      <c r="G70" s="15" t="n">
        <f aca="false">SUMIF(Test_Times!$A$5:$A$863,A70,Test_Times!$AI$5:$AI$863)</f>
        <v>0</v>
      </c>
      <c r="H70" s="15" t="n">
        <f aca="false">SUMIFS(Test_Times!$AL$5:$AL$863,Test_Times!$A$5:$A$863,A70,Test_Times!$G$5:$G$863,"HPLC")</f>
        <v>0</v>
      </c>
      <c r="I70" s="30" t="n">
        <f aca="false">IFERROR(D70/SUM($D$5:$D$248),0)</f>
        <v>0</v>
      </c>
      <c r="J70" s="31" t="n">
        <f aca="false">D70+ROW()/10000000</f>
        <v>7E-006</v>
      </c>
    </row>
    <row r="71" customFormat="false" ht="15" hidden="false" customHeight="false" outlineLevel="0" collapsed="false">
      <c r="A71" s="10" t="s">
        <v>439</v>
      </c>
      <c r="B71" s="10" t="s">
        <v>740</v>
      </c>
      <c r="C71" s="10" t="s">
        <v>437</v>
      </c>
      <c r="D71" s="15" t="n">
        <f aca="false">SUMIFS(Test_Times!$AH$5:$AH$863,Test_Times!$A$5:$A$863,A71,Test_Times!$G$5:$G$863,"HPLC")</f>
        <v>0</v>
      </c>
      <c r="E71" s="15" t="n">
        <f aca="false">SUMIF(Test_Times!$A$5:$A$863,A71,Test_Times!$AH$5:$AH$863)</f>
        <v>0</v>
      </c>
      <c r="F71" s="15" t="n">
        <f aca="false">SUMIF(Test_Times!$A$5:$A$863,A71,Test_Times!$AG$5:$AG$863)</f>
        <v>0</v>
      </c>
      <c r="G71" s="15" t="n">
        <f aca="false">SUMIF(Test_Times!$A$5:$A$863,A71,Test_Times!$AI$5:$AI$863)</f>
        <v>0</v>
      </c>
      <c r="H71" s="15" t="n">
        <f aca="false">SUMIFS(Test_Times!$AL$5:$AL$863,Test_Times!$A$5:$A$863,A71,Test_Times!$G$5:$G$863,"HPLC")</f>
        <v>0</v>
      </c>
      <c r="I71" s="30" t="n">
        <f aca="false">IFERROR(D71/SUM($D$5:$D$248),0)</f>
        <v>0</v>
      </c>
      <c r="J71" s="31" t="n">
        <f aca="false">D71+ROW()/10000000</f>
        <v>7.1E-006</v>
      </c>
    </row>
    <row r="72" customFormat="false" ht="15" hidden="false" customHeight="false" outlineLevel="0" collapsed="false">
      <c r="A72" s="10" t="s">
        <v>291</v>
      </c>
      <c r="B72" s="10" t="s">
        <v>740</v>
      </c>
      <c r="C72" s="10" t="s">
        <v>437</v>
      </c>
      <c r="D72" s="15" t="n">
        <f aca="false">SUMIFS(Test_Times!$AH$5:$AH$863,Test_Times!$A$5:$A$863,A72,Test_Times!$G$5:$G$863,"HPLC")</f>
        <v>0</v>
      </c>
      <c r="E72" s="15" t="n">
        <f aca="false">SUMIF(Test_Times!$A$5:$A$863,A72,Test_Times!$AH$5:$AH$863)</f>
        <v>0</v>
      </c>
      <c r="F72" s="15" t="n">
        <f aca="false">SUMIF(Test_Times!$A$5:$A$863,A72,Test_Times!$AG$5:$AG$863)</f>
        <v>0</v>
      </c>
      <c r="G72" s="15" t="n">
        <f aca="false">SUMIF(Test_Times!$A$5:$A$863,A72,Test_Times!$AI$5:$AI$863)</f>
        <v>0</v>
      </c>
      <c r="H72" s="15" t="n">
        <f aca="false">SUMIFS(Test_Times!$AL$5:$AL$863,Test_Times!$A$5:$A$863,A72,Test_Times!$G$5:$G$863,"HPLC")</f>
        <v>0</v>
      </c>
      <c r="I72" s="30" t="n">
        <f aca="false">IFERROR(D72/SUM($D$5:$D$248),0)</f>
        <v>0</v>
      </c>
      <c r="J72" s="31" t="n">
        <f aca="false">D72+ROW()/10000000</f>
        <v>7.2E-006</v>
      </c>
    </row>
    <row r="73" customFormat="false" ht="15" hidden="false" customHeight="false" outlineLevel="0" collapsed="false">
      <c r="A73" s="10" t="s">
        <v>440</v>
      </c>
      <c r="B73" s="10" t="s">
        <v>740</v>
      </c>
      <c r="C73" s="10" t="s">
        <v>437</v>
      </c>
      <c r="D73" s="15" t="n">
        <f aca="false">SUMIFS(Test_Times!$AH$5:$AH$863,Test_Times!$A$5:$A$863,A73,Test_Times!$G$5:$G$863,"HPLC")</f>
        <v>0</v>
      </c>
      <c r="E73" s="15" t="n">
        <f aca="false">SUMIF(Test_Times!$A$5:$A$863,A73,Test_Times!$AH$5:$AH$863)</f>
        <v>0</v>
      </c>
      <c r="F73" s="15" t="n">
        <f aca="false">SUMIF(Test_Times!$A$5:$A$863,A73,Test_Times!$AG$5:$AG$863)</f>
        <v>0</v>
      </c>
      <c r="G73" s="15" t="n">
        <f aca="false">SUMIF(Test_Times!$A$5:$A$863,A73,Test_Times!$AI$5:$AI$863)</f>
        <v>0</v>
      </c>
      <c r="H73" s="15" t="n">
        <f aca="false">SUMIFS(Test_Times!$AL$5:$AL$863,Test_Times!$A$5:$A$863,A73,Test_Times!$G$5:$G$863,"HPLC")</f>
        <v>0</v>
      </c>
      <c r="I73" s="30" t="n">
        <f aca="false">IFERROR(D73/SUM($D$5:$D$248),0)</f>
        <v>0</v>
      </c>
      <c r="J73" s="31" t="n">
        <f aca="false">D73+ROW()/10000000</f>
        <v>7.3E-006</v>
      </c>
    </row>
    <row r="74" customFormat="false" ht="15" hidden="false" customHeight="false" outlineLevel="0" collapsed="false">
      <c r="A74" s="10" t="s">
        <v>441</v>
      </c>
      <c r="B74" s="10" t="s">
        <v>740</v>
      </c>
      <c r="C74" s="10" t="s">
        <v>437</v>
      </c>
      <c r="D74" s="15" t="n">
        <f aca="false">SUMIFS(Test_Times!$AH$5:$AH$863,Test_Times!$A$5:$A$863,A74,Test_Times!$G$5:$G$863,"HPLC")</f>
        <v>0</v>
      </c>
      <c r="E74" s="15" t="n">
        <f aca="false">SUMIF(Test_Times!$A$5:$A$863,A74,Test_Times!$AH$5:$AH$863)</f>
        <v>0</v>
      </c>
      <c r="F74" s="15" t="n">
        <f aca="false">SUMIF(Test_Times!$A$5:$A$863,A74,Test_Times!$AG$5:$AG$863)</f>
        <v>0</v>
      </c>
      <c r="G74" s="15" t="n">
        <f aca="false">SUMIF(Test_Times!$A$5:$A$863,A74,Test_Times!$AI$5:$AI$863)</f>
        <v>0</v>
      </c>
      <c r="H74" s="15" t="n">
        <f aca="false">SUMIFS(Test_Times!$AL$5:$AL$863,Test_Times!$A$5:$A$863,A74,Test_Times!$G$5:$G$863,"HPLC")</f>
        <v>0</v>
      </c>
      <c r="I74" s="30" t="n">
        <f aca="false">IFERROR(D74/SUM($D$5:$D$248),0)</f>
        <v>0</v>
      </c>
      <c r="J74" s="31" t="n">
        <f aca="false">D74+ROW()/10000000</f>
        <v>7.4E-006</v>
      </c>
    </row>
    <row r="75" customFormat="false" ht="15" hidden="false" customHeight="false" outlineLevel="0" collapsed="false">
      <c r="A75" s="10" t="s">
        <v>346</v>
      </c>
      <c r="B75" s="10" t="s">
        <v>740</v>
      </c>
      <c r="C75" s="10" t="s">
        <v>437</v>
      </c>
      <c r="D75" s="15" t="n">
        <f aca="false">SUMIFS(Test_Times!$AH$5:$AH$863,Test_Times!$A$5:$A$863,A75,Test_Times!$G$5:$G$863,"HPLC")</f>
        <v>0</v>
      </c>
      <c r="E75" s="15" t="n">
        <f aca="false">SUMIF(Test_Times!$A$5:$A$863,A75,Test_Times!$AH$5:$AH$863)</f>
        <v>0</v>
      </c>
      <c r="F75" s="15" t="n">
        <f aca="false">SUMIF(Test_Times!$A$5:$A$863,A75,Test_Times!$AG$5:$AG$863)</f>
        <v>0</v>
      </c>
      <c r="G75" s="15" t="n">
        <f aca="false">SUMIF(Test_Times!$A$5:$A$863,A75,Test_Times!$AI$5:$AI$863)</f>
        <v>0</v>
      </c>
      <c r="H75" s="15" t="n">
        <f aca="false">SUMIFS(Test_Times!$AL$5:$AL$863,Test_Times!$A$5:$A$863,A75,Test_Times!$G$5:$G$863,"HPLC")</f>
        <v>0</v>
      </c>
      <c r="I75" s="30" t="n">
        <f aca="false">IFERROR(D75/SUM($D$5:$D$248),0)</f>
        <v>0</v>
      </c>
      <c r="J75" s="31" t="n">
        <f aca="false">D75+ROW()/10000000</f>
        <v>7.5E-006</v>
      </c>
    </row>
    <row r="76" customFormat="false" ht="15" hidden="false" customHeight="false" outlineLevel="0" collapsed="false">
      <c r="A76" s="10" t="s">
        <v>442</v>
      </c>
      <c r="B76" s="10" t="s">
        <v>740</v>
      </c>
      <c r="C76" s="10" t="s">
        <v>437</v>
      </c>
      <c r="D76" s="15" t="n">
        <f aca="false">SUMIFS(Test_Times!$AH$5:$AH$863,Test_Times!$A$5:$A$863,A76,Test_Times!$G$5:$G$863,"HPLC")</f>
        <v>0</v>
      </c>
      <c r="E76" s="15" t="n">
        <f aca="false">SUMIF(Test_Times!$A$5:$A$863,A76,Test_Times!$AH$5:$AH$863)</f>
        <v>0</v>
      </c>
      <c r="F76" s="15" t="n">
        <f aca="false">SUMIF(Test_Times!$A$5:$A$863,A76,Test_Times!$AG$5:$AG$863)</f>
        <v>0</v>
      </c>
      <c r="G76" s="15" t="n">
        <f aca="false">SUMIF(Test_Times!$A$5:$A$863,A76,Test_Times!$AI$5:$AI$863)</f>
        <v>0</v>
      </c>
      <c r="H76" s="15" t="n">
        <f aca="false">SUMIFS(Test_Times!$AL$5:$AL$863,Test_Times!$A$5:$A$863,A76,Test_Times!$G$5:$G$863,"HPLC")</f>
        <v>0</v>
      </c>
      <c r="I76" s="30" t="n">
        <f aca="false">IFERROR(D76/SUM($D$5:$D$248),0)</f>
        <v>0</v>
      </c>
      <c r="J76" s="31" t="n">
        <f aca="false">D76+ROW()/10000000</f>
        <v>7.6E-006</v>
      </c>
    </row>
    <row r="77" customFormat="false" ht="15" hidden="false" customHeight="false" outlineLevel="0" collapsed="false">
      <c r="A77" s="10" t="s">
        <v>443</v>
      </c>
      <c r="B77" s="10" t="s">
        <v>740</v>
      </c>
      <c r="C77" s="10" t="s">
        <v>437</v>
      </c>
      <c r="D77" s="15" t="n">
        <f aca="false">SUMIFS(Test_Times!$AH$5:$AH$863,Test_Times!$A$5:$A$863,A77,Test_Times!$G$5:$G$863,"HPLC")</f>
        <v>0</v>
      </c>
      <c r="E77" s="15" t="n">
        <f aca="false">SUMIF(Test_Times!$A$5:$A$863,A77,Test_Times!$AH$5:$AH$863)</f>
        <v>0</v>
      </c>
      <c r="F77" s="15" t="n">
        <f aca="false">SUMIF(Test_Times!$A$5:$A$863,A77,Test_Times!$AG$5:$AG$863)</f>
        <v>0</v>
      </c>
      <c r="G77" s="15" t="n">
        <f aca="false">SUMIF(Test_Times!$A$5:$A$863,A77,Test_Times!$AI$5:$AI$863)</f>
        <v>0</v>
      </c>
      <c r="H77" s="15" t="n">
        <f aca="false">SUMIFS(Test_Times!$AL$5:$AL$863,Test_Times!$A$5:$A$863,A77,Test_Times!$G$5:$G$863,"HPLC")</f>
        <v>0</v>
      </c>
      <c r="I77" s="30" t="n">
        <f aca="false">IFERROR(D77/SUM($D$5:$D$248),0)</f>
        <v>0</v>
      </c>
      <c r="J77" s="31" t="n">
        <f aca="false">D77+ROW()/10000000</f>
        <v>7.7E-006</v>
      </c>
    </row>
    <row r="78" customFormat="false" ht="15" hidden="false" customHeight="false" outlineLevel="0" collapsed="false">
      <c r="A78" s="10" t="s">
        <v>237</v>
      </c>
      <c r="B78" s="10" t="s">
        <v>740</v>
      </c>
      <c r="C78" s="10" t="s">
        <v>437</v>
      </c>
      <c r="D78" s="15" t="n">
        <f aca="false">SUMIFS(Test_Times!$AH$5:$AH$863,Test_Times!$A$5:$A$863,A78,Test_Times!$G$5:$G$863,"HPLC")</f>
        <v>0</v>
      </c>
      <c r="E78" s="15" t="n">
        <f aca="false">SUMIF(Test_Times!$A$5:$A$863,A78,Test_Times!$AH$5:$AH$863)</f>
        <v>0</v>
      </c>
      <c r="F78" s="15" t="n">
        <f aca="false">SUMIF(Test_Times!$A$5:$A$863,A78,Test_Times!$AG$5:$AG$863)</f>
        <v>0</v>
      </c>
      <c r="G78" s="15" t="n">
        <f aca="false">SUMIF(Test_Times!$A$5:$A$863,A78,Test_Times!$AI$5:$AI$863)</f>
        <v>0</v>
      </c>
      <c r="H78" s="15" t="n">
        <f aca="false">SUMIFS(Test_Times!$AL$5:$AL$863,Test_Times!$A$5:$A$863,A78,Test_Times!$G$5:$G$863,"HPLC")</f>
        <v>0</v>
      </c>
      <c r="I78" s="30" t="n">
        <f aca="false">IFERROR(D78/SUM($D$5:$D$248),0)</f>
        <v>0</v>
      </c>
      <c r="J78" s="31" t="n">
        <f aca="false">D78+ROW()/10000000</f>
        <v>7.8E-006</v>
      </c>
    </row>
    <row r="79" customFormat="false" ht="15" hidden="false" customHeight="false" outlineLevel="0" collapsed="false">
      <c r="A79" s="10" t="s">
        <v>444</v>
      </c>
      <c r="B79" s="10" t="s">
        <v>740</v>
      </c>
      <c r="C79" s="10" t="s">
        <v>437</v>
      </c>
      <c r="D79" s="15" t="n">
        <f aca="false">SUMIFS(Test_Times!$AH$5:$AH$863,Test_Times!$A$5:$A$863,A79,Test_Times!$G$5:$G$863,"HPLC")</f>
        <v>0</v>
      </c>
      <c r="E79" s="15" t="n">
        <f aca="false">SUMIF(Test_Times!$A$5:$A$863,A79,Test_Times!$AH$5:$AH$863)</f>
        <v>0</v>
      </c>
      <c r="F79" s="15" t="n">
        <f aca="false">SUMIF(Test_Times!$A$5:$A$863,A79,Test_Times!$AG$5:$AG$863)</f>
        <v>0</v>
      </c>
      <c r="G79" s="15" t="n">
        <f aca="false">SUMIF(Test_Times!$A$5:$A$863,A79,Test_Times!$AI$5:$AI$863)</f>
        <v>0</v>
      </c>
      <c r="H79" s="15" t="n">
        <f aca="false">SUMIFS(Test_Times!$AL$5:$AL$863,Test_Times!$A$5:$A$863,A79,Test_Times!$G$5:$G$863,"HPLC")</f>
        <v>0</v>
      </c>
      <c r="I79" s="30" t="n">
        <f aca="false">IFERROR(D79/SUM($D$5:$D$248),0)</f>
        <v>0</v>
      </c>
      <c r="J79" s="31" t="n">
        <f aca="false">D79+ROW()/10000000</f>
        <v>7.9E-006</v>
      </c>
    </row>
    <row r="80" customFormat="false" ht="15" hidden="false" customHeight="false" outlineLevel="0" collapsed="false">
      <c r="A80" s="10" t="s">
        <v>445</v>
      </c>
      <c r="B80" s="10" t="s">
        <v>740</v>
      </c>
      <c r="C80" s="10" t="s">
        <v>437</v>
      </c>
      <c r="D80" s="15" t="n">
        <f aca="false">SUMIFS(Test_Times!$AH$5:$AH$863,Test_Times!$A$5:$A$863,A80,Test_Times!$G$5:$G$863,"HPLC")</f>
        <v>0</v>
      </c>
      <c r="E80" s="15" t="n">
        <f aca="false">SUMIF(Test_Times!$A$5:$A$863,A80,Test_Times!$AH$5:$AH$863)</f>
        <v>0</v>
      </c>
      <c r="F80" s="15" t="n">
        <f aca="false">SUMIF(Test_Times!$A$5:$A$863,A80,Test_Times!$AG$5:$AG$863)</f>
        <v>0</v>
      </c>
      <c r="G80" s="15" t="n">
        <f aca="false">SUMIF(Test_Times!$A$5:$A$863,A80,Test_Times!$AI$5:$AI$863)</f>
        <v>0</v>
      </c>
      <c r="H80" s="15" t="n">
        <f aca="false">SUMIFS(Test_Times!$AL$5:$AL$863,Test_Times!$A$5:$A$863,A80,Test_Times!$G$5:$G$863,"HPLC")</f>
        <v>0</v>
      </c>
      <c r="I80" s="30" t="n">
        <f aca="false">IFERROR(D80/SUM($D$5:$D$248),0)</f>
        <v>0</v>
      </c>
      <c r="J80" s="31" t="n">
        <f aca="false">D80+ROW()/10000000</f>
        <v>8E-006</v>
      </c>
    </row>
    <row r="81" customFormat="false" ht="15" hidden="false" customHeight="false" outlineLevel="0" collapsed="false">
      <c r="A81" s="10" t="s">
        <v>446</v>
      </c>
      <c r="B81" s="10" t="s">
        <v>740</v>
      </c>
      <c r="C81" s="10" t="s">
        <v>437</v>
      </c>
      <c r="D81" s="15" t="n">
        <f aca="false">SUMIFS(Test_Times!$AH$5:$AH$863,Test_Times!$A$5:$A$863,A81,Test_Times!$G$5:$G$863,"HPLC")</f>
        <v>0</v>
      </c>
      <c r="E81" s="15" t="n">
        <f aca="false">SUMIF(Test_Times!$A$5:$A$863,A81,Test_Times!$AH$5:$AH$863)</f>
        <v>0</v>
      </c>
      <c r="F81" s="15" t="n">
        <f aca="false">SUMIF(Test_Times!$A$5:$A$863,A81,Test_Times!$AG$5:$AG$863)</f>
        <v>0</v>
      </c>
      <c r="G81" s="15" t="n">
        <f aca="false">SUMIF(Test_Times!$A$5:$A$863,A81,Test_Times!$AI$5:$AI$863)</f>
        <v>0</v>
      </c>
      <c r="H81" s="15" t="n">
        <f aca="false">SUMIFS(Test_Times!$AL$5:$AL$863,Test_Times!$A$5:$A$863,A81,Test_Times!$G$5:$G$863,"HPLC")</f>
        <v>0</v>
      </c>
      <c r="I81" s="30" t="n">
        <f aca="false">IFERROR(D81/SUM($D$5:$D$248),0)</f>
        <v>0</v>
      </c>
      <c r="J81" s="31" t="n">
        <f aca="false">D81+ROW()/10000000</f>
        <v>8.1E-006</v>
      </c>
    </row>
    <row r="82" customFormat="false" ht="15" hidden="false" customHeight="false" outlineLevel="0" collapsed="false">
      <c r="A82" s="10" t="s">
        <v>447</v>
      </c>
      <c r="B82" s="10" t="s">
        <v>740</v>
      </c>
      <c r="C82" s="10" t="s">
        <v>437</v>
      </c>
      <c r="D82" s="15" t="n">
        <f aca="false">SUMIFS(Test_Times!$AH$5:$AH$863,Test_Times!$A$5:$A$863,A82,Test_Times!$G$5:$G$863,"HPLC")</f>
        <v>0</v>
      </c>
      <c r="E82" s="15" t="n">
        <f aca="false">SUMIF(Test_Times!$A$5:$A$863,A82,Test_Times!$AH$5:$AH$863)</f>
        <v>0</v>
      </c>
      <c r="F82" s="15" t="n">
        <f aca="false">SUMIF(Test_Times!$A$5:$A$863,A82,Test_Times!$AG$5:$AG$863)</f>
        <v>0</v>
      </c>
      <c r="G82" s="15" t="n">
        <f aca="false">SUMIF(Test_Times!$A$5:$A$863,A82,Test_Times!$AI$5:$AI$863)</f>
        <v>0</v>
      </c>
      <c r="H82" s="15" t="n">
        <f aca="false">SUMIFS(Test_Times!$AL$5:$AL$863,Test_Times!$A$5:$A$863,A82,Test_Times!$G$5:$G$863,"HPLC")</f>
        <v>0</v>
      </c>
      <c r="I82" s="30" t="n">
        <f aca="false">IFERROR(D82/SUM($D$5:$D$248),0)</f>
        <v>0</v>
      </c>
      <c r="J82" s="31" t="n">
        <f aca="false">D82+ROW()/10000000</f>
        <v>8.2E-006</v>
      </c>
    </row>
    <row r="83" customFormat="false" ht="15" hidden="false" customHeight="false" outlineLevel="0" collapsed="false">
      <c r="A83" s="10" t="s">
        <v>448</v>
      </c>
      <c r="B83" s="10" t="s">
        <v>740</v>
      </c>
      <c r="C83" s="10" t="s">
        <v>437</v>
      </c>
      <c r="D83" s="15" t="n">
        <f aca="false">SUMIFS(Test_Times!$AH$5:$AH$863,Test_Times!$A$5:$A$863,A83,Test_Times!$G$5:$G$863,"HPLC")</f>
        <v>0</v>
      </c>
      <c r="E83" s="15" t="n">
        <f aca="false">SUMIF(Test_Times!$A$5:$A$863,A83,Test_Times!$AH$5:$AH$863)</f>
        <v>0</v>
      </c>
      <c r="F83" s="15" t="n">
        <f aca="false">SUMIF(Test_Times!$A$5:$A$863,A83,Test_Times!$AG$5:$AG$863)</f>
        <v>0</v>
      </c>
      <c r="G83" s="15" t="n">
        <f aca="false">SUMIF(Test_Times!$A$5:$A$863,A83,Test_Times!$AI$5:$AI$863)</f>
        <v>0</v>
      </c>
      <c r="H83" s="15" t="n">
        <f aca="false">SUMIFS(Test_Times!$AL$5:$AL$863,Test_Times!$A$5:$A$863,A83,Test_Times!$G$5:$G$863,"HPLC")</f>
        <v>0</v>
      </c>
      <c r="I83" s="30" t="n">
        <f aca="false">IFERROR(D83/SUM($D$5:$D$248),0)</f>
        <v>0</v>
      </c>
      <c r="J83" s="31" t="n">
        <f aca="false">D83+ROW()/10000000</f>
        <v>8.3E-006</v>
      </c>
    </row>
    <row r="84" customFormat="false" ht="15" hidden="false" customHeight="false" outlineLevel="0" collapsed="false">
      <c r="A84" s="10" t="s">
        <v>449</v>
      </c>
      <c r="B84" s="10" t="s">
        <v>740</v>
      </c>
      <c r="C84" s="10" t="s">
        <v>437</v>
      </c>
      <c r="D84" s="15" t="n">
        <f aca="false">SUMIFS(Test_Times!$AH$5:$AH$863,Test_Times!$A$5:$A$863,A84,Test_Times!$G$5:$G$863,"HPLC")</f>
        <v>0</v>
      </c>
      <c r="E84" s="15" t="n">
        <f aca="false">SUMIF(Test_Times!$A$5:$A$863,A84,Test_Times!$AH$5:$AH$863)</f>
        <v>0</v>
      </c>
      <c r="F84" s="15" t="n">
        <f aca="false">SUMIF(Test_Times!$A$5:$A$863,A84,Test_Times!$AG$5:$AG$863)</f>
        <v>0</v>
      </c>
      <c r="G84" s="15" t="n">
        <f aca="false">SUMIF(Test_Times!$A$5:$A$863,A84,Test_Times!$AI$5:$AI$863)</f>
        <v>0</v>
      </c>
      <c r="H84" s="15" t="n">
        <f aca="false">SUMIFS(Test_Times!$AL$5:$AL$863,Test_Times!$A$5:$A$863,A84,Test_Times!$G$5:$G$863,"HPLC")</f>
        <v>0</v>
      </c>
      <c r="I84" s="30" t="n">
        <f aca="false">IFERROR(D84/SUM($D$5:$D$248),0)</f>
        <v>0</v>
      </c>
      <c r="J84" s="31" t="n">
        <f aca="false">D84+ROW()/10000000</f>
        <v>8.4E-006</v>
      </c>
    </row>
    <row r="85" customFormat="false" ht="15" hidden="false" customHeight="false" outlineLevel="0" collapsed="false">
      <c r="A85" s="10" t="s">
        <v>450</v>
      </c>
      <c r="B85" s="10" t="s">
        <v>740</v>
      </c>
      <c r="C85" s="10" t="s">
        <v>437</v>
      </c>
      <c r="D85" s="15" t="n">
        <f aca="false">SUMIFS(Test_Times!$AH$5:$AH$863,Test_Times!$A$5:$A$863,A85,Test_Times!$G$5:$G$863,"HPLC")</f>
        <v>0</v>
      </c>
      <c r="E85" s="15" t="n">
        <f aca="false">SUMIF(Test_Times!$A$5:$A$863,A85,Test_Times!$AH$5:$AH$863)</f>
        <v>0</v>
      </c>
      <c r="F85" s="15" t="n">
        <f aca="false">SUMIF(Test_Times!$A$5:$A$863,A85,Test_Times!$AG$5:$AG$863)</f>
        <v>0</v>
      </c>
      <c r="G85" s="15" t="n">
        <f aca="false">SUMIF(Test_Times!$A$5:$A$863,A85,Test_Times!$AI$5:$AI$863)</f>
        <v>0</v>
      </c>
      <c r="H85" s="15" t="n">
        <f aca="false">SUMIFS(Test_Times!$AL$5:$AL$863,Test_Times!$A$5:$A$863,A85,Test_Times!$G$5:$G$863,"HPLC")</f>
        <v>0</v>
      </c>
      <c r="I85" s="30" t="n">
        <f aca="false">IFERROR(D85/SUM($D$5:$D$248),0)</f>
        <v>0</v>
      </c>
      <c r="J85" s="31" t="n">
        <f aca="false">D85+ROW()/10000000</f>
        <v>8.5E-006</v>
      </c>
    </row>
    <row r="86" customFormat="false" ht="15" hidden="false" customHeight="false" outlineLevel="0" collapsed="false">
      <c r="A86" s="10" t="s">
        <v>451</v>
      </c>
      <c r="B86" s="10" t="s">
        <v>740</v>
      </c>
      <c r="C86" s="10" t="s">
        <v>437</v>
      </c>
      <c r="D86" s="15" t="n">
        <f aca="false">SUMIFS(Test_Times!$AH$5:$AH$863,Test_Times!$A$5:$A$863,A86,Test_Times!$G$5:$G$863,"HPLC")</f>
        <v>0</v>
      </c>
      <c r="E86" s="15" t="n">
        <f aca="false">SUMIF(Test_Times!$A$5:$A$863,A86,Test_Times!$AH$5:$AH$863)</f>
        <v>0</v>
      </c>
      <c r="F86" s="15" t="n">
        <f aca="false">SUMIF(Test_Times!$A$5:$A$863,A86,Test_Times!$AG$5:$AG$863)</f>
        <v>0</v>
      </c>
      <c r="G86" s="15" t="n">
        <f aca="false">SUMIF(Test_Times!$A$5:$A$863,A86,Test_Times!$AI$5:$AI$863)</f>
        <v>0</v>
      </c>
      <c r="H86" s="15" t="n">
        <f aca="false">SUMIFS(Test_Times!$AL$5:$AL$863,Test_Times!$A$5:$A$863,A86,Test_Times!$G$5:$G$863,"HPLC")</f>
        <v>0</v>
      </c>
      <c r="I86" s="30" t="n">
        <f aca="false">IFERROR(D86/SUM($D$5:$D$248),0)</f>
        <v>0</v>
      </c>
      <c r="J86" s="31" t="n">
        <f aca="false">D86+ROW()/10000000</f>
        <v>8.6E-006</v>
      </c>
    </row>
    <row r="87" customFormat="false" ht="15" hidden="false" customHeight="false" outlineLevel="0" collapsed="false">
      <c r="A87" s="10" t="s">
        <v>452</v>
      </c>
      <c r="B87" s="10" t="s">
        <v>740</v>
      </c>
      <c r="C87" s="10" t="s">
        <v>437</v>
      </c>
      <c r="D87" s="15" t="n">
        <f aca="false">SUMIFS(Test_Times!$AH$5:$AH$863,Test_Times!$A$5:$A$863,A87,Test_Times!$G$5:$G$863,"HPLC")</f>
        <v>0</v>
      </c>
      <c r="E87" s="15" t="n">
        <f aca="false">SUMIF(Test_Times!$A$5:$A$863,A87,Test_Times!$AH$5:$AH$863)</f>
        <v>0</v>
      </c>
      <c r="F87" s="15" t="n">
        <f aca="false">SUMIF(Test_Times!$A$5:$A$863,A87,Test_Times!$AG$5:$AG$863)</f>
        <v>0</v>
      </c>
      <c r="G87" s="15" t="n">
        <f aca="false">SUMIF(Test_Times!$A$5:$A$863,A87,Test_Times!$AI$5:$AI$863)</f>
        <v>0</v>
      </c>
      <c r="H87" s="15" t="n">
        <f aca="false">SUMIFS(Test_Times!$AL$5:$AL$863,Test_Times!$A$5:$A$863,A87,Test_Times!$G$5:$G$863,"HPLC")</f>
        <v>0</v>
      </c>
      <c r="I87" s="30" t="n">
        <f aca="false">IFERROR(D87/SUM($D$5:$D$248),0)</f>
        <v>0</v>
      </c>
      <c r="J87" s="31" t="n">
        <f aca="false">D87+ROW()/10000000</f>
        <v>8.7E-006</v>
      </c>
    </row>
    <row r="88" customFormat="false" ht="15" hidden="false" customHeight="false" outlineLevel="0" collapsed="false">
      <c r="A88" s="10" t="s">
        <v>317</v>
      </c>
      <c r="B88" s="10" t="s">
        <v>740</v>
      </c>
      <c r="C88" s="10" t="s">
        <v>437</v>
      </c>
      <c r="D88" s="15" t="n">
        <f aca="false">SUMIFS(Test_Times!$AH$5:$AH$863,Test_Times!$A$5:$A$863,A88,Test_Times!$G$5:$G$863,"HPLC")</f>
        <v>0</v>
      </c>
      <c r="E88" s="15" t="n">
        <f aca="false">SUMIF(Test_Times!$A$5:$A$863,A88,Test_Times!$AH$5:$AH$863)</f>
        <v>0</v>
      </c>
      <c r="F88" s="15" t="n">
        <f aca="false">SUMIF(Test_Times!$A$5:$A$863,A88,Test_Times!$AG$5:$AG$863)</f>
        <v>0</v>
      </c>
      <c r="G88" s="15" t="n">
        <f aca="false">SUMIF(Test_Times!$A$5:$A$863,A88,Test_Times!$AI$5:$AI$863)</f>
        <v>0</v>
      </c>
      <c r="H88" s="15" t="n">
        <f aca="false">SUMIFS(Test_Times!$AL$5:$AL$863,Test_Times!$A$5:$A$863,A88,Test_Times!$G$5:$G$863,"HPLC")</f>
        <v>0</v>
      </c>
      <c r="I88" s="30" t="n">
        <f aca="false">IFERROR(D88/SUM($D$5:$D$248),0)</f>
        <v>0</v>
      </c>
      <c r="J88" s="31" t="n">
        <f aca="false">D88+ROW()/10000000</f>
        <v>8.8E-006</v>
      </c>
    </row>
    <row r="89" customFormat="false" ht="15" hidden="false" customHeight="false" outlineLevel="0" collapsed="false">
      <c r="A89" s="10" t="s">
        <v>453</v>
      </c>
      <c r="B89" s="10" t="s">
        <v>740</v>
      </c>
      <c r="C89" s="10" t="s">
        <v>437</v>
      </c>
      <c r="D89" s="15" t="n">
        <f aca="false">SUMIFS(Test_Times!$AH$5:$AH$863,Test_Times!$A$5:$A$863,A89,Test_Times!$G$5:$G$863,"HPLC")</f>
        <v>0</v>
      </c>
      <c r="E89" s="15" t="n">
        <f aca="false">SUMIF(Test_Times!$A$5:$A$863,A89,Test_Times!$AH$5:$AH$863)</f>
        <v>0</v>
      </c>
      <c r="F89" s="15" t="n">
        <f aca="false">SUMIF(Test_Times!$A$5:$A$863,A89,Test_Times!$AG$5:$AG$863)</f>
        <v>0</v>
      </c>
      <c r="G89" s="15" t="n">
        <f aca="false">SUMIF(Test_Times!$A$5:$A$863,A89,Test_Times!$AI$5:$AI$863)</f>
        <v>0</v>
      </c>
      <c r="H89" s="15" t="n">
        <f aca="false">SUMIFS(Test_Times!$AL$5:$AL$863,Test_Times!$A$5:$A$863,A89,Test_Times!$G$5:$G$863,"HPLC")</f>
        <v>0</v>
      </c>
      <c r="I89" s="30" t="n">
        <f aca="false">IFERROR(D89/SUM($D$5:$D$248),0)</f>
        <v>0</v>
      </c>
      <c r="J89" s="31" t="n">
        <f aca="false">D89+ROW()/10000000</f>
        <v>8.9E-006</v>
      </c>
    </row>
    <row r="90" customFormat="false" ht="15" hidden="false" customHeight="false" outlineLevel="0" collapsed="false">
      <c r="A90" s="10" t="s">
        <v>454</v>
      </c>
      <c r="B90" s="10" t="s">
        <v>740</v>
      </c>
      <c r="C90" s="10" t="s">
        <v>437</v>
      </c>
      <c r="D90" s="15" t="n">
        <f aca="false">SUMIFS(Test_Times!$AH$5:$AH$863,Test_Times!$A$5:$A$863,A90,Test_Times!$G$5:$G$863,"HPLC")</f>
        <v>0</v>
      </c>
      <c r="E90" s="15" t="n">
        <f aca="false">SUMIF(Test_Times!$A$5:$A$863,A90,Test_Times!$AH$5:$AH$863)</f>
        <v>0</v>
      </c>
      <c r="F90" s="15" t="n">
        <f aca="false">SUMIF(Test_Times!$A$5:$A$863,A90,Test_Times!$AG$5:$AG$863)</f>
        <v>0</v>
      </c>
      <c r="G90" s="15" t="n">
        <f aca="false">SUMIF(Test_Times!$A$5:$A$863,A90,Test_Times!$AI$5:$AI$863)</f>
        <v>0</v>
      </c>
      <c r="H90" s="15" t="n">
        <f aca="false">SUMIFS(Test_Times!$AL$5:$AL$863,Test_Times!$A$5:$A$863,A90,Test_Times!$G$5:$G$863,"HPLC")</f>
        <v>0</v>
      </c>
      <c r="I90" s="30" t="n">
        <f aca="false">IFERROR(D90/SUM($D$5:$D$248),0)</f>
        <v>0</v>
      </c>
      <c r="J90" s="31" t="n">
        <f aca="false">D90+ROW()/10000000</f>
        <v>9E-006</v>
      </c>
    </row>
    <row r="91" customFormat="false" ht="15" hidden="false" customHeight="false" outlineLevel="0" collapsed="false">
      <c r="A91" s="10" t="s">
        <v>455</v>
      </c>
      <c r="B91" s="10" t="s">
        <v>740</v>
      </c>
      <c r="C91" s="10" t="s">
        <v>437</v>
      </c>
      <c r="D91" s="15" t="n">
        <f aca="false">SUMIFS(Test_Times!$AH$5:$AH$863,Test_Times!$A$5:$A$863,A91,Test_Times!$G$5:$G$863,"HPLC")</f>
        <v>0</v>
      </c>
      <c r="E91" s="15" t="n">
        <f aca="false">SUMIF(Test_Times!$A$5:$A$863,A91,Test_Times!$AH$5:$AH$863)</f>
        <v>0</v>
      </c>
      <c r="F91" s="15" t="n">
        <f aca="false">SUMIF(Test_Times!$A$5:$A$863,A91,Test_Times!$AG$5:$AG$863)</f>
        <v>0</v>
      </c>
      <c r="G91" s="15" t="n">
        <f aca="false">SUMIF(Test_Times!$A$5:$A$863,A91,Test_Times!$AI$5:$AI$863)</f>
        <v>0</v>
      </c>
      <c r="H91" s="15" t="n">
        <f aca="false">SUMIFS(Test_Times!$AL$5:$AL$863,Test_Times!$A$5:$A$863,A91,Test_Times!$G$5:$G$863,"HPLC")</f>
        <v>0</v>
      </c>
      <c r="I91" s="30" t="n">
        <f aca="false">IFERROR(D91/SUM($D$5:$D$248),0)</f>
        <v>0</v>
      </c>
      <c r="J91" s="31" t="n">
        <f aca="false">D91+ROW()/10000000</f>
        <v>9.1E-006</v>
      </c>
    </row>
    <row r="92" customFormat="false" ht="15" hidden="false" customHeight="false" outlineLevel="0" collapsed="false">
      <c r="A92" s="10" t="s">
        <v>337</v>
      </c>
      <c r="B92" s="10" t="s">
        <v>740</v>
      </c>
      <c r="C92" s="10" t="s">
        <v>437</v>
      </c>
      <c r="D92" s="15" t="n">
        <f aca="false">SUMIFS(Test_Times!$AH$5:$AH$863,Test_Times!$A$5:$A$863,A92,Test_Times!$G$5:$G$863,"HPLC")</f>
        <v>0</v>
      </c>
      <c r="E92" s="15" t="n">
        <f aca="false">SUMIF(Test_Times!$A$5:$A$863,A92,Test_Times!$AH$5:$AH$863)</f>
        <v>0</v>
      </c>
      <c r="F92" s="15" t="n">
        <f aca="false">SUMIF(Test_Times!$A$5:$A$863,A92,Test_Times!$AG$5:$AG$863)</f>
        <v>0</v>
      </c>
      <c r="G92" s="15" t="n">
        <f aca="false">SUMIF(Test_Times!$A$5:$A$863,A92,Test_Times!$AI$5:$AI$863)</f>
        <v>0</v>
      </c>
      <c r="H92" s="15" t="n">
        <f aca="false">SUMIFS(Test_Times!$AL$5:$AL$863,Test_Times!$A$5:$A$863,A92,Test_Times!$G$5:$G$863,"HPLC")</f>
        <v>0</v>
      </c>
      <c r="I92" s="30" t="n">
        <f aca="false">IFERROR(D92/SUM($D$5:$D$248),0)</f>
        <v>0</v>
      </c>
      <c r="J92" s="31" t="n">
        <f aca="false">D92+ROW()/10000000</f>
        <v>9.2E-006</v>
      </c>
    </row>
    <row r="93" customFormat="false" ht="15" hidden="false" customHeight="false" outlineLevel="0" collapsed="false">
      <c r="A93" s="10" t="s">
        <v>456</v>
      </c>
      <c r="B93" s="10" t="s">
        <v>740</v>
      </c>
      <c r="C93" s="10" t="s">
        <v>437</v>
      </c>
      <c r="D93" s="15" t="n">
        <f aca="false">SUMIFS(Test_Times!$AH$5:$AH$863,Test_Times!$A$5:$A$863,A93,Test_Times!$G$5:$G$863,"HPLC")</f>
        <v>0</v>
      </c>
      <c r="E93" s="15" t="n">
        <f aca="false">SUMIF(Test_Times!$A$5:$A$863,A93,Test_Times!$AH$5:$AH$863)</f>
        <v>0</v>
      </c>
      <c r="F93" s="15" t="n">
        <f aca="false">SUMIF(Test_Times!$A$5:$A$863,A93,Test_Times!$AG$5:$AG$863)</f>
        <v>0</v>
      </c>
      <c r="G93" s="15" t="n">
        <f aca="false">SUMIF(Test_Times!$A$5:$A$863,A93,Test_Times!$AI$5:$AI$863)</f>
        <v>0</v>
      </c>
      <c r="H93" s="15" t="n">
        <f aca="false">SUMIFS(Test_Times!$AL$5:$AL$863,Test_Times!$A$5:$A$863,A93,Test_Times!$G$5:$G$863,"HPLC")</f>
        <v>0</v>
      </c>
      <c r="I93" s="30" t="n">
        <f aca="false">IFERROR(D93/SUM($D$5:$D$248),0)</f>
        <v>0</v>
      </c>
      <c r="J93" s="31" t="n">
        <f aca="false">D93+ROW()/10000000</f>
        <v>9.3E-006</v>
      </c>
    </row>
    <row r="94" customFormat="false" ht="15" hidden="false" customHeight="false" outlineLevel="0" collapsed="false">
      <c r="A94" s="10" t="s">
        <v>261</v>
      </c>
      <c r="B94" s="10" t="s">
        <v>740</v>
      </c>
      <c r="C94" s="10" t="s">
        <v>437</v>
      </c>
      <c r="D94" s="15" t="n">
        <f aca="false">SUMIFS(Test_Times!$AH$5:$AH$863,Test_Times!$A$5:$A$863,A94,Test_Times!$G$5:$G$863,"HPLC")</f>
        <v>0</v>
      </c>
      <c r="E94" s="15" t="n">
        <f aca="false">SUMIF(Test_Times!$A$5:$A$863,A94,Test_Times!$AH$5:$AH$863)</f>
        <v>0</v>
      </c>
      <c r="F94" s="15" t="n">
        <f aca="false">SUMIF(Test_Times!$A$5:$A$863,A94,Test_Times!$AG$5:$AG$863)</f>
        <v>0</v>
      </c>
      <c r="G94" s="15" t="n">
        <f aca="false">SUMIF(Test_Times!$A$5:$A$863,A94,Test_Times!$AI$5:$AI$863)</f>
        <v>0</v>
      </c>
      <c r="H94" s="15" t="n">
        <f aca="false">SUMIFS(Test_Times!$AL$5:$AL$863,Test_Times!$A$5:$A$863,A94,Test_Times!$G$5:$G$863,"HPLC")</f>
        <v>0</v>
      </c>
      <c r="I94" s="30" t="n">
        <f aca="false">IFERROR(D94/SUM($D$5:$D$248),0)</f>
        <v>0</v>
      </c>
      <c r="J94" s="31" t="n">
        <f aca="false">D94+ROW()/10000000</f>
        <v>9.4E-006</v>
      </c>
    </row>
    <row r="95" customFormat="false" ht="15" hidden="false" customHeight="false" outlineLevel="0" collapsed="false">
      <c r="A95" s="10" t="s">
        <v>457</v>
      </c>
      <c r="B95" s="10" t="s">
        <v>740</v>
      </c>
      <c r="C95" s="10" t="s">
        <v>437</v>
      </c>
      <c r="D95" s="15" t="n">
        <f aca="false">SUMIFS(Test_Times!$AH$5:$AH$863,Test_Times!$A$5:$A$863,A95,Test_Times!$G$5:$G$863,"HPLC")</f>
        <v>0</v>
      </c>
      <c r="E95" s="15" t="n">
        <f aca="false">SUMIF(Test_Times!$A$5:$A$863,A95,Test_Times!$AH$5:$AH$863)</f>
        <v>0</v>
      </c>
      <c r="F95" s="15" t="n">
        <f aca="false">SUMIF(Test_Times!$A$5:$A$863,A95,Test_Times!$AG$5:$AG$863)</f>
        <v>0</v>
      </c>
      <c r="G95" s="15" t="n">
        <f aca="false">SUMIF(Test_Times!$A$5:$A$863,A95,Test_Times!$AI$5:$AI$863)</f>
        <v>0</v>
      </c>
      <c r="H95" s="15" t="n">
        <f aca="false">SUMIFS(Test_Times!$AL$5:$AL$863,Test_Times!$A$5:$A$863,A95,Test_Times!$G$5:$G$863,"HPLC")</f>
        <v>0</v>
      </c>
      <c r="I95" s="30" t="n">
        <f aca="false">IFERROR(D95/SUM($D$5:$D$248),0)</f>
        <v>0</v>
      </c>
      <c r="J95" s="31" t="n">
        <f aca="false">D95+ROW()/10000000</f>
        <v>9.5E-006</v>
      </c>
    </row>
    <row r="96" customFormat="false" ht="15" hidden="false" customHeight="false" outlineLevel="0" collapsed="false">
      <c r="A96" s="10" t="s">
        <v>225</v>
      </c>
      <c r="B96" s="10" t="s">
        <v>740</v>
      </c>
      <c r="C96" s="10" t="s">
        <v>437</v>
      </c>
      <c r="D96" s="15" t="n">
        <f aca="false">SUMIFS(Test_Times!$AH$5:$AH$863,Test_Times!$A$5:$A$863,A96,Test_Times!$G$5:$G$863,"HPLC")</f>
        <v>0</v>
      </c>
      <c r="E96" s="15" t="n">
        <f aca="false">SUMIF(Test_Times!$A$5:$A$863,A96,Test_Times!$AH$5:$AH$863)</f>
        <v>0</v>
      </c>
      <c r="F96" s="15" t="n">
        <f aca="false">SUMIF(Test_Times!$A$5:$A$863,A96,Test_Times!$AG$5:$AG$863)</f>
        <v>0</v>
      </c>
      <c r="G96" s="15" t="n">
        <f aca="false">SUMIF(Test_Times!$A$5:$A$863,A96,Test_Times!$AI$5:$AI$863)</f>
        <v>0</v>
      </c>
      <c r="H96" s="15" t="n">
        <f aca="false">SUMIFS(Test_Times!$AL$5:$AL$863,Test_Times!$A$5:$A$863,A96,Test_Times!$G$5:$G$863,"HPLC")</f>
        <v>0</v>
      </c>
      <c r="I96" s="30" t="n">
        <f aca="false">IFERROR(D96/SUM($D$5:$D$248),0)</f>
        <v>0</v>
      </c>
      <c r="J96" s="31" t="n">
        <f aca="false">D96+ROW()/10000000</f>
        <v>9.6E-006</v>
      </c>
    </row>
    <row r="97" customFormat="false" ht="15" hidden="false" customHeight="false" outlineLevel="0" collapsed="false">
      <c r="A97" s="10" t="s">
        <v>458</v>
      </c>
      <c r="B97" s="10" t="s">
        <v>740</v>
      </c>
      <c r="C97" s="10" t="s">
        <v>437</v>
      </c>
      <c r="D97" s="15" t="n">
        <f aca="false">SUMIFS(Test_Times!$AH$5:$AH$863,Test_Times!$A$5:$A$863,A97,Test_Times!$G$5:$G$863,"HPLC")</f>
        <v>0</v>
      </c>
      <c r="E97" s="15" t="n">
        <f aca="false">SUMIF(Test_Times!$A$5:$A$863,A97,Test_Times!$AH$5:$AH$863)</f>
        <v>0</v>
      </c>
      <c r="F97" s="15" t="n">
        <f aca="false">SUMIF(Test_Times!$A$5:$A$863,A97,Test_Times!$AG$5:$AG$863)</f>
        <v>0</v>
      </c>
      <c r="G97" s="15" t="n">
        <f aca="false">SUMIF(Test_Times!$A$5:$A$863,A97,Test_Times!$AI$5:$AI$863)</f>
        <v>0</v>
      </c>
      <c r="H97" s="15" t="n">
        <f aca="false">SUMIFS(Test_Times!$AL$5:$AL$863,Test_Times!$A$5:$A$863,A97,Test_Times!$G$5:$G$863,"HPLC")</f>
        <v>0</v>
      </c>
      <c r="I97" s="30" t="n">
        <f aca="false">IFERROR(D97/SUM($D$5:$D$248),0)</f>
        <v>0</v>
      </c>
      <c r="J97" s="31" t="n">
        <f aca="false">D97+ROW()/10000000</f>
        <v>9.7E-006</v>
      </c>
    </row>
    <row r="98" customFormat="false" ht="15" hidden="false" customHeight="false" outlineLevel="0" collapsed="false">
      <c r="A98" s="10" t="s">
        <v>459</v>
      </c>
      <c r="B98" s="10" t="s">
        <v>740</v>
      </c>
      <c r="C98" s="10" t="s">
        <v>437</v>
      </c>
      <c r="D98" s="15" t="n">
        <f aca="false">SUMIFS(Test_Times!$AH$5:$AH$863,Test_Times!$A$5:$A$863,A98,Test_Times!$G$5:$G$863,"HPLC")</f>
        <v>0</v>
      </c>
      <c r="E98" s="15" t="n">
        <f aca="false">SUMIF(Test_Times!$A$5:$A$863,A98,Test_Times!$AH$5:$AH$863)</f>
        <v>0</v>
      </c>
      <c r="F98" s="15" t="n">
        <f aca="false">SUMIF(Test_Times!$A$5:$A$863,A98,Test_Times!$AG$5:$AG$863)</f>
        <v>0</v>
      </c>
      <c r="G98" s="15" t="n">
        <f aca="false">SUMIF(Test_Times!$A$5:$A$863,A98,Test_Times!$AI$5:$AI$863)</f>
        <v>0</v>
      </c>
      <c r="H98" s="15" t="n">
        <f aca="false">SUMIFS(Test_Times!$AL$5:$AL$863,Test_Times!$A$5:$A$863,A98,Test_Times!$G$5:$G$863,"HPLC")</f>
        <v>0</v>
      </c>
      <c r="I98" s="30" t="n">
        <f aca="false">IFERROR(D98/SUM($D$5:$D$248),0)</f>
        <v>0</v>
      </c>
      <c r="J98" s="31" t="n">
        <f aca="false">D98+ROW()/10000000</f>
        <v>9.8E-006</v>
      </c>
    </row>
    <row r="99" customFormat="false" ht="15" hidden="false" customHeight="false" outlineLevel="0" collapsed="false">
      <c r="A99" s="10" t="s">
        <v>460</v>
      </c>
      <c r="B99" s="10" t="s">
        <v>740</v>
      </c>
      <c r="C99" s="10" t="s">
        <v>437</v>
      </c>
      <c r="D99" s="15" t="n">
        <f aca="false">SUMIFS(Test_Times!$AH$5:$AH$863,Test_Times!$A$5:$A$863,A99,Test_Times!$G$5:$G$863,"HPLC")</f>
        <v>0</v>
      </c>
      <c r="E99" s="15" t="n">
        <f aca="false">SUMIF(Test_Times!$A$5:$A$863,A99,Test_Times!$AH$5:$AH$863)</f>
        <v>0</v>
      </c>
      <c r="F99" s="15" t="n">
        <f aca="false">SUMIF(Test_Times!$A$5:$A$863,A99,Test_Times!$AG$5:$AG$863)</f>
        <v>0</v>
      </c>
      <c r="G99" s="15" t="n">
        <f aca="false">SUMIF(Test_Times!$A$5:$A$863,A99,Test_Times!$AI$5:$AI$863)</f>
        <v>0</v>
      </c>
      <c r="H99" s="15" t="n">
        <f aca="false">SUMIFS(Test_Times!$AL$5:$AL$863,Test_Times!$A$5:$A$863,A99,Test_Times!$G$5:$G$863,"HPLC")</f>
        <v>0</v>
      </c>
      <c r="I99" s="30" t="n">
        <f aca="false">IFERROR(D99/SUM($D$5:$D$248),0)</f>
        <v>0</v>
      </c>
      <c r="J99" s="31" t="n">
        <f aca="false">D99+ROW()/10000000</f>
        <v>9.9E-006</v>
      </c>
    </row>
    <row r="100" customFormat="false" ht="15" hidden="false" customHeight="false" outlineLevel="0" collapsed="false">
      <c r="A100" s="10" t="s">
        <v>461</v>
      </c>
      <c r="B100" s="10" t="s">
        <v>740</v>
      </c>
      <c r="C100" s="10" t="s">
        <v>437</v>
      </c>
      <c r="D100" s="15" t="n">
        <f aca="false">SUMIFS(Test_Times!$AH$5:$AH$863,Test_Times!$A$5:$A$863,A100,Test_Times!$G$5:$G$863,"HPLC")</f>
        <v>0</v>
      </c>
      <c r="E100" s="15" t="n">
        <f aca="false">SUMIF(Test_Times!$A$5:$A$863,A100,Test_Times!$AH$5:$AH$863)</f>
        <v>0</v>
      </c>
      <c r="F100" s="15" t="n">
        <f aca="false">SUMIF(Test_Times!$A$5:$A$863,A100,Test_Times!$AG$5:$AG$863)</f>
        <v>0</v>
      </c>
      <c r="G100" s="15" t="n">
        <f aca="false">SUMIF(Test_Times!$A$5:$A$863,A100,Test_Times!$AI$5:$AI$863)</f>
        <v>0</v>
      </c>
      <c r="H100" s="15" t="n">
        <f aca="false">SUMIFS(Test_Times!$AL$5:$AL$863,Test_Times!$A$5:$A$863,A100,Test_Times!$G$5:$G$863,"HPLC")</f>
        <v>0</v>
      </c>
      <c r="I100" s="30" t="n">
        <f aca="false">IFERROR(D100/SUM($D$5:$D$248),0)</f>
        <v>0</v>
      </c>
      <c r="J100" s="31" t="n">
        <f aca="false">D100+ROW()/10000000</f>
        <v>1E-005</v>
      </c>
    </row>
    <row r="101" customFormat="false" ht="15" hidden="false" customHeight="false" outlineLevel="0" collapsed="false">
      <c r="A101" s="10" t="s">
        <v>287</v>
      </c>
      <c r="B101" s="10" t="s">
        <v>740</v>
      </c>
      <c r="C101" s="10" t="s">
        <v>437</v>
      </c>
      <c r="D101" s="15" t="n">
        <f aca="false">SUMIFS(Test_Times!$AH$5:$AH$863,Test_Times!$A$5:$A$863,A101,Test_Times!$G$5:$G$863,"HPLC")</f>
        <v>0</v>
      </c>
      <c r="E101" s="15" t="n">
        <f aca="false">SUMIF(Test_Times!$A$5:$A$863,A101,Test_Times!$AH$5:$AH$863)</f>
        <v>0</v>
      </c>
      <c r="F101" s="15" t="n">
        <f aca="false">SUMIF(Test_Times!$A$5:$A$863,A101,Test_Times!$AG$5:$AG$863)</f>
        <v>0</v>
      </c>
      <c r="G101" s="15" t="n">
        <f aca="false">SUMIF(Test_Times!$A$5:$A$863,A101,Test_Times!$AI$5:$AI$863)</f>
        <v>0</v>
      </c>
      <c r="H101" s="15" t="n">
        <f aca="false">SUMIFS(Test_Times!$AL$5:$AL$863,Test_Times!$A$5:$A$863,A101,Test_Times!$G$5:$G$863,"HPLC")</f>
        <v>0</v>
      </c>
      <c r="I101" s="30" t="n">
        <f aca="false">IFERROR(D101/SUM($D$5:$D$248),0)</f>
        <v>0</v>
      </c>
      <c r="J101" s="31" t="n">
        <f aca="false">D101+ROW()/10000000</f>
        <v>1.01E-005</v>
      </c>
    </row>
    <row r="102" customFormat="false" ht="15" hidden="false" customHeight="false" outlineLevel="0" collapsed="false">
      <c r="A102" s="10" t="s">
        <v>462</v>
      </c>
      <c r="B102" s="10" t="s">
        <v>740</v>
      </c>
      <c r="C102" s="10" t="s">
        <v>437</v>
      </c>
      <c r="D102" s="15" t="n">
        <f aca="false">SUMIFS(Test_Times!$AH$5:$AH$863,Test_Times!$A$5:$A$863,A102,Test_Times!$G$5:$G$863,"HPLC")</f>
        <v>0</v>
      </c>
      <c r="E102" s="15" t="n">
        <f aca="false">SUMIF(Test_Times!$A$5:$A$863,A102,Test_Times!$AH$5:$AH$863)</f>
        <v>0</v>
      </c>
      <c r="F102" s="15" t="n">
        <f aca="false">SUMIF(Test_Times!$A$5:$A$863,A102,Test_Times!$AG$5:$AG$863)</f>
        <v>0</v>
      </c>
      <c r="G102" s="15" t="n">
        <f aca="false">SUMIF(Test_Times!$A$5:$A$863,A102,Test_Times!$AI$5:$AI$863)</f>
        <v>0</v>
      </c>
      <c r="H102" s="15" t="n">
        <f aca="false">SUMIFS(Test_Times!$AL$5:$AL$863,Test_Times!$A$5:$A$863,A102,Test_Times!$G$5:$G$863,"HPLC")</f>
        <v>0</v>
      </c>
      <c r="I102" s="30" t="n">
        <f aca="false">IFERROR(D102/SUM($D$5:$D$248),0)</f>
        <v>0</v>
      </c>
      <c r="J102" s="31" t="n">
        <f aca="false">D102+ROW()/10000000</f>
        <v>1.02E-005</v>
      </c>
    </row>
    <row r="103" customFormat="false" ht="15" hidden="false" customHeight="false" outlineLevel="0" collapsed="false">
      <c r="A103" s="10" t="s">
        <v>463</v>
      </c>
      <c r="B103" s="10" t="s">
        <v>740</v>
      </c>
      <c r="C103" s="10" t="s">
        <v>437</v>
      </c>
      <c r="D103" s="15" t="n">
        <f aca="false">SUMIFS(Test_Times!$AH$5:$AH$863,Test_Times!$A$5:$A$863,A103,Test_Times!$G$5:$G$863,"HPLC")</f>
        <v>0</v>
      </c>
      <c r="E103" s="15" t="n">
        <f aca="false">SUMIF(Test_Times!$A$5:$A$863,A103,Test_Times!$AH$5:$AH$863)</f>
        <v>0</v>
      </c>
      <c r="F103" s="15" t="n">
        <f aca="false">SUMIF(Test_Times!$A$5:$A$863,A103,Test_Times!$AG$5:$AG$863)</f>
        <v>0</v>
      </c>
      <c r="G103" s="15" t="n">
        <f aca="false">SUMIF(Test_Times!$A$5:$A$863,A103,Test_Times!$AI$5:$AI$863)</f>
        <v>0</v>
      </c>
      <c r="H103" s="15" t="n">
        <f aca="false">SUMIFS(Test_Times!$AL$5:$AL$863,Test_Times!$A$5:$A$863,A103,Test_Times!$G$5:$G$863,"HPLC")</f>
        <v>0</v>
      </c>
      <c r="I103" s="30" t="n">
        <f aca="false">IFERROR(D103/SUM($D$5:$D$248),0)</f>
        <v>0</v>
      </c>
      <c r="J103" s="31" t="n">
        <f aca="false">D103+ROW()/10000000</f>
        <v>1.03E-005</v>
      </c>
    </row>
    <row r="104" customFormat="false" ht="15" hidden="false" customHeight="false" outlineLevel="0" collapsed="false">
      <c r="A104" s="10" t="s">
        <v>464</v>
      </c>
      <c r="B104" s="10" t="s">
        <v>740</v>
      </c>
      <c r="C104" s="10" t="s">
        <v>437</v>
      </c>
      <c r="D104" s="15" t="n">
        <f aca="false">SUMIFS(Test_Times!$AH$5:$AH$863,Test_Times!$A$5:$A$863,A104,Test_Times!$G$5:$G$863,"HPLC")</f>
        <v>0</v>
      </c>
      <c r="E104" s="15" t="n">
        <f aca="false">SUMIF(Test_Times!$A$5:$A$863,A104,Test_Times!$AH$5:$AH$863)</f>
        <v>0</v>
      </c>
      <c r="F104" s="15" t="n">
        <f aca="false">SUMIF(Test_Times!$A$5:$A$863,A104,Test_Times!$AG$5:$AG$863)</f>
        <v>0</v>
      </c>
      <c r="G104" s="15" t="n">
        <f aca="false">SUMIF(Test_Times!$A$5:$A$863,A104,Test_Times!$AI$5:$AI$863)</f>
        <v>0</v>
      </c>
      <c r="H104" s="15" t="n">
        <f aca="false">SUMIFS(Test_Times!$AL$5:$AL$863,Test_Times!$A$5:$A$863,A104,Test_Times!$G$5:$G$863,"HPLC")</f>
        <v>0</v>
      </c>
      <c r="I104" s="30" t="n">
        <f aca="false">IFERROR(D104/SUM($D$5:$D$248),0)</f>
        <v>0</v>
      </c>
      <c r="J104" s="31" t="n">
        <f aca="false">D104+ROW()/10000000</f>
        <v>1.04E-005</v>
      </c>
    </row>
    <row r="105" customFormat="false" ht="15" hidden="false" customHeight="false" outlineLevel="0" collapsed="false">
      <c r="A105" s="10" t="s">
        <v>465</v>
      </c>
      <c r="B105" s="10" t="s">
        <v>740</v>
      </c>
      <c r="C105" s="10" t="s">
        <v>437</v>
      </c>
      <c r="D105" s="15" t="n">
        <f aca="false">SUMIFS(Test_Times!$AH$5:$AH$863,Test_Times!$A$5:$A$863,A105,Test_Times!$G$5:$G$863,"HPLC")</f>
        <v>0</v>
      </c>
      <c r="E105" s="15" t="n">
        <f aca="false">SUMIF(Test_Times!$A$5:$A$863,A105,Test_Times!$AH$5:$AH$863)</f>
        <v>0</v>
      </c>
      <c r="F105" s="15" t="n">
        <f aca="false">SUMIF(Test_Times!$A$5:$A$863,A105,Test_Times!$AG$5:$AG$863)</f>
        <v>0</v>
      </c>
      <c r="G105" s="15" t="n">
        <f aca="false">SUMIF(Test_Times!$A$5:$A$863,A105,Test_Times!$AI$5:$AI$863)</f>
        <v>0</v>
      </c>
      <c r="H105" s="15" t="n">
        <f aca="false">SUMIFS(Test_Times!$AL$5:$AL$863,Test_Times!$A$5:$A$863,A105,Test_Times!$G$5:$G$863,"HPLC")</f>
        <v>0</v>
      </c>
      <c r="I105" s="30" t="n">
        <f aca="false">IFERROR(D105/SUM($D$5:$D$248),0)</f>
        <v>0</v>
      </c>
      <c r="J105" s="31" t="n">
        <f aca="false">D105+ROW()/10000000</f>
        <v>1.05E-005</v>
      </c>
    </row>
    <row r="106" customFormat="false" ht="15" hidden="false" customHeight="false" outlineLevel="0" collapsed="false">
      <c r="A106" s="10" t="s">
        <v>466</v>
      </c>
      <c r="B106" s="10" t="s">
        <v>740</v>
      </c>
      <c r="C106" s="10" t="s">
        <v>437</v>
      </c>
      <c r="D106" s="15" t="n">
        <f aca="false">SUMIFS(Test_Times!$AH$5:$AH$863,Test_Times!$A$5:$A$863,A106,Test_Times!$G$5:$G$863,"HPLC")</f>
        <v>0</v>
      </c>
      <c r="E106" s="15" t="n">
        <f aca="false">SUMIF(Test_Times!$A$5:$A$863,A106,Test_Times!$AH$5:$AH$863)</f>
        <v>0</v>
      </c>
      <c r="F106" s="15" t="n">
        <f aca="false">SUMIF(Test_Times!$A$5:$A$863,A106,Test_Times!$AG$5:$AG$863)</f>
        <v>0</v>
      </c>
      <c r="G106" s="15" t="n">
        <f aca="false">SUMIF(Test_Times!$A$5:$A$863,A106,Test_Times!$AI$5:$AI$863)</f>
        <v>0</v>
      </c>
      <c r="H106" s="15" t="n">
        <f aca="false">SUMIFS(Test_Times!$AL$5:$AL$863,Test_Times!$A$5:$A$863,A106,Test_Times!$G$5:$G$863,"HPLC")</f>
        <v>0</v>
      </c>
      <c r="I106" s="30" t="n">
        <f aca="false">IFERROR(D106/SUM($D$5:$D$248),0)</f>
        <v>0</v>
      </c>
      <c r="J106" s="31" t="n">
        <f aca="false">D106+ROW()/10000000</f>
        <v>1.06E-005</v>
      </c>
    </row>
    <row r="107" customFormat="false" ht="15" hidden="false" customHeight="false" outlineLevel="0" collapsed="false">
      <c r="A107" s="10" t="s">
        <v>205</v>
      </c>
      <c r="B107" s="10" t="s">
        <v>740</v>
      </c>
      <c r="C107" s="10" t="s">
        <v>437</v>
      </c>
      <c r="D107" s="15" t="n">
        <f aca="false">SUMIFS(Test_Times!$AH$5:$AH$863,Test_Times!$A$5:$A$863,A107,Test_Times!$G$5:$G$863,"HPLC")</f>
        <v>0</v>
      </c>
      <c r="E107" s="15" t="n">
        <f aca="false">SUMIF(Test_Times!$A$5:$A$863,A107,Test_Times!$AH$5:$AH$863)</f>
        <v>0</v>
      </c>
      <c r="F107" s="15" t="n">
        <f aca="false">SUMIF(Test_Times!$A$5:$A$863,A107,Test_Times!$AG$5:$AG$863)</f>
        <v>0</v>
      </c>
      <c r="G107" s="15" t="n">
        <f aca="false">SUMIF(Test_Times!$A$5:$A$863,A107,Test_Times!$AI$5:$AI$863)</f>
        <v>0</v>
      </c>
      <c r="H107" s="15" t="n">
        <f aca="false">SUMIFS(Test_Times!$AL$5:$AL$863,Test_Times!$A$5:$A$863,A107,Test_Times!$G$5:$G$863,"HPLC")</f>
        <v>0</v>
      </c>
      <c r="I107" s="30" t="n">
        <f aca="false">IFERROR(D107/SUM($D$5:$D$248),0)</f>
        <v>0</v>
      </c>
      <c r="J107" s="31" t="n">
        <f aca="false">D107+ROW()/10000000</f>
        <v>1.07E-005</v>
      </c>
    </row>
    <row r="108" customFormat="false" ht="15" hidden="false" customHeight="false" outlineLevel="0" collapsed="false">
      <c r="A108" s="10" t="s">
        <v>467</v>
      </c>
      <c r="B108" s="10" t="s">
        <v>740</v>
      </c>
      <c r="C108" s="10" t="s">
        <v>437</v>
      </c>
      <c r="D108" s="15" t="n">
        <f aca="false">SUMIFS(Test_Times!$AH$5:$AH$863,Test_Times!$A$5:$A$863,A108,Test_Times!$G$5:$G$863,"HPLC")</f>
        <v>0</v>
      </c>
      <c r="E108" s="15" t="n">
        <f aca="false">SUMIF(Test_Times!$A$5:$A$863,A108,Test_Times!$AH$5:$AH$863)</f>
        <v>0</v>
      </c>
      <c r="F108" s="15" t="n">
        <f aca="false">SUMIF(Test_Times!$A$5:$A$863,A108,Test_Times!$AG$5:$AG$863)</f>
        <v>0</v>
      </c>
      <c r="G108" s="15" t="n">
        <f aca="false">SUMIF(Test_Times!$A$5:$A$863,A108,Test_Times!$AI$5:$AI$863)</f>
        <v>0</v>
      </c>
      <c r="H108" s="15" t="n">
        <f aca="false">SUMIFS(Test_Times!$AL$5:$AL$863,Test_Times!$A$5:$A$863,A108,Test_Times!$G$5:$G$863,"HPLC")</f>
        <v>0</v>
      </c>
      <c r="I108" s="30" t="n">
        <f aca="false">IFERROR(D108/SUM($D$5:$D$248),0)</f>
        <v>0</v>
      </c>
      <c r="J108" s="31" t="n">
        <f aca="false">D108+ROW()/10000000</f>
        <v>1.08E-005</v>
      </c>
    </row>
    <row r="109" customFormat="false" ht="15" hidden="false" customHeight="false" outlineLevel="0" collapsed="false">
      <c r="A109" s="10" t="s">
        <v>468</v>
      </c>
      <c r="B109" s="10" t="s">
        <v>740</v>
      </c>
      <c r="C109" s="10" t="s">
        <v>437</v>
      </c>
      <c r="D109" s="15" t="n">
        <f aca="false">SUMIFS(Test_Times!$AH$5:$AH$863,Test_Times!$A$5:$A$863,A109,Test_Times!$G$5:$G$863,"HPLC")</f>
        <v>0</v>
      </c>
      <c r="E109" s="15" t="n">
        <f aca="false">SUMIF(Test_Times!$A$5:$A$863,A109,Test_Times!$AH$5:$AH$863)</f>
        <v>0</v>
      </c>
      <c r="F109" s="15" t="n">
        <f aca="false">SUMIF(Test_Times!$A$5:$A$863,A109,Test_Times!$AG$5:$AG$863)</f>
        <v>0</v>
      </c>
      <c r="G109" s="15" t="n">
        <f aca="false">SUMIF(Test_Times!$A$5:$A$863,A109,Test_Times!$AI$5:$AI$863)</f>
        <v>0</v>
      </c>
      <c r="H109" s="15" t="n">
        <f aca="false">SUMIFS(Test_Times!$AL$5:$AL$863,Test_Times!$A$5:$A$863,A109,Test_Times!$G$5:$G$863,"HPLC")</f>
        <v>0</v>
      </c>
      <c r="I109" s="30" t="n">
        <f aca="false">IFERROR(D109/SUM($D$5:$D$248),0)</f>
        <v>0</v>
      </c>
      <c r="J109" s="31" t="n">
        <f aca="false">D109+ROW()/10000000</f>
        <v>1.09E-005</v>
      </c>
    </row>
    <row r="110" customFormat="false" ht="15" hidden="false" customHeight="false" outlineLevel="0" collapsed="false">
      <c r="A110" s="10" t="s">
        <v>469</v>
      </c>
      <c r="B110" s="10" t="s">
        <v>740</v>
      </c>
      <c r="C110" s="10" t="s">
        <v>437</v>
      </c>
      <c r="D110" s="15" t="n">
        <f aca="false">SUMIFS(Test_Times!$AH$5:$AH$863,Test_Times!$A$5:$A$863,A110,Test_Times!$G$5:$G$863,"HPLC")</f>
        <v>0</v>
      </c>
      <c r="E110" s="15" t="n">
        <f aca="false">SUMIF(Test_Times!$A$5:$A$863,A110,Test_Times!$AH$5:$AH$863)</f>
        <v>0</v>
      </c>
      <c r="F110" s="15" t="n">
        <f aca="false">SUMIF(Test_Times!$A$5:$A$863,A110,Test_Times!$AG$5:$AG$863)</f>
        <v>0</v>
      </c>
      <c r="G110" s="15" t="n">
        <f aca="false">SUMIF(Test_Times!$A$5:$A$863,A110,Test_Times!$AI$5:$AI$863)</f>
        <v>0</v>
      </c>
      <c r="H110" s="15" t="n">
        <f aca="false">SUMIFS(Test_Times!$AL$5:$AL$863,Test_Times!$A$5:$A$863,A110,Test_Times!$G$5:$G$863,"HPLC")</f>
        <v>0</v>
      </c>
      <c r="I110" s="30" t="n">
        <f aca="false">IFERROR(D110/SUM($D$5:$D$248),0)</f>
        <v>0</v>
      </c>
      <c r="J110" s="31" t="n">
        <f aca="false">D110+ROW()/10000000</f>
        <v>1.1E-005</v>
      </c>
    </row>
    <row r="111" customFormat="false" ht="15" hidden="false" customHeight="false" outlineLevel="0" collapsed="false">
      <c r="A111" s="10" t="s">
        <v>470</v>
      </c>
      <c r="B111" s="10" t="s">
        <v>740</v>
      </c>
      <c r="C111" s="10" t="s">
        <v>437</v>
      </c>
      <c r="D111" s="15" t="n">
        <f aca="false">SUMIFS(Test_Times!$AH$5:$AH$863,Test_Times!$A$5:$A$863,A111,Test_Times!$G$5:$G$863,"HPLC")</f>
        <v>0</v>
      </c>
      <c r="E111" s="15" t="n">
        <f aca="false">SUMIF(Test_Times!$A$5:$A$863,A111,Test_Times!$AH$5:$AH$863)</f>
        <v>0</v>
      </c>
      <c r="F111" s="15" t="n">
        <f aca="false">SUMIF(Test_Times!$A$5:$A$863,A111,Test_Times!$AG$5:$AG$863)</f>
        <v>0</v>
      </c>
      <c r="G111" s="15" t="n">
        <f aca="false">SUMIF(Test_Times!$A$5:$A$863,A111,Test_Times!$AI$5:$AI$863)</f>
        <v>0</v>
      </c>
      <c r="H111" s="15" t="n">
        <f aca="false">SUMIFS(Test_Times!$AL$5:$AL$863,Test_Times!$A$5:$A$863,A111,Test_Times!$G$5:$G$863,"HPLC")</f>
        <v>0</v>
      </c>
      <c r="I111" s="30" t="n">
        <f aca="false">IFERROR(D111/SUM($D$5:$D$248),0)</f>
        <v>0</v>
      </c>
      <c r="J111" s="31" t="n">
        <f aca="false">D111+ROW()/10000000</f>
        <v>1.11E-005</v>
      </c>
    </row>
    <row r="112" customFormat="false" ht="15" hidden="false" customHeight="false" outlineLevel="0" collapsed="false">
      <c r="A112" s="10" t="s">
        <v>471</v>
      </c>
      <c r="B112" s="10" t="s">
        <v>740</v>
      </c>
      <c r="C112" s="10" t="s">
        <v>437</v>
      </c>
      <c r="D112" s="15" t="n">
        <f aca="false">SUMIFS(Test_Times!$AH$5:$AH$863,Test_Times!$A$5:$A$863,A112,Test_Times!$G$5:$G$863,"HPLC")</f>
        <v>0</v>
      </c>
      <c r="E112" s="15" t="n">
        <f aca="false">SUMIF(Test_Times!$A$5:$A$863,A112,Test_Times!$AH$5:$AH$863)</f>
        <v>0</v>
      </c>
      <c r="F112" s="15" t="n">
        <f aca="false">SUMIF(Test_Times!$A$5:$A$863,A112,Test_Times!$AG$5:$AG$863)</f>
        <v>0</v>
      </c>
      <c r="G112" s="15" t="n">
        <f aca="false">SUMIF(Test_Times!$A$5:$A$863,A112,Test_Times!$AI$5:$AI$863)</f>
        <v>0</v>
      </c>
      <c r="H112" s="15" t="n">
        <f aca="false">SUMIFS(Test_Times!$AL$5:$AL$863,Test_Times!$A$5:$A$863,A112,Test_Times!$G$5:$G$863,"HPLC")</f>
        <v>0</v>
      </c>
      <c r="I112" s="30" t="n">
        <f aca="false">IFERROR(D112/SUM($D$5:$D$248),0)</f>
        <v>0</v>
      </c>
      <c r="J112" s="31" t="n">
        <f aca="false">D112+ROW()/10000000</f>
        <v>1.12E-005</v>
      </c>
    </row>
    <row r="113" customFormat="false" ht="15" hidden="false" customHeight="false" outlineLevel="0" collapsed="false">
      <c r="A113" s="10" t="s">
        <v>472</v>
      </c>
      <c r="B113" s="10" t="s">
        <v>740</v>
      </c>
      <c r="C113" s="10" t="s">
        <v>437</v>
      </c>
      <c r="D113" s="15" t="n">
        <f aca="false">SUMIFS(Test_Times!$AH$5:$AH$863,Test_Times!$A$5:$A$863,A113,Test_Times!$G$5:$G$863,"HPLC")</f>
        <v>0</v>
      </c>
      <c r="E113" s="15" t="n">
        <f aca="false">SUMIF(Test_Times!$A$5:$A$863,A113,Test_Times!$AH$5:$AH$863)</f>
        <v>0</v>
      </c>
      <c r="F113" s="15" t="n">
        <f aca="false">SUMIF(Test_Times!$A$5:$A$863,A113,Test_Times!$AG$5:$AG$863)</f>
        <v>0</v>
      </c>
      <c r="G113" s="15" t="n">
        <f aca="false">SUMIF(Test_Times!$A$5:$A$863,A113,Test_Times!$AI$5:$AI$863)</f>
        <v>0</v>
      </c>
      <c r="H113" s="15" t="n">
        <f aca="false">SUMIFS(Test_Times!$AL$5:$AL$863,Test_Times!$A$5:$A$863,A113,Test_Times!$G$5:$G$863,"HPLC")</f>
        <v>0</v>
      </c>
      <c r="I113" s="30" t="n">
        <f aca="false">IFERROR(D113/SUM($D$5:$D$248),0)</f>
        <v>0</v>
      </c>
      <c r="J113" s="31" t="n">
        <f aca="false">D113+ROW()/10000000</f>
        <v>1.13E-005</v>
      </c>
    </row>
    <row r="114" customFormat="false" ht="15" hidden="false" customHeight="false" outlineLevel="0" collapsed="false">
      <c r="A114" s="10" t="s">
        <v>473</v>
      </c>
      <c r="B114" s="10" t="s">
        <v>740</v>
      </c>
      <c r="C114" s="10" t="s">
        <v>437</v>
      </c>
      <c r="D114" s="15" t="n">
        <f aca="false">SUMIFS(Test_Times!$AH$5:$AH$863,Test_Times!$A$5:$A$863,A114,Test_Times!$G$5:$G$863,"HPLC")</f>
        <v>0</v>
      </c>
      <c r="E114" s="15" t="n">
        <f aca="false">SUMIF(Test_Times!$A$5:$A$863,A114,Test_Times!$AH$5:$AH$863)</f>
        <v>0</v>
      </c>
      <c r="F114" s="15" t="n">
        <f aca="false">SUMIF(Test_Times!$A$5:$A$863,A114,Test_Times!$AG$5:$AG$863)</f>
        <v>0</v>
      </c>
      <c r="G114" s="15" t="n">
        <f aca="false">SUMIF(Test_Times!$A$5:$A$863,A114,Test_Times!$AI$5:$AI$863)</f>
        <v>0</v>
      </c>
      <c r="H114" s="15" t="n">
        <f aca="false">SUMIFS(Test_Times!$AL$5:$AL$863,Test_Times!$A$5:$A$863,A114,Test_Times!$G$5:$G$863,"HPLC")</f>
        <v>0</v>
      </c>
      <c r="I114" s="30" t="n">
        <f aca="false">IFERROR(D114/SUM($D$5:$D$248),0)</f>
        <v>0</v>
      </c>
      <c r="J114" s="31" t="n">
        <f aca="false">D114+ROW()/10000000</f>
        <v>1.14E-005</v>
      </c>
    </row>
    <row r="115" customFormat="false" ht="15" hidden="false" customHeight="false" outlineLevel="0" collapsed="false">
      <c r="A115" s="10" t="s">
        <v>474</v>
      </c>
      <c r="B115" s="10" t="s">
        <v>740</v>
      </c>
      <c r="C115" s="10" t="s">
        <v>437</v>
      </c>
      <c r="D115" s="15" t="n">
        <f aca="false">SUMIFS(Test_Times!$AH$5:$AH$863,Test_Times!$A$5:$A$863,A115,Test_Times!$G$5:$G$863,"HPLC")</f>
        <v>0</v>
      </c>
      <c r="E115" s="15" t="n">
        <f aca="false">SUMIF(Test_Times!$A$5:$A$863,A115,Test_Times!$AH$5:$AH$863)</f>
        <v>0</v>
      </c>
      <c r="F115" s="15" t="n">
        <f aca="false">SUMIF(Test_Times!$A$5:$A$863,A115,Test_Times!$AG$5:$AG$863)</f>
        <v>0</v>
      </c>
      <c r="G115" s="15" t="n">
        <f aca="false">SUMIF(Test_Times!$A$5:$A$863,A115,Test_Times!$AI$5:$AI$863)</f>
        <v>0</v>
      </c>
      <c r="H115" s="15" t="n">
        <f aca="false">SUMIFS(Test_Times!$AL$5:$AL$863,Test_Times!$A$5:$A$863,A115,Test_Times!$G$5:$G$863,"HPLC")</f>
        <v>0</v>
      </c>
      <c r="I115" s="30" t="n">
        <f aca="false">IFERROR(D115/SUM($D$5:$D$248),0)</f>
        <v>0</v>
      </c>
      <c r="J115" s="31" t="n">
        <f aca="false">D115+ROW()/10000000</f>
        <v>1.15E-005</v>
      </c>
    </row>
    <row r="116" customFormat="false" ht="15" hidden="false" customHeight="false" outlineLevel="0" collapsed="false">
      <c r="A116" s="10" t="s">
        <v>475</v>
      </c>
      <c r="B116" s="10" t="s">
        <v>740</v>
      </c>
      <c r="C116" s="10" t="s">
        <v>437</v>
      </c>
      <c r="D116" s="15" t="n">
        <f aca="false">SUMIFS(Test_Times!$AH$5:$AH$863,Test_Times!$A$5:$A$863,A116,Test_Times!$G$5:$G$863,"HPLC")</f>
        <v>0</v>
      </c>
      <c r="E116" s="15" t="n">
        <f aca="false">SUMIF(Test_Times!$A$5:$A$863,A116,Test_Times!$AH$5:$AH$863)</f>
        <v>0</v>
      </c>
      <c r="F116" s="15" t="n">
        <f aca="false">SUMIF(Test_Times!$A$5:$A$863,A116,Test_Times!$AG$5:$AG$863)</f>
        <v>0</v>
      </c>
      <c r="G116" s="15" t="n">
        <f aca="false">SUMIF(Test_Times!$A$5:$A$863,A116,Test_Times!$AI$5:$AI$863)</f>
        <v>0</v>
      </c>
      <c r="H116" s="15" t="n">
        <f aca="false">SUMIFS(Test_Times!$AL$5:$AL$863,Test_Times!$A$5:$A$863,A116,Test_Times!$G$5:$G$863,"HPLC")</f>
        <v>0</v>
      </c>
      <c r="I116" s="30" t="n">
        <f aca="false">IFERROR(D116/SUM($D$5:$D$248),0)</f>
        <v>0</v>
      </c>
      <c r="J116" s="31" t="n">
        <f aca="false">D116+ROW()/10000000</f>
        <v>1.16E-005</v>
      </c>
    </row>
    <row r="117" customFormat="false" ht="15" hidden="false" customHeight="false" outlineLevel="0" collapsed="false">
      <c r="A117" s="10" t="s">
        <v>476</v>
      </c>
      <c r="B117" s="10" t="s">
        <v>740</v>
      </c>
      <c r="C117" s="10" t="s">
        <v>437</v>
      </c>
      <c r="D117" s="15" t="n">
        <f aca="false">SUMIFS(Test_Times!$AH$5:$AH$863,Test_Times!$A$5:$A$863,A117,Test_Times!$G$5:$G$863,"HPLC")</f>
        <v>0</v>
      </c>
      <c r="E117" s="15" t="n">
        <f aca="false">SUMIF(Test_Times!$A$5:$A$863,A117,Test_Times!$AH$5:$AH$863)</f>
        <v>0</v>
      </c>
      <c r="F117" s="15" t="n">
        <f aca="false">SUMIF(Test_Times!$A$5:$A$863,A117,Test_Times!$AG$5:$AG$863)</f>
        <v>0</v>
      </c>
      <c r="G117" s="15" t="n">
        <f aca="false">SUMIF(Test_Times!$A$5:$A$863,A117,Test_Times!$AI$5:$AI$863)</f>
        <v>0</v>
      </c>
      <c r="H117" s="15" t="n">
        <f aca="false">SUMIFS(Test_Times!$AL$5:$AL$863,Test_Times!$A$5:$A$863,A117,Test_Times!$G$5:$G$863,"HPLC")</f>
        <v>0</v>
      </c>
      <c r="I117" s="30" t="n">
        <f aca="false">IFERROR(D117/SUM($D$5:$D$248),0)</f>
        <v>0</v>
      </c>
      <c r="J117" s="31" t="n">
        <f aca="false">D117+ROW()/10000000</f>
        <v>1.17E-005</v>
      </c>
    </row>
    <row r="118" customFormat="false" ht="15" hidden="false" customHeight="false" outlineLevel="0" collapsed="false">
      <c r="A118" s="10" t="s">
        <v>477</v>
      </c>
      <c r="B118" s="10" t="s">
        <v>740</v>
      </c>
      <c r="C118" s="10" t="s">
        <v>437</v>
      </c>
      <c r="D118" s="15" t="n">
        <f aca="false">SUMIFS(Test_Times!$AH$5:$AH$863,Test_Times!$A$5:$A$863,A118,Test_Times!$G$5:$G$863,"HPLC")</f>
        <v>0</v>
      </c>
      <c r="E118" s="15" t="n">
        <f aca="false">SUMIF(Test_Times!$A$5:$A$863,A118,Test_Times!$AH$5:$AH$863)</f>
        <v>0</v>
      </c>
      <c r="F118" s="15" t="n">
        <f aca="false">SUMIF(Test_Times!$A$5:$A$863,A118,Test_Times!$AG$5:$AG$863)</f>
        <v>0</v>
      </c>
      <c r="G118" s="15" t="n">
        <f aca="false">SUMIF(Test_Times!$A$5:$A$863,A118,Test_Times!$AI$5:$AI$863)</f>
        <v>0</v>
      </c>
      <c r="H118" s="15" t="n">
        <f aca="false">SUMIFS(Test_Times!$AL$5:$AL$863,Test_Times!$A$5:$A$863,A118,Test_Times!$G$5:$G$863,"HPLC")</f>
        <v>0</v>
      </c>
      <c r="I118" s="30" t="n">
        <f aca="false">IFERROR(D118/SUM($D$5:$D$248),0)</f>
        <v>0</v>
      </c>
      <c r="J118" s="31" t="n">
        <f aca="false">D118+ROW()/10000000</f>
        <v>1.18E-005</v>
      </c>
    </row>
    <row r="119" customFormat="false" ht="15" hidden="false" customHeight="false" outlineLevel="0" collapsed="false">
      <c r="A119" s="10" t="s">
        <v>478</v>
      </c>
      <c r="B119" s="10" t="s">
        <v>740</v>
      </c>
      <c r="C119" s="10" t="s">
        <v>437</v>
      </c>
      <c r="D119" s="15" t="n">
        <f aca="false">SUMIFS(Test_Times!$AH$5:$AH$863,Test_Times!$A$5:$A$863,A119,Test_Times!$G$5:$G$863,"HPLC")</f>
        <v>0</v>
      </c>
      <c r="E119" s="15" t="n">
        <f aca="false">SUMIF(Test_Times!$A$5:$A$863,A119,Test_Times!$AH$5:$AH$863)</f>
        <v>0</v>
      </c>
      <c r="F119" s="15" t="n">
        <f aca="false">SUMIF(Test_Times!$A$5:$A$863,A119,Test_Times!$AG$5:$AG$863)</f>
        <v>0</v>
      </c>
      <c r="G119" s="15" t="n">
        <f aca="false">SUMIF(Test_Times!$A$5:$A$863,A119,Test_Times!$AI$5:$AI$863)</f>
        <v>0</v>
      </c>
      <c r="H119" s="15" t="n">
        <f aca="false">SUMIFS(Test_Times!$AL$5:$AL$863,Test_Times!$A$5:$A$863,A119,Test_Times!$G$5:$G$863,"HPLC")</f>
        <v>0</v>
      </c>
      <c r="I119" s="30" t="n">
        <f aca="false">IFERROR(D119/SUM($D$5:$D$248),0)</f>
        <v>0</v>
      </c>
      <c r="J119" s="31" t="n">
        <f aca="false">D119+ROW()/10000000</f>
        <v>1.19E-005</v>
      </c>
    </row>
    <row r="120" customFormat="false" ht="15" hidden="false" customHeight="false" outlineLevel="0" collapsed="false">
      <c r="A120" s="10" t="s">
        <v>323</v>
      </c>
      <c r="B120" s="10" t="s">
        <v>740</v>
      </c>
      <c r="C120" s="10" t="s">
        <v>437</v>
      </c>
      <c r="D120" s="15" t="n">
        <f aca="false">SUMIFS(Test_Times!$AH$5:$AH$863,Test_Times!$A$5:$A$863,A120,Test_Times!$G$5:$G$863,"HPLC")</f>
        <v>0</v>
      </c>
      <c r="E120" s="15" t="n">
        <f aca="false">SUMIF(Test_Times!$A$5:$A$863,A120,Test_Times!$AH$5:$AH$863)</f>
        <v>0</v>
      </c>
      <c r="F120" s="15" t="n">
        <f aca="false">SUMIF(Test_Times!$A$5:$A$863,A120,Test_Times!$AG$5:$AG$863)</f>
        <v>0</v>
      </c>
      <c r="G120" s="15" t="n">
        <f aca="false">SUMIF(Test_Times!$A$5:$A$863,A120,Test_Times!$AI$5:$AI$863)</f>
        <v>0</v>
      </c>
      <c r="H120" s="15" t="n">
        <f aca="false">SUMIFS(Test_Times!$AL$5:$AL$863,Test_Times!$A$5:$A$863,A120,Test_Times!$G$5:$G$863,"HPLC")</f>
        <v>0</v>
      </c>
      <c r="I120" s="30" t="n">
        <f aca="false">IFERROR(D120/SUM($D$5:$D$248),0)</f>
        <v>0</v>
      </c>
      <c r="J120" s="31" t="n">
        <f aca="false">D120+ROW()/10000000</f>
        <v>1.2E-005</v>
      </c>
    </row>
    <row r="121" customFormat="false" ht="15" hidden="false" customHeight="false" outlineLevel="0" collapsed="false">
      <c r="A121" s="10" t="s">
        <v>327</v>
      </c>
      <c r="B121" s="10" t="s">
        <v>740</v>
      </c>
      <c r="C121" s="10" t="s">
        <v>437</v>
      </c>
      <c r="D121" s="15" t="n">
        <f aca="false">SUMIFS(Test_Times!$AH$5:$AH$863,Test_Times!$A$5:$A$863,A121,Test_Times!$G$5:$G$863,"HPLC")</f>
        <v>0</v>
      </c>
      <c r="E121" s="15" t="n">
        <f aca="false">SUMIF(Test_Times!$A$5:$A$863,A121,Test_Times!$AH$5:$AH$863)</f>
        <v>0</v>
      </c>
      <c r="F121" s="15" t="n">
        <f aca="false">SUMIF(Test_Times!$A$5:$A$863,A121,Test_Times!$AG$5:$AG$863)</f>
        <v>0</v>
      </c>
      <c r="G121" s="15" t="n">
        <f aca="false">SUMIF(Test_Times!$A$5:$A$863,A121,Test_Times!$AI$5:$AI$863)</f>
        <v>0</v>
      </c>
      <c r="H121" s="15" t="n">
        <f aca="false">SUMIFS(Test_Times!$AL$5:$AL$863,Test_Times!$A$5:$A$863,A121,Test_Times!$G$5:$G$863,"HPLC")</f>
        <v>0</v>
      </c>
      <c r="I121" s="30" t="n">
        <f aca="false">IFERROR(D121/SUM($D$5:$D$248),0)</f>
        <v>0</v>
      </c>
      <c r="J121" s="31" t="n">
        <f aca="false">D121+ROW()/10000000</f>
        <v>1.21E-005</v>
      </c>
    </row>
    <row r="122" customFormat="false" ht="15" hidden="false" customHeight="false" outlineLevel="0" collapsed="false">
      <c r="A122" s="10" t="s">
        <v>479</v>
      </c>
      <c r="B122" s="10" t="s">
        <v>740</v>
      </c>
      <c r="C122" s="10" t="s">
        <v>437</v>
      </c>
      <c r="D122" s="15" t="n">
        <f aca="false">SUMIFS(Test_Times!$AH$5:$AH$863,Test_Times!$A$5:$A$863,A122,Test_Times!$G$5:$G$863,"HPLC")</f>
        <v>0</v>
      </c>
      <c r="E122" s="15" t="n">
        <f aca="false">SUMIF(Test_Times!$A$5:$A$863,A122,Test_Times!$AH$5:$AH$863)</f>
        <v>0</v>
      </c>
      <c r="F122" s="15" t="n">
        <f aca="false">SUMIF(Test_Times!$A$5:$A$863,A122,Test_Times!$AG$5:$AG$863)</f>
        <v>0</v>
      </c>
      <c r="G122" s="15" t="n">
        <f aca="false">SUMIF(Test_Times!$A$5:$A$863,A122,Test_Times!$AI$5:$AI$863)</f>
        <v>0</v>
      </c>
      <c r="H122" s="15" t="n">
        <f aca="false">SUMIFS(Test_Times!$AL$5:$AL$863,Test_Times!$A$5:$A$863,A122,Test_Times!$G$5:$G$863,"HPLC")</f>
        <v>0</v>
      </c>
      <c r="I122" s="30" t="n">
        <f aca="false">IFERROR(D122/SUM($D$5:$D$248),0)</f>
        <v>0</v>
      </c>
      <c r="J122" s="31" t="n">
        <f aca="false">D122+ROW()/10000000</f>
        <v>1.22E-005</v>
      </c>
    </row>
    <row r="123" customFormat="false" ht="15" hidden="false" customHeight="false" outlineLevel="0" collapsed="false">
      <c r="A123" s="10" t="s">
        <v>480</v>
      </c>
      <c r="B123" s="10" t="s">
        <v>740</v>
      </c>
      <c r="C123" s="10" t="s">
        <v>437</v>
      </c>
      <c r="D123" s="15" t="n">
        <f aca="false">SUMIFS(Test_Times!$AH$5:$AH$863,Test_Times!$A$5:$A$863,A123,Test_Times!$G$5:$G$863,"HPLC")</f>
        <v>0</v>
      </c>
      <c r="E123" s="15" t="n">
        <f aca="false">SUMIF(Test_Times!$A$5:$A$863,A123,Test_Times!$AH$5:$AH$863)</f>
        <v>0</v>
      </c>
      <c r="F123" s="15" t="n">
        <f aca="false">SUMIF(Test_Times!$A$5:$A$863,A123,Test_Times!$AG$5:$AG$863)</f>
        <v>0</v>
      </c>
      <c r="G123" s="15" t="n">
        <f aca="false">SUMIF(Test_Times!$A$5:$A$863,A123,Test_Times!$AI$5:$AI$863)</f>
        <v>0</v>
      </c>
      <c r="H123" s="15" t="n">
        <f aca="false">SUMIFS(Test_Times!$AL$5:$AL$863,Test_Times!$A$5:$A$863,A123,Test_Times!$G$5:$G$863,"HPLC")</f>
        <v>0</v>
      </c>
      <c r="I123" s="30" t="n">
        <f aca="false">IFERROR(D123/SUM($D$5:$D$248),0)</f>
        <v>0</v>
      </c>
      <c r="J123" s="31" t="n">
        <f aca="false">D123+ROW()/10000000</f>
        <v>1.23E-005</v>
      </c>
    </row>
    <row r="124" customFormat="false" ht="15" hidden="false" customHeight="false" outlineLevel="0" collapsed="false">
      <c r="A124" s="10" t="s">
        <v>258</v>
      </c>
      <c r="B124" s="10" t="s">
        <v>740</v>
      </c>
      <c r="C124" s="10" t="s">
        <v>437</v>
      </c>
      <c r="D124" s="15" t="n">
        <f aca="false">SUMIFS(Test_Times!$AH$5:$AH$863,Test_Times!$A$5:$A$863,A124,Test_Times!$G$5:$G$863,"HPLC")</f>
        <v>0</v>
      </c>
      <c r="E124" s="15" t="n">
        <f aca="false">SUMIF(Test_Times!$A$5:$A$863,A124,Test_Times!$AH$5:$AH$863)</f>
        <v>0</v>
      </c>
      <c r="F124" s="15" t="n">
        <f aca="false">SUMIF(Test_Times!$A$5:$A$863,A124,Test_Times!$AG$5:$AG$863)</f>
        <v>0</v>
      </c>
      <c r="G124" s="15" t="n">
        <f aca="false">SUMIF(Test_Times!$A$5:$A$863,A124,Test_Times!$AI$5:$AI$863)</f>
        <v>0</v>
      </c>
      <c r="H124" s="15" t="n">
        <f aca="false">SUMIFS(Test_Times!$AL$5:$AL$863,Test_Times!$A$5:$A$863,A124,Test_Times!$G$5:$G$863,"HPLC")</f>
        <v>0</v>
      </c>
      <c r="I124" s="30" t="n">
        <f aca="false">IFERROR(D124/SUM($D$5:$D$248),0)</f>
        <v>0</v>
      </c>
      <c r="J124" s="31" t="n">
        <f aca="false">D124+ROW()/10000000</f>
        <v>1.24E-005</v>
      </c>
    </row>
    <row r="125" customFormat="false" ht="15" hidden="false" customHeight="false" outlineLevel="0" collapsed="false">
      <c r="A125" s="10" t="s">
        <v>481</v>
      </c>
      <c r="B125" s="10" t="s">
        <v>740</v>
      </c>
      <c r="C125" s="10" t="s">
        <v>437</v>
      </c>
      <c r="D125" s="15" t="n">
        <f aca="false">SUMIFS(Test_Times!$AH$5:$AH$863,Test_Times!$A$5:$A$863,A125,Test_Times!$G$5:$G$863,"HPLC")</f>
        <v>0</v>
      </c>
      <c r="E125" s="15" t="n">
        <f aca="false">SUMIF(Test_Times!$A$5:$A$863,A125,Test_Times!$AH$5:$AH$863)</f>
        <v>0</v>
      </c>
      <c r="F125" s="15" t="n">
        <f aca="false">SUMIF(Test_Times!$A$5:$A$863,A125,Test_Times!$AG$5:$AG$863)</f>
        <v>0</v>
      </c>
      <c r="G125" s="15" t="n">
        <f aca="false">SUMIF(Test_Times!$A$5:$A$863,A125,Test_Times!$AI$5:$AI$863)</f>
        <v>0</v>
      </c>
      <c r="H125" s="15" t="n">
        <f aca="false">SUMIFS(Test_Times!$AL$5:$AL$863,Test_Times!$A$5:$A$863,A125,Test_Times!$G$5:$G$863,"HPLC")</f>
        <v>0</v>
      </c>
      <c r="I125" s="30" t="n">
        <f aca="false">IFERROR(D125/SUM($D$5:$D$248),0)</f>
        <v>0</v>
      </c>
      <c r="J125" s="31" t="n">
        <f aca="false">D125+ROW()/10000000</f>
        <v>1.25E-005</v>
      </c>
    </row>
    <row r="126" customFormat="false" ht="15" hidden="false" customHeight="false" outlineLevel="0" collapsed="false">
      <c r="A126" s="10" t="s">
        <v>243</v>
      </c>
      <c r="B126" s="10" t="s">
        <v>740</v>
      </c>
      <c r="C126" s="10" t="s">
        <v>437</v>
      </c>
      <c r="D126" s="15" t="n">
        <f aca="false">SUMIFS(Test_Times!$AH$5:$AH$863,Test_Times!$A$5:$A$863,A126,Test_Times!$G$5:$G$863,"HPLC")</f>
        <v>0</v>
      </c>
      <c r="E126" s="15" t="n">
        <f aca="false">SUMIF(Test_Times!$A$5:$A$863,A126,Test_Times!$AH$5:$AH$863)</f>
        <v>0</v>
      </c>
      <c r="F126" s="15" t="n">
        <f aca="false">SUMIF(Test_Times!$A$5:$A$863,A126,Test_Times!$AG$5:$AG$863)</f>
        <v>0</v>
      </c>
      <c r="G126" s="15" t="n">
        <f aca="false">SUMIF(Test_Times!$A$5:$A$863,A126,Test_Times!$AI$5:$AI$863)</f>
        <v>0</v>
      </c>
      <c r="H126" s="15" t="n">
        <f aca="false">SUMIFS(Test_Times!$AL$5:$AL$863,Test_Times!$A$5:$A$863,A126,Test_Times!$G$5:$G$863,"HPLC")</f>
        <v>0</v>
      </c>
      <c r="I126" s="30" t="n">
        <f aca="false">IFERROR(D126/SUM($D$5:$D$248),0)</f>
        <v>0</v>
      </c>
      <c r="J126" s="31" t="n">
        <f aca="false">D126+ROW()/10000000</f>
        <v>1.26E-005</v>
      </c>
    </row>
    <row r="127" customFormat="false" ht="15" hidden="false" customHeight="false" outlineLevel="0" collapsed="false">
      <c r="A127" s="10" t="s">
        <v>349</v>
      </c>
      <c r="B127" s="10" t="s">
        <v>740</v>
      </c>
      <c r="C127" s="10" t="s">
        <v>437</v>
      </c>
      <c r="D127" s="15" t="n">
        <f aca="false">SUMIFS(Test_Times!$AH$5:$AH$863,Test_Times!$A$5:$A$863,A127,Test_Times!$G$5:$G$863,"HPLC")</f>
        <v>0</v>
      </c>
      <c r="E127" s="15" t="n">
        <f aca="false">SUMIF(Test_Times!$A$5:$A$863,A127,Test_Times!$AH$5:$AH$863)</f>
        <v>0</v>
      </c>
      <c r="F127" s="15" t="n">
        <f aca="false">SUMIF(Test_Times!$A$5:$A$863,A127,Test_Times!$AG$5:$AG$863)</f>
        <v>0</v>
      </c>
      <c r="G127" s="15" t="n">
        <f aca="false">SUMIF(Test_Times!$A$5:$A$863,A127,Test_Times!$AI$5:$AI$863)</f>
        <v>0</v>
      </c>
      <c r="H127" s="15" t="n">
        <f aca="false">SUMIFS(Test_Times!$AL$5:$AL$863,Test_Times!$A$5:$A$863,A127,Test_Times!$G$5:$G$863,"HPLC")</f>
        <v>0</v>
      </c>
      <c r="I127" s="30" t="n">
        <f aca="false">IFERROR(D127/SUM($D$5:$D$248),0)</f>
        <v>0</v>
      </c>
      <c r="J127" s="31" t="n">
        <f aca="false">D127+ROW()/10000000</f>
        <v>1.27E-005</v>
      </c>
    </row>
    <row r="128" customFormat="false" ht="15" hidden="false" customHeight="false" outlineLevel="0" collapsed="false">
      <c r="A128" s="10" t="s">
        <v>482</v>
      </c>
      <c r="B128" s="10" t="s">
        <v>740</v>
      </c>
      <c r="C128" s="10" t="s">
        <v>437</v>
      </c>
      <c r="D128" s="15" t="n">
        <f aca="false">SUMIFS(Test_Times!$AH$5:$AH$863,Test_Times!$A$5:$A$863,A128,Test_Times!$G$5:$G$863,"HPLC")</f>
        <v>0</v>
      </c>
      <c r="E128" s="15" t="n">
        <f aca="false">SUMIF(Test_Times!$A$5:$A$863,A128,Test_Times!$AH$5:$AH$863)</f>
        <v>0</v>
      </c>
      <c r="F128" s="15" t="n">
        <f aca="false">SUMIF(Test_Times!$A$5:$A$863,A128,Test_Times!$AG$5:$AG$863)</f>
        <v>0</v>
      </c>
      <c r="G128" s="15" t="n">
        <f aca="false">SUMIF(Test_Times!$A$5:$A$863,A128,Test_Times!$AI$5:$AI$863)</f>
        <v>0</v>
      </c>
      <c r="H128" s="15" t="n">
        <f aca="false">SUMIFS(Test_Times!$AL$5:$AL$863,Test_Times!$A$5:$A$863,A128,Test_Times!$G$5:$G$863,"HPLC")</f>
        <v>0</v>
      </c>
      <c r="I128" s="30" t="n">
        <f aca="false">IFERROR(D128/SUM($D$5:$D$248),0)</f>
        <v>0</v>
      </c>
      <c r="J128" s="31" t="n">
        <f aca="false">D128+ROW()/10000000</f>
        <v>1.28E-005</v>
      </c>
    </row>
    <row r="129" customFormat="false" ht="15" hidden="false" customHeight="false" outlineLevel="0" collapsed="false">
      <c r="A129" s="10" t="s">
        <v>483</v>
      </c>
      <c r="B129" s="10" t="s">
        <v>740</v>
      </c>
      <c r="C129" s="10" t="s">
        <v>437</v>
      </c>
      <c r="D129" s="15" t="n">
        <f aca="false">SUMIFS(Test_Times!$AH$5:$AH$863,Test_Times!$A$5:$A$863,A129,Test_Times!$G$5:$G$863,"HPLC")</f>
        <v>0</v>
      </c>
      <c r="E129" s="15" t="n">
        <f aca="false">SUMIF(Test_Times!$A$5:$A$863,A129,Test_Times!$AH$5:$AH$863)</f>
        <v>0</v>
      </c>
      <c r="F129" s="15" t="n">
        <f aca="false">SUMIF(Test_Times!$A$5:$A$863,A129,Test_Times!$AG$5:$AG$863)</f>
        <v>0</v>
      </c>
      <c r="G129" s="15" t="n">
        <f aca="false">SUMIF(Test_Times!$A$5:$A$863,A129,Test_Times!$AI$5:$AI$863)</f>
        <v>0</v>
      </c>
      <c r="H129" s="15" t="n">
        <f aca="false">SUMIFS(Test_Times!$AL$5:$AL$863,Test_Times!$A$5:$A$863,A129,Test_Times!$G$5:$G$863,"HPLC")</f>
        <v>0</v>
      </c>
      <c r="I129" s="30" t="n">
        <f aca="false">IFERROR(D129/SUM($D$5:$D$248),0)</f>
        <v>0</v>
      </c>
      <c r="J129" s="31" t="n">
        <f aca="false">D129+ROW()/10000000</f>
        <v>1.29E-005</v>
      </c>
    </row>
    <row r="130" customFormat="false" ht="15" hidden="false" customHeight="false" outlineLevel="0" collapsed="false">
      <c r="A130" s="10" t="s">
        <v>484</v>
      </c>
      <c r="B130" s="10" t="s">
        <v>740</v>
      </c>
      <c r="C130" s="10" t="s">
        <v>437</v>
      </c>
      <c r="D130" s="15" t="n">
        <f aca="false">SUMIFS(Test_Times!$AH$5:$AH$863,Test_Times!$A$5:$A$863,A130,Test_Times!$G$5:$G$863,"HPLC")</f>
        <v>0</v>
      </c>
      <c r="E130" s="15" t="n">
        <f aca="false">SUMIF(Test_Times!$A$5:$A$863,A130,Test_Times!$AH$5:$AH$863)</f>
        <v>0</v>
      </c>
      <c r="F130" s="15" t="n">
        <f aca="false">SUMIF(Test_Times!$A$5:$A$863,A130,Test_Times!$AG$5:$AG$863)</f>
        <v>0</v>
      </c>
      <c r="G130" s="15" t="n">
        <f aca="false">SUMIF(Test_Times!$A$5:$A$863,A130,Test_Times!$AI$5:$AI$863)</f>
        <v>0</v>
      </c>
      <c r="H130" s="15" t="n">
        <f aca="false">SUMIFS(Test_Times!$AL$5:$AL$863,Test_Times!$A$5:$A$863,A130,Test_Times!$G$5:$G$863,"HPLC")</f>
        <v>0</v>
      </c>
      <c r="I130" s="30" t="n">
        <f aca="false">IFERROR(D130/SUM($D$5:$D$248),0)</f>
        <v>0</v>
      </c>
      <c r="J130" s="31" t="n">
        <f aca="false">D130+ROW()/10000000</f>
        <v>1.3E-005</v>
      </c>
    </row>
    <row r="131" customFormat="false" ht="15" hidden="false" customHeight="false" outlineLevel="0" collapsed="false">
      <c r="A131" s="10" t="s">
        <v>485</v>
      </c>
      <c r="B131" s="10" t="s">
        <v>740</v>
      </c>
      <c r="C131" s="10" t="s">
        <v>437</v>
      </c>
      <c r="D131" s="15" t="n">
        <f aca="false">SUMIFS(Test_Times!$AH$5:$AH$863,Test_Times!$A$5:$A$863,A131,Test_Times!$G$5:$G$863,"HPLC")</f>
        <v>0</v>
      </c>
      <c r="E131" s="15" t="n">
        <f aca="false">SUMIF(Test_Times!$A$5:$A$863,A131,Test_Times!$AH$5:$AH$863)</f>
        <v>0</v>
      </c>
      <c r="F131" s="15" t="n">
        <f aca="false">SUMIF(Test_Times!$A$5:$A$863,A131,Test_Times!$AG$5:$AG$863)</f>
        <v>0</v>
      </c>
      <c r="G131" s="15" t="n">
        <f aca="false">SUMIF(Test_Times!$A$5:$A$863,A131,Test_Times!$AI$5:$AI$863)</f>
        <v>0</v>
      </c>
      <c r="H131" s="15" t="n">
        <f aca="false">SUMIFS(Test_Times!$AL$5:$AL$863,Test_Times!$A$5:$A$863,A131,Test_Times!$G$5:$G$863,"HPLC")</f>
        <v>0</v>
      </c>
      <c r="I131" s="30" t="n">
        <f aca="false">IFERROR(D131/SUM($D$5:$D$248),0)</f>
        <v>0</v>
      </c>
      <c r="J131" s="31" t="n">
        <f aca="false">D131+ROW()/10000000</f>
        <v>1.31E-005</v>
      </c>
    </row>
    <row r="132" customFormat="false" ht="15" hidden="false" customHeight="false" outlineLevel="0" collapsed="false">
      <c r="A132" s="10" t="s">
        <v>486</v>
      </c>
      <c r="B132" s="10" t="s">
        <v>740</v>
      </c>
      <c r="C132" s="10" t="s">
        <v>437</v>
      </c>
      <c r="D132" s="15" t="n">
        <f aca="false">SUMIFS(Test_Times!$AH$5:$AH$863,Test_Times!$A$5:$A$863,A132,Test_Times!$G$5:$G$863,"HPLC")</f>
        <v>0</v>
      </c>
      <c r="E132" s="15" t="n">
        <f aca="false">SUMIF(Test_Times!$A$5:$A$863,A132,Test_Times!$AH$5:$AH$863)</f>
        <v>0</v>
      </c>
      <c r="F132" s="15" t="n">
        <f aca="false">SUMIF(Test_Times!$A$5:$A$863,A132,Test_Times!$AG$5:$AG$863)</f>
        <v>0</v>
      </c>
      <c r="G132" s="15" t="n">
        <f aca="false">SUMIF(Test_Times!$A$5:$A$863,A132,Test_Times!$AI$5:$AI$863)</f>
        <v>0</v>
      </c>
      <c r="H132" s="15" t="n">
        <f aca="false">SUMIFS(Test_Times!$AL$5:$AL$863,Test_Times!$A$5:$A$863,A132,Test_Times!$G$5:$G$863,"HPLC")</f>
        <v>0</v>
      </c>
      <c r="I132" s="30" t="n">
        <f aca="false">IFERROR(D132/SUM($D$5:$D$248),0)</f>
        <v>0</v>
      </c>
      <c r="J132" s="31" t="n">
        <f aca="false">D132+ROW()/10000000</f>
        <v>1.32E-005</v>
      </c>
    </row>
    <row r="133" customFormat="false" ht="15" hidden="false" customHeight="false" outlineLevel="0" collapsed="false">
      <c r="A133" s="10" t="s">
        <v>487</v>
      </c>
      <c r="B133" s="10" t="s">
        <v>740</v>
      </c>
      <c r="C133" s="10" t="s">
        <v>437</v>
      </c>
      <c r="D133" s="15" t="n">
        <f aca="false">SUMIFS(Test_Times!$AH$5:$AH$863,Test_Times!$A$5:$A$863,A133,Test_Times!$G$5:$G$863,"HPLC")</f>
        <v>0</v>
      </c>
      <c r="E133" s="15" t="n">
        <f aca="false">SUMIF(Test_Times!$A$5:$A$863,A133,Test_Times!$AH$5:$AH$863)</f>
        <v>0</v>
      </c>
      <c r="F133" s="15" t="n">
        <f aca="false">SUMIF(Test_Times!$A$5:$A$863,A133,Test_Times!$AG$5:$AG$863)</f>
        <v>0</v>
      </c>
      <c r="G133" s="15" t="n">
        <f aca="false">SUMIF(Test_Times!$A$5:$A$863,A133,Test_Times!$AI$5:$AI$863)</f>
        <v>0</v>
      </c>
      <c r="H133" s="15" t="n">
        <f aca="false">SUMIFS(Test_Times!$AL$5:$AL$863,Test_Times!$A$5:$A$863,A133,Test_Times!$G$5:$G$863,"HPLC")</f>
        <v>0</v>
      </c>
      <c r="I133" s="30" t="n">
        <f aca="false">IFERROR(D133/SUM($D$5:$D$248),0)</f>
        <v>0</v>
      </c>
      <c r="J133" s="31" t="n">
        <f aca="false">D133+ROW()/10000000</f>
        <v>1.33E-005</v>
      </c>
    </row>
    <row r="134" customFormat="false" ht="15" hidden="false" customHeight="false" outlineLevel="0" collapsed="false">
      <c r="A134" s="10" t="s">
        <v>246</v>
      </c>
      <c r="B134" s="10" t="s">
        <v>740</v>
      </c>
      <c r="C134" s="10" t="s">
        <v>437</v>
      </c>
      <c r="D134" s="15" t="n">
        <f aca="false">SUMIFS(Test_Times!$AH$5:$AH$863,Test_Times!$A$5:$A$863,A134,Test_Times!$G$5:$G$863,"HPLC")</f>
        <v>0</v>
      </c>
      <c r="E134" s="15" t="n">
        <f aca="false">SUMIF(Test_Times!$A$5:$A$863,A134,Test_Times!$AH$5:$AH$863)</f>
        <v>0</v>
      </c>
      <c r="F134" s="15" t="n">
        <f aca="false">SUMIF(Test_Times!$A$5:$A$863,A134,Test_Times!$AG$5:$AG$863)</f>
        <v>0</v>
      </c>
      <c r="G134" s="15" t="n">
        <f aca="false">SUMIF(Test_Times!$A$5:$A$863,A134,Test_Times!$AI$5:$AI$863)</f>
        <v>0</v>
      </c>
      <c r="H134" s="15" t="n">
        <f aca="false">SUMIFS(Test_Times!$AL$5:$AL$863,Test_Times!$A$5:$A$863,A134,Test_Times!$G$5:$G$863,"HPLC")</f>
        <v>0</v>
      </c>
      <c r="I134" s="30" t="n">
        <f aca="false">IFERROR(D134/SUM($D$5:$D$248),0)</f>
        <v>0</v>
      </c>
      <c r="J134" s="31" t="n">
        <f aca="false">D134+ROW()/10000000</f>
        <v>1.34E-005</v>
      </c>
    </row>
    <row r="135" customFormat="false" ht="15" hidden="false" customHeight="false" outlineLevel="0" collapsed="false">
      <c r="A135" s="10" t="s">
        <v>488</v>
      </c>
      <c r="B135" s="10" t="s">
        <v>740</v>
      </c>
      <c r="C135" s="10" t="s">
        <v>437</v>
      </c>
      <c r="D135" s="15" t="n">
        <f aca="false">SUMIFS(Test_Times!$AH$5:$AH$863,Test_Times!$A$5:$A$863,A135,Test_Times!$G$5:$G$863,"HPLC")</f>
        <v>0</v>
      </c>
      <c r="E135" s="15" t="n">
        <f aca="false">SUMIF(Test_Times!$A$5:$A$863,A135,Test_Times!$AH$5:$AH$863)</f>
        <v>0</v>
      </c>
      <c r="F135" s="15" t="n">
        <f aca="false">SUMIF(Test_Times!$A$5:$A$863,A135,Test_Times!$AG$5:$AG$863)</f>
        <v>0</v>
      </c>
      <c r="G135" s="15" t="n">
        <f aca="false">SUMIF(Test_Times!$A$5:$A$863,A135,Test_Times!$AI$5:$AI$863)</f>
        <v>0</v>
      </c>
      <c r="H135" s="15" t="n">
        <f aca="false">SUMIFS(Test_Times!$AL$5:$AL$863,Test_Times!$A$5:$A$863,A135,Test_Times!$G$5:$G$863,"HPLC")</f>
        <v>0</v>
      </c>
      <c r="I135" s="30" t="n">
        <f aca="false">IFERROR(D135/SUM($D$5:$D$248),0)</f>
        <v>0</v>
      </c>
      <c r="J135" s="31" t="n">
        <f aca="false">D135+ROW()/10000000</f>
        <v>1.35E-005</v>
      </c>
    </row>
    <row r="136" customFormat="false" ht="15" hidden="false" customHeight="false" outlineLevel="0" collapsed="false">
      <c r="A136" s="10" t="s">
        <v>320</v>
      </c>
      <c r="B136" s="10" t="s">
        <v>740</v>
      </c>
      <c r="C136" s="10" t="s">
        <v>437</v>
      </c>
      <c r="D136" s="15" t="n">
        <f aca="false">SUMIFS(Test_Times!$AH$5:$AH$863,Test_Times!$A$5:$A$863,A136,Test_Times!$G$5:$G$863,"HPLC")</f>
        <v>0</v>
      </c>
      <c r="E136" s="15" t="n">
        <f aca="false">SUMIF(Test_Times!$A$5:$A$863,A136,Test_Times!$AH$5:$AH$863)</f>
        <v>0</v>
      </c>
      <c r="F136" s="15" t="n">
        <f aca="false">SUMIF(Test_Times!$A$5:$A$863,A136,Test_Times!$AG$5:$AG$863)</f>
        <v>0</v>
      </c>
      <c r="G136" s="15" t="n">
        <f aca="false">SUMIF(Test_Times!$A$5:$A$863,A136,Test_Times!$AI$5:$AI$863)</f>
        <v>0</v>
      </c>
      <c r="H136" s="15" t="n">
        <f aca="false">SUMIFS(Test_Times!$AL$5:$AL$863,Test_Times!$A$5:$A$863,A136,Test_Times!$G$5:$G$863,"HPLC")</f>
        <v>0</v>
      </c>
      <c r="I136" s="30" t="n">
        <f aca="false">IFERROR(D136/SUM($D$5:$D$248),0)</f>
        <v>0</v>
      </c>
      <c r="J136" s="31" t="n">
        <f aca="false">D136+ROW()/10000000</f>
        <v>1.36E-005</v>
      </c>
    </row>
    <row r="137" customFormat="false" ht="15" hidden="false" customHeight="false" outlineLevel="0" collapsed="false">
      <c r="A137" s="10" t="s">
        <v>489</v>
      </c>
      <c r="B137" s="10" t="s">
        <v>740</v>
      </c>
      <c r="C137" s="10" t="s">
        <v>437</v>
      </c>
      <c r="D137" s="15" t="n">
        <f aca="false">SUMIFS(Test_Times!$AH$5:$AH$863,Test_Times!$A$5:$A$863,A137,Test_Times!$G$5:$G$863,"HPLC")</f>
        <v>0</v>
      </c>
      <c r="E137" s="15" t="n">
        <f aca="false">SUMIF(Test_Times!$A$5:$A$863,A137,Test_Times!$AH$5:$AH$863)</f>
        <v>0</v>
      </c>
      <c r="F137" s="15" t="n">
        <f aca="false">SUMIF(Test_Times!$A$5:$A$863,A137,Test_Times!$AG$5:$AG$863)</f>
        <v>0</v>
      </c>
      <c r="G137" s="15" t="n">
        <f aca="false">SUMIF(Test_Times!$A$5:$A$863,A137,Test_Times!$AI$5:$AI$863)</f>
        <v>0</v>
      </c>
      <c r="H137" s="15" t="n">
        <f aca="false">SUMIFS(Test_Times!$AL$5:$AL$863,Test_Times!$A$5:$A$863,A137,Test_Times!$G$5:$G$863,"HPLC")</f>
        <v>0</v>
      </c>
      <c r="I137" s="30" t="n">
        <f aca="false">IFERROR(D137/SUM($D$5:$D$248),0)</f>
        <v>0</v>
      </c>
      <c r="J137" s="31" t="n">
        <f aca="false">D137+ROW()/10000000</f>
        <v>1.37E-005</v>
      </c>
    </row>
    <row r="138" customFormat="false" ht="15" hidden="false" customHeight="false" outlineLevel="0" collapsed="false">
      <c r="A138" s="10" t="s">
        <v>269</v>
      </c>
      <c r="B138" s="10" t="s">
        <v>740</v>
      </c>
      <c r="C138" s="10" t="s">
        <v>437</v>
      </c>
      <c r="D138" s="15" t="n">
        <f aca="false">SUMIFS(Test_Times!$AH$5:$AH$863,Test_Times!$A$5:$A$863,A138,Test_Times!$G$5:$G$863,"HPLC")</f>
        <v>0</v>
      </c>
      <c r="E138" s="15" t="n">
        <f aca="false">SUMIF(Test_Times!$A$5:$A$863,A138,Test_Times!$AH$5:$AH$863)</f>
        <v>0</v>
      </c>
      <c r="F138" s="15" t="n">
        <f aca="false">SUMIF(Test_Times!$A$5:$A$863,A138,Test_Times!$AG$5:$AG$863)</f>
        <v>0</v>
      </c>
      <c r="G138" s="15" t="n">
        <f aca="false">SUMIF(Test_Times!$A$5:$A$863,A138,Test_Times!$AI$5:$AI$863)</f>
        <v>0</v>
      </c>
      <c r="H138" s="15" t="n">
        <f aca="false">SUMIFS(Test_Times!$AL$5:$AL$863,Test_Times!$A$5:$A$863,A138,Test_Times!$G$5:$G$863,"HPLC")</f>
        <v>0</v>
      </c>
      <c r="I138" s="30" t="n">
        <f aca="false">IFERROR(D138/SUM($D$5:$D$248),0)</f>
        <v>0</v>
      </c>
      <c r="J138" s="31" t="n">
        <f aca="false">D138+ROW()/10000000</f>
        <v>1.38E-005</v>
      </c>
    </row>
    <row r="139" customFormat="false" ht="15" hidden="false" customHeight="false" outlineLevel="0" collapsed="false">
      <c r="A139" s="10" t="s">
        <v>490</v>
      </c>
      <c r="B139" s="10" t="s">
        <v>740</v>
      </c>
      <c r="C139" s="10" t="s">
        <v>437</v>
      </c>
      <c r="D139" s="15" t="n">
        <f aca="false">SUMIFS(Test_Times!$AH$5:$AH$863,Test_Times!$A$5:$A$863,A139,Test_Times!$G$5:$G$863,"HPLC")</f>
        <v>0</v>
      </c>
      <c r="E139" s="15" t="n">
        <f aca="false">SUMIF(Test_Times!$A$5:$A$863,A139,Test_Times!$AH$5:$AH$863)</f>
        <v>0</v>
      </c>
      <c r="F139" s="15" t="n">
        <f aca="false">SUMIF(Test_Times!$A$5:$A$863,A139,Test_Times!$AG$5:$AG$863)</f>
        <v>0</v>
      </c>
      <c r="G139" s="15" t="n">
        <f aca="false">SUMIF(Test_Times!$A$5:$A$863,A139,Test_Times!$AI$5:$AI$863)</f>
        <v>0</v>
      </c>
      <c r="H139" s="15" t="n">
        <f aca="false">SUMIFS(Test_Times!$AL$5:$AL$863,Test_Times!$A$5:$A$863,A139,Test_Times!$G$5:$G$863,"HPLC")</f>
        <v>0</v>
      </c>
      <c r="I139" s="30" t="n">
        <f aca="false">IFERROR(D139/SUM($D$5:$D$248),0)</f>
        <v>0</v>
      </c>
      <c r="J139" s="31" t="n">
        <f aca="false">D139+ROW()/10000000</f>
        <v>1.39E-005</v>
      </c>
    </row>
    <row r="140" customFormat="false" ht="15" hidden="false" customHeight="false" outlineLevel="0" collapsed="false">
      <c r="A140" s="10" t="s">
        <v>491</v>
      </c>
      <c r="B140" s="10" t="s">
        <v>740</v>
      </c>
      <c r="C140" s="10" t="s">
        <v>437</v>
      </c>
      <c r="D140" s="15" t="n">
        <f aca="false">SUMIFS(Test_Times!$AH$5:$AH$863,Test_Times!$A$5:$A$863,A140,Test_Times!$G$5:$G$863,"HPLC")</f>
        <v>0</v>
      </c>
      <c r="E140" s="15" t="n">
        <f aca="false">SUMIF(Test_Times!$A$5:$A$863,A140,Test_Times!$AH$5:$AH$863)</f>
        <v>0</v>
      </c>
      <c r="F140" s="15" t="n">
        <f aca="false">SUMIF(Test_Times!$A$5:$A$863,A140,Test_Times!$AG$5:$AG$863)</f>
        <v>0</v>
      </c>
      <c r="G140" s="15" t="n">
        <f aca="false">SUMIF(Test_Times!$A$5:$A$863,A140,Test_Times!$AI$5:$AI$863)</f>
        <v>0</v>
      </c>
      <c r="H140" s="15" t="n">
        <f aca="false">SUMIFS(Test_Times!$AL$5:$AL$863,Test_Times!$A$5:$A$863,A140,Test_Times!$G$5:$G$863,"HPLC")</f>
        <v>0</v>
      </c>
      <c r="I140" s="30" t="n">
        <f aca="false">IFERROR(D140/SUM($D$5:$D$248),0)</f>
        <v>0</v>
      </c>
      <c r="J140" s="31" t="n">
        <f aca="false">D140+ROW()/10000000</f>
        <v>1.4E-005</v>
      </c>
    </row>
    <row r="141" customFormat="false" ht="15" hidden="false" customHeight="false" outlineLevel="0" collapsed="false">
      <c r="A141" s="10" t="s">
        <v>492</v>
      </c>
      <c r="B141" s="10" t="s">
        <v>740</v>
      </c>
      <c r="C141" s="10" t="s">
        <v>437</v>
      </c>
      <c r="D141" s="15" t="n">
        <f aca="false">SUMIFS(Test_Times!$AH$5:$AH$863,Test_Times!$A$5:$A$863,A141,Test_Times!$G$5:$G$863,"HPLC")</f>
        <v>0</v>
      </c>
      <c r="E141" s="15" t="n">
        <f aca="false">SUMIF(Test_Times!$A$5:$A$863,A141,Test_Times!$AH$5:$AH$863)</f>
        <v>0</v>
      </c>
      <c r="F141" s="15" t="n">
        <f aca="false">SUMIF(Test_Times!$A$5:$A$863,A141,Test_Times!$AG$5:$AG$863)</f>
        <v>0</v>
      </c>
      <c r="G141" s="15" t="n">
        <f aca="false">SUMIF(Test_Times!$A$5:$A$863,A141,Test_Times!$AI$5:$AI$863)</f>
        <v>0</v>
      </c>
      <c r="H141" s="15" t="n">
        <f aca="false">SUMIFS(Test_Times!$AL$5:$AL$863,Test_Times!$A$5:$A$863,A141,Test_Times!$G$5:$G$863,"HPLC")</f>
        <v>0</v>
      </c>
      <c r="I141" s="30" t="n">
        <f aca="false">IFERROR(D141/SUM($D$5:$D$248),0)</f>
        <v>0</v>
      </c>
      <c r="J141" s="31" t="n">
        <f aca="false">D141+ROW()/10000000</f>
        <v>1.41E-005</v>
      </c>
    </row>
    <row r="142" customFormat="false" ht="15" hidden="false" customHeight="false" outlineLevel="0" collapsed="false">
      <c r="A142" s="10" t="s">
        <v>493</v>
      </c>
      <c r="B142" s="10" t="s">
        <v>740</v>
      </c>
      <c r="C142" s="10" t="s">
        <v>437</v>
      </c>
      <c r="D142" s="15" t="n">
        <f aca="false">SUMIFS(Test_Times!$AH$5:$AH$863,Test_Times!$A$5:$A$863,A142,Test_Times!$G$5:$G$863,"HPLC")</f>
        <v>0</v>
      </c>
      <c r="E142" s="15" t="n">
        <f aca="false">SUMIF(Test_Times!$A$5:$A$863,A142,Test_Times!$AH$5:$AH$863)</f>
        <v>0</v>
      </c>
      <c r="F142" s="15" t="n">
        <f aca="false">SUMIF(Test_Times!$A$5:$A$863,A142,Test_Times!$AG$5:$AG$863)</f>
        <v>0</v>
      </c>
      <c r="G142" s="15" t="n">
        <f aca="false">SUMIF(Test_Times!$A$5:$A$863,A142,Test_Times!$AI$5:$AI$863)</f>
        <v>0</v>
      </c>
      <c r="H142" s="15" t="n">
        <f aca="false">SUMIFS(Test_Times!$AL$5:$AL$863,Test_Times!$A$5:$A$863,A142,Test_Times!$G$5:$G$863,"HPLC")</f>
        <v>0</v>
      </c>
      <c r="I142" s="30" t="n">
        <f aca="false">IFERROR(D142/SUM($D$5:$D$248),0)</f>
        <v>0</v>
      </c>
      <c r="J142" s="31" t="n">
        <f aca="false">D142+ROW()/10000000</f>
        <v>1.42E-005</v>
      </c>
    </row>
    <row r="143" customFormat="false" ht="15" hidden="false" customHeight="false" outlineLevel="0" collapsed="false">
      <c r="A143" s="10" t="s">
        <v>494</v>
      </c>
      <c r="B143" s="10" t="s">
        <v>740</v>
      </c>
      <c r="C143" s="10" t="s">
        <v>437</v>
      </c>
      <c r="D143" s="15" t="n">
        <f aca="false">SUMIFS(Test_Times!$AH$5:$AH$863,Test_Times!$A$5:$A$863,A143,Test_Times!$G$5:$G$863,"HPLC")</f>
        <v>0</v>
      </c>
      <c r="E143" s="15" t="n">
        <f aca="false">SUMIF(Test_Times!$A$5:$A$863,A143,Test_Times!$AH$5:$AH$863)</f>
        <v>0</v>
      </c>
      <c r="F143" s="15" t="n">
        <f aca="false">SUMIF(Test_Times!$A$5:$A$863,A143,Test_Times!$AG$5:$AG$863)</f>
        <v>0</v>
      </c>
      <c r="G143" s="15" t="n">
        <f aca="false">SUMIF(Test_Times!$A$5:$A$863,A143,Test_Times!$AI$5:$AI$863)</f>
        <v>0</v>
      </c>
      <c r="H143" s="15" t="n">
        <f aca="false">SUMIFS(Test_Times!$AL$5:$AL$863,Test_Times!$A$5:$A$863,A143,Test_Times!$G$5:$G$863,"HPLC")</f>
        <v>0</v>
      </c>
      <c r="I143" s="30" t="n">
        <f aca="false">IFERROR(D143/SUM($D$5:$D$248),0)</f>
        <v>0</v>
      </c>
      <c r="J143" s="31" t="n">
        <f aca="false">D143+ROW()/10000000</f>
        <v>1.43E-005</v>
      </c>
    </row>
    <row r="144" customFormat="false" ht="15" hidden="false" customHeight="false" outlineLevel="0" collapsed="false">
      <c r="A144" s="10" t="s">
        <v>230</v>
      </c>
      <c r="B144" s="10" t="s">
        <v>740</v>
      </c>
      <c r="C144" s="10" t="s">
        <v>437</v>
      </c>
      <c r="D144" s="15" t="n">
        <f aca="false">SUMIFS(Test_Times!$AH$5:$AH$863,Test_Times!$A$5:$A$863,A144,Test_Times!$G$5:$G$863,"HPLC")</f>
        <v>0</v>
      </c>
      <c r="E144" s="15" t="n">
        <f aca="false">SUMIF(Test_Times!$A$5:$A$863,A144,Test_Times!$AH$5:$AH$863)</f>
        <v>0</v>
      </c>
      <c r="F144" s="15" t="n">
        <f aca="false">SUMIF(Test_Times!$A$5:$A$863,A144,Test_Times!$AG$5:$AG$863)</f>
        <v>0</v>
      </c>
      <c r="G144" s="15" t="n">
        <f aca="false">SUMIF(Test_Times!$A$5:$A$863,A144,Test_Times!$AI$5:$AI$863)</f>
        <v>0</v>
      </c>
      <c r="H144" s="15" t="n">
        <f aca="false">SUMIFS(Test_Times!$AL$5:$AL$863,Test_Times!$A$5:$A$863,A144,Test_Times!$G$5:$G$863,"HPLC")</f>
        <v>0</v>
      </c>
      <c r="I144" s="30" t="n">
        <f aca="false">IFERROR(D144/SUM($D$5:$D$248),0)</f>
        <v>0</v>
      </c>
      <c r="J144" s="31" t="n">
        <f aca="false">D144+ROW()/10000000</f>
        <v>1.44E-005</v>
      </c>
    </row>
    <row r="145" customFormat="false" ht="15" hidden="false" customHeight="false" outlineLevel="0" collapsed="false">
      <c r="A145" s="10" t="s">
        <v>495</v>
      </c>
      <c r="B145" s="10" t="s">
        <v>740</v>
      </c>
      <c r="C145" s="10" t="s">
        <v>437</v>
      </c>
      <c r="D145" s="15" t="n">
        <f aca="false">SUMIFS(Test_Times!$AH$5:$AH$863,Test_Times!$A$5:$A$863,A145,Test_Times!$G$5:$G$863,"HPLC")</f>
        <v>0</v>
      </c>
      <c r="E145" s="15" t="n">
        <f aca="false">SUMIF(Test_Times!$A$5:$A$863,A145,Test_Times!$AH$5:$AH$863)</f>
        <v>0</v>
      </c>
      <c r="F145" s="15" t="n">
        <f aca="false">SUMIF(Test_Times!$A$5:$A$863,A145,Test_Times!$AG$5:$AG$863)</f>
        <v>0</v>
      </c>
      <c r="G145" s="15" t="n">
        <f aca="false">SUMIF(Test_Times!$A$5:$A$863,A145,Test_Times!$AI$5:$AI$863)</f>
        <v>0</v>
      </c>
      <c r="H145" s="15" t="n">
        <f aca="false">SUMIFS(Test_Times!$AL$5:$AL$863,Test_Times!$A$5:$A$863,A145,Test_Times!$G$5:$G$863,"HPLC")</f>
        <v>0</v>
      </c>
      <c r="I145" s="30" t="n">
        <f aca="false">IFERROR(D145/SUM($D$5:$D$248),0)</f>
        <v>0</v>
      </c>
      <c r="J145" s="31" t="n">
        <f aca="false">D145+ROW()/10000000</f>
        <v>1.45E-005</v>
      </c>
    </row>
    <row r="146" customFormat="false" ht="15" hidden="false" customHeight="false" outlineLevel="0" collapsed="false">
      <c r="A146" s="10" t="s">
        <v>234</v>
      </c>
      <c r="B146" s="10" t="s">
        <v>740</v>
      </c>
      <c r="C146" s="10" t="s">
        <v>437</v>
      </c>
      <c r="D146" s="15" t="n">
        <f aca="false">SUMIFS(Test_Times!$AH$5:$AH$863,Test_Times!$A$5:$A$863,A146,Test_Times!$G$5:$G$863,"HPLC")</f>
        <v>0</v>
      </c>
      <c r="E146" s="15" t="n">
        <f aca="false">SUMIF(Test_Times!$A$5:$A$863,A146,Test_Times!$AH$5:$AH$863)</f>
        <v>0</v>
      </c>
      <c r="F146" s="15" t="n">
        <f aca="false">SUMIF(Test_Times!$A$5:$A$863,A146,Test_Times!$AG$5:$AG$863)</f>
        <v>0</v>
      </c>
      <c r="G146" s="15" t="n">
        <f aca="false">SUMIF(Test_Times!$A$5:$A$863,A146,Test_Times!$AI$5:$AI$863)</f>
        <v>0</v>
      </c>
      <c r="H146" s="15" t="n">
        <f aca="false">SUMIFS(Test_Times!$AL$5:$AL$863,Test_Times!$A$5:$A$863,A146,Test_Times!$G$5:$G$863,"HPLC")</f>
        <v>0</v>
      </c>
      <c r="I146" s="30" t="n">
        <f aca="false">IFERROR(D146/SUM($D$5:$D$248),0)</f>
        <v>0</v>
      </c>
      <c r="J146" s="31" t="n">
        <f aca="false">D146+ROW()/10000000</f>
        <v>1.46E-005</v>
      </c>
    </row>
    <row r="147" customFormat="false" ht="15" hidden="false" customHeight="false" outlineLevel="0" collapsed="false">
      <c r="A147" s="10" t="s">
        <v>200</v>
      </c>
      <c r="B147" s="10" t="s">
        <v>740</v>
      </c>
      <c r="C147" s="10" t="s">
        <v>437</v>
      </c>
      <c r="D147" s="15" t="n">
        <f aca="false">SUMIFS(Test_Times!$AH$5:$AH$863,Test_Times!$A$5:$A$863,A147,Test_Times!$G$5:$G$863,"HPLC")</f>
        <v>0</v>
      </c>
      <c r="E147" s="15" t="n">
        <f aca="false">SUMIF(Test_Times!$A$5:$A$863,A147,Test_Times!$AH$5:$AH$863)</f>
        <v>0</v>
      </c>
      <c r="F147" s="15" t="n">
        <f aca="false">SUMIF(Test_Times!$A$5:$A$863,A147,Test_Times!$AG$5:$AG$863)</f>
        <v>0</v>
      </c>
      <c r="G147" s="15" t="n">
        <f aca="false">SUMIF(Test_Times!$A$5:$A$863,A147,Test_Times!$AI$5:$AI$863)</f>
        <v>0</v>
      </c>
      <c r="H147" s="15" t="n">
        <f aca="false">SUMIFS(Test_Times!$AL$5:$AL$863,Test_Times!$A$5:$A$863,A147,Test_Times!$G$5:$G$863,"HPLC")</f>
        <v>0</v>
      </c>
      <c r="I147" s="30" t="n">
        <f aca="false">IFERROR(D147/SUM($D$5:$D$248),0)</f>
        <v>0</v>
      </c>
      <c r="J147" s="31" t="n">
        <f aca="false">D147+ROW()/10000000</f>
        <v>1.47E-005</v>
      </c>
    </row>
    <row r="148" customFormat="false" ht="15" hidden="false" customHeight="false" outlineLevel="0" collapsed="false">
      <c r="A148" s="10" t="s">
        <v>496</v>
      </c>
      <c r="B148" s="10" t="s">
        <v>740</v>
      </c>
      <c r="C148" s="10" t="s">
        <v>437</v>
      </c>
      <c r="D148" s="15" t="n">
        <f aca="false">SUMIFS(Test_Times!$AH$5:$AH$863,Test_Times!$A$5:$A$863,A148,Test_Times!$G$5:$G$863,"HPLC")</f>
        <v>0</v>
      </c>
      <c r="E148" s="15" t="n">
        <f aca="false">SUMIF(Test_Times!$A$5:$A$863,A148,Test_Times!$AH$5:$AH$863)</f>
        <v>0</v>
      </c>
      <c r="F148" s="15" t="n">
        <f aca="false">SUMIF(Test_Times!$A$5:$A$863,A148,Test_Times!$AG$5:$AG$863)</f>
        <v>0</v>
      </c>
      <c r="G148" s="15" t="n">
        <f aca="false">SUMIF(Test_Times!$A$5:$A$863,A148,Test_Times!$AI$5:$AI$863)</f>
        <v>0</v>
      </c>
      <c r="H148" s="15" t="n">
        <f aca="false">SUMIFS(Test_Times!$AL$5:$AL$863,Test_Times!$A$5:$A$863,A148,Test_Times!$G$5:$G$863,"HPLC")</f>
        <v>0</v>
      </c>
      <c r="I148" s="30" t="n">
        <f aca="false">IFERROR(D148/SUM($D$5:$D$248),0)</f>
        <v>0</v>
      </c>
      <c r="J148" s="31" t="n">
        <f aca="false">D148+ROW()/10000000</f>
        <v>1.48E-005</v>
      </c>
    </row>
    <row r="149" customFormat="false" ht="15" hidden="false" customHeight="false" outlineLevel="0" collapsed="false">
      <c r="A149" s="10" t="s">
        <v>497</v>
      </c>
      <c r="B149" s="10" t="s">
        <v>740</v>
      </c>
      <c r="C149" s="10" t="s">
        <v>437</v>
      </c>
      <c r="D149" s="15" t="n">
        <f aca="false">SUMIFS(Test_Times!$AH$5:$AH$863,Test_Times!$A$5:$A$863,A149,Test_Times!$G$5:$G$863,"HPLC")</f>
        <v>0</v>
      </c>
      <c r="E149" s="15" t="n">
        <f aca="false">SUMIF(Test_Times!$A$5:$A$863,A149,Test_Times!$AH$5:$AH$863)</f>
        <v>0</v>
      </c>
      <c r="F149" s="15" t="n">
        <f aca="false">SUMIF(Test_Times!$A$5:$A$863,A149,Test_Times!$AG$5:$AG$863)</f>
        <v>0</v>
      </c>
      <c r="G149" s="15" t="n">
        <f aca="false">SUMIF(Test_Times!$A$5:$A$863,A149,Test_Times!$AI$5:$AI$863)</f>
        <v>0</v>
      </c>
      <c r="H149" s="15" t="n">
        <f aca="false">SUMIFS(Test_Times!$AL$5:$AL$863,Test_Times!$A$5:$A$863,A149,Test_Times!$G$5:$G$863,"HPLC")</f>
        <v>0</v>
      </c>
      <c r="I149" s="30" t="n">
        <f aca="false">IFERROR(D149/SUM($D$5:$D$248),0)</f>
        <v>0</v>
      </c>
      <c r="J149" s="31" t="n">
        <f aca="false">D149+ROW()/10000000</f>
        <v>1.49E-005</v>
      </c>
    </row>
    <row r="150" customFormat="false" ht="15" hidden="false" customHeight="false" outlineLevel="0" collapsed="false">
      <c r="A150" s="10" t="s">
        <v>253</v>
      </c>
      <c r="B150" s="10" t="s">
        <v>740</v>
      </c>
      <c r="C150" s="10" t="s">
        <v>437</v>
      </c>
      <c r="D150" s="15" t="n">
        <f aca="false">SUMIFS(Test_Times!$AH$5:$AH$863,Test_Times!$A$5:$A$863,A150,Test_Times!$G$5:$G$863,"HPLC")</f>
        <v>0</v>
      </c>
      <c r="E150" s="15" t="n">
        <f aca="false">SUMIF(Test_Times!$A$5:$A$863,A150,Test_Times!$AH$5:$AH$863)</f>
        <v>0</v>
      </c>
      <c r="F150" s="15" t="n">
        <f aca="false">SUMIF(Test_Times!$A$5:$A$863,A150,Test_Times!$AG$5:$AG$863)</f>
        <v>0</v>
      </c>
      <c r="G150" s="15" t="n">
        <f aca="false">SUMIF(Test_Times!$A$5:$A$863,A150,Test_Times!$AI$5:$AI$863)</f>
        <v>0</v>
      </c>
      <c r="H150" s="15" t="n">
        <f aca="false">SUMIFS(Test_Times!$AL$5:$AL$863,Test_Times!$A$5:$A$863,A150,Test_Times!$G$5:$G$863,"HPLC")</f>
        <v>0</v>
      </c>
      <c r="I150" s="30" t="n">
        <f aca="false">IFERROR(D150/SUM($D$5:$D$248),0)</f>
        <v>0</v>
      </c>
      <c r="J150" s="31" t="n">
        <f aca="false">D150+ROW()/10000000</f>
        <v>1.5E-005</v>
      </c>
    </row>
    <row r="151" customFormat="false" ht="15" hidden="false" customHeight="false" outlineLevel="0" collapsed="false">
      <c r="A151" s="10" t="s">
        <v>498</v>
      </c>
      <c r="B151" s="10" t="s">
        <v>740</v>
      </c>
      <c r="C151" s="10" t="s">
        <v>437</v>
      </c>
      <c r="D151" s="15" t="n">
        <f aca="false">SUMIFS(Test_Times!$AH$5:$AH$863,Test_Times!$A$5:$A$863,A151,Test_Times!$G$5:$G$863,"HPLC")</f>
        <v>0</v>
      </c>
      <c r="E151" s="15" t="n">
        <f aca="false">SUMIF(Test_Times!$A$5:$A$863,A151,Test_Times!$AH$5:$AH$863)</f>
        <v>0</v>
      </c>
      <c r="F151" s="15" t="n">
        <f aca="false">SUMIF(Test_Times!$A$5:$A$863,A151,Test_Times!$AG$5:$AG$863)</f>
        <v>0</v>
      </c>
      <c r="G151" s="15" t="n">
        <f aca="false">SUMIF(Test_Times!$A$5:$A$863,A151,Test_Times!$AI$5:$AI$863)</f>
        <v>0</v>
      </c>
      <c r="H151" s="15" t="n">
        <f aca="false">SUMIFS(Test_Times!$AL$5:$AL$863,Test_Times!$A$5:$A$863,A151,Test_Times!$G$5:$G$863,"HPLC")</f>
        <v>0</v>
      </c>
      <c r="I151" s="30" t="n">
        <f aca="false">IFERROR(D151/SUM($D$5:$D$248),0)</f>
        <v>0</v>
      </c>
      <c r="J151" s="31" t="n">
        <f aca="false">D151+ROW()/10000000</f>
        <v>1.51E-005</v>
      </c>
    </row>
    <row r="152" customFormat="false" ht="15" hidden="false" customHeight="false" outlineLevel="0" collapsed="false">
      <c r="A152" s="10" t="s">
        <v>499</v>
      </c>
      <c r="B152" s="10" t="s">
        <v>740</v>
      </c>
      <c r="C152" s="10" t="s">
        <v>437</v>
      </c>
      <c r="D152" s="15" t="n">
        <f aca="false">SUMIFS(Test_Times!$AH$5:$AH$863,Test_Times!$A$5:$A$863,A152,Test_Times!$G$5:$G$863,"HPLC")</f>
        <v>0</v>
      </c>
      <c r="E152" s="15" t="n">
        <f aca="false">SUMIF(Test_Times!$A$5:$A$863,A152,Test_Times!$AH$5:$AH$863)</f>
        <v>0</v>
      </c>
      <c r="F152" s="15" t="n">
        <f aca="false">SUMIF(Test_Times!$A$5:$A$863,A152,Test_Times!$AG$5:$AG$863)</f>
        <v>0</v>
      </c>
      <c r="G152" s="15" t="n">
        <f aca="false">SUMIF(Test_Times!$A$5:$A$863,A152,Test_Times!$AI$5:$AI$863)</f>
        <v>0</v>
      </c>
      <c r="H152" s="15" t="n">
        <f aca="false">SUMIFS(Test_Times!$AL$5:$AL$863,Test_Times!$A$5:$A$863,A152,Test_Times!$G$5:$G$863,"HPLC")</f>
        <v>0</v>
      </c>
      <c r="I152" s="30" t="n">
        <f aca="false">IFERROR(D152/SUM($D$5:$D$248),0)</f>
        <v>0</v>
      </c>
      <c r="J152" s="31" t="n">
        <f aca="false">D152+ROW()/10000000</f>
        <v>1.52E-005</v>
      </c>
    </row>
    <row r="153" customFormat="false" ht="15" hidden="false" customHeight="false" outlineLevel="0" collapsed="false">
      <c r="A153" s="10" t="s">
        <v>500</v>
      </c>
      <c r="B153" s="10" t="s">
        <v>740</v>
      </c>
      <c r="C153" s="10" t="s">
        <v>437</v>
      </c>
      <c r="D153" s="15" t="n">
        <f aca="false">SUMIFS(Test_Times!$AH$5:$AH$863,Test_Times!$A$5:$A$863,A153,Test_Times!$G$5:$G$863,"HPLC")</f>
        <v>0</v>
      </c>
      <c r="E153" s="15" t="n">
        <f aca="false">SUMIF(Test_Times!$A$5:$A$863,A153,Test_Times!$AH$5:$AH$863)</f>
        <v>0</v>
      </c>
      <c r="F153" s="15" t="n">
        <f aca="false">SUMIF(Test_Times!$A$5:$A$863,A153,Test_Times!$AG$5:$AG$863)</f>
        <v>0</v>
      </c>
      <c r="G153" s="15" t="n">
        <f aca="false">SUMIF(Test_Times!$A$5:$A$863,A153,Test_Times!$AI$5:$AI$863)</f>
        <v>0</v>
      </c>
      <c r="H153" s="15" t="n">
        <f aca="false">SUMIFS(Test_Times!$AL$5:$AL$863,Test_Times!$A$5:$A$863,A153,Test_Times!$G$5:$G$863,"HPLC")</f>
        <v>0</v>
      </c>
      <c r="I153" s="30" t="n">
        <f aca="false">IFERROR(D153/SUM($D$5:$D$248),0)</f>
        <v>0</v>
      </c>
      <c r="J153" s="31" t="n">
        <f aca="false">D153+ROW()/10000000</f>
        <v>1.53E-005</v>
      </c>
    </row>
    <row r="154" customFormat="false" ht="15" hidden="false" customHeight="false" outlineLevel="0" collapsed="false">
      <c r="A154" s="10" t="s">
        <v>501</v>
      </c>
      <c r="B154" s="10" t="s">
        <v>740</v>
      </c>
      <c r="C154" s="10" t="s">
        <v>437</v>
      </c>
      <c r="D154" s="15" t="n">
        <f aca="false">SUMIFS(Test_Times!$AH$5:$AH$863,Test_Times!$A$5:$A$863,A154,Test_Times!$G$5:$G$863,"HPLC")</f>
        <v>0</v>
      </c>
      <c r="E154" s="15" t="n">
        <f aca="false">SUMIF(Test_Times!$A$5:$A$863,A154,Test_Times!$AH$5:$AH$863)</f>
        <v>0</v>
      </c>
      <c r="F154" s="15" t="n">
        <f aca="false">SUMIF(Test_Times!$A$5:$A$863,A154,Test_Times!$AG$5:$AG$863)</f>
        <v>0</v>
      </c>
      <c r="G154" s="15" t="n">
        <f aca="false">SUMIF(Test_Times!$A$5:$A$863,A154,Test_Times!$AI$5:$AI$863)</f>
        <v>0</v>
      </c>
      <c r="H154" s="15" t="n">
        <f aca="false">SUMIFS(Test_Times!$AL$5:$AL$863,Test_Times!$A$5:$A$863,A154,Test_Times!$G$5:$G$863,"HPLC")</f>
        <v>0</v>
      </c>
      <c r="I154" s="30" t="n">
        <f aca="false">IFERROR(D154/SUM($D$5:$D$248),0)</f>
        <v>0</v>
      </c>
      <c r="J154" s="31" t="n">
        <f aca="false">D154+ROW()/10000000</f>
        <v>1.54E-005</v>
      </c>
    </row>
    <row r="155" customFormat="false" ht="15" hidden="false" customHeight="false" outlineLevel="0" collapsed="false">
      <c r="A155" s="10" t="s">
        <v>502</v>
      </c>
      <c r="B155" s="10" t="s">
        <v>740</v>
      </c>
      <c r="C155" s="10" t="s">
        <v>437</v>
      </c>
      <c r="D155" s="15" t="n">
        <f aca="false">SUMIFS(Test_Times!$AH$5:$AH$863,Test_Times!$A$5:$A$863,A155,Test_Times!$G$5:$G$863,"HPLC")</f>
        <v>0</v>
      </c>
      <c r="E155" s="15" t="n">
        <f aca="false">SUMIF(Test_Times!$A$5:$A$863,A155,Test_Times!$AH$5:$AH$863)</f>
        <v>0</v>
      </c>
      <c r="F155" s="15" t="n">
        <f aca="false">SUMIF(Test_Times!$A$5:$A$863,A155,Test_Times!$AG$5:$AG$863)</f>
        <v>0</v>
      </c>
      <c r="G155" s="15" t="n">
        <f aca="false">SUMIF(Test_Times!$A$5:$A$863,A155,Test_Times!$AI$5:$AI$863)</f>
        <v>0</v>
      </c>
      <c r="H155" s="15" t="n">
        <f aca="false">SUMIFS(Test_Times!$AL$5:$AL$863,Test_Times!$A$5:$A$863,A155,Test_Times!$G$5:$G$863,"HPLC")</f>
        <v>0</v>
      </c>
      <c r="I155" s="30" t="n">
        <f aca="false">IFERROR(D155/SUM($D$5:$D$248),0)</f>
        <v>0</v>
      </c>
      <c r="J155" s="31" t="n">
        <f aca="false">D155+ROW()/10000000</f>
        <v>1.55E-005</v>
      </c>
    </row>
    <row r="156" customFormat="false" ht="15" hidden="false" customHeight="false" outlineLevel="0" collapsed="false">
      <c r="A156" s="10" t="s">
        <v>209</v>
      </c>
      <c r="B156" s="10" t="s">
        <v>740</v>
      </c>
      <c r="C156" s="10" t="s">
        <v>437</v>
      </c>
      <c r="D156" s="15" t="n">
        <f aca="false">SUMIFS(Test_Times!$AH$5:$AH$863,Test_Times!$A$5:$A$863,A156,Test_Times!$G$5:$G$863,"HPLC")</f>
        <v>0</v>
      </c>
      <c r="E156" s="15" t="n">
        <f aca="false">SUMIF(Test_Times!$A$5:$A$863,A156,Test_Times!$AH$5:$AH$863)</f>
        <v>0</v>
      </c>
      <c r="F156" s="15" t="n">
        <f aca="false">SUMIF(Test_Times!$A$5:$A$863,A156,Test_Times!$AG$5:$AG$863)</f>
        <v>0</v>
      </c>
      <c r="G156" s="15" t="n">
        <f aca="false">SUMIF(Test_Times!$A$5:$A$863,A156,Test_Times!$AI$5:$AI$863)</f>
        <v>0</v>
      </c>
      <c r="H156" s="15" t="n">
        <f aca="false">SUMIFS(Test_Times!$AL$5:$AL$863,Test_Times!$A$5:$A$863,A156,Test_Times!$G$5:$G$863,"HPLC")</f>
        <v>0</v>
      </c>
      <c r="I156" s="30" t="n">
        <f aca="false">IFERROR(D156/SUM($D$5:$D$248),0)</f>
        <v>0</v>
      </c>
      <c r="J156" s="31" t="n">
        <f aca="false">D156+ROW()/10000000</f>
        <v>1.56E-005</v>
      </c>
    </row>
    <row r="157" customFormat="false" ht="15" hidden="false" customHeight="false" outlineLevel="0" collapsed="false">
      <c r="A157" s="10" t="s">
        <v>503</v>
      </c>
      <c r="B157" s="10" t="s">
        <v>740</v>
      </c>
      <c r="C157" s="10" t="s">
        <v>437</v>
      </c>
      <c r="D157" s="15" t="n">
        <f aca="false">SUMIFS(Test_Times!$AH$5:$AH$863,Test_Times!$A$5:$A$863,A157,Test_Times!$G$5:$G$863,"HPLC")</f>
        <v>0</v>
      </c>
      <c r="E157" s="15" t="n">
        <f aca="false">SUMIF(Test_Times!$A$5:$A$863,A157,Test_Times!$AH$5:$AH$863)</f>
        <v>0</v>
      </c>
      <c r="F157" s="15" t="n">
        <f aca="false">SUMIF(Test_Times!$A$5:$A$863,A157,Test_Times!$AG$5:$AG$863)</f>
        <v>0</v>
      </c>
      <c r="G157" s="15" t="n">
        <f aca="false">SUMIF(Test_Times!$A$5:$A$863,A157,Test_Times!$AI$5:$AI$863)</f>
        <v>0</v>
      </c>
      <c r="H157" s="15" t="n">
        <f aca="false">SUMIFS(Test_Times!$AL$5:$AL$863,Test_Times!$A$5:$A$863,A157,Test_Times!$G$5:$G$863,"HPLC")</f>
        <v>0</v>
      </c>
      <c r="I157" s="30" t="n">
        <f aca="false">IFERROR(D157/SUM($D$5:$D$248),0)</f>
        <v>0</v>
      </c>
      <c r="J157" s="31" t="n">
        <f aca="false">D157+ROW()/10000000</f>
        <v>1.57E-005</v>
      </c>
    </row>
    <row r="158" customFormat="false" ht="15" hidden="false" customHeight="false" outlineLevel="0" collapsed="false">
      <c r="A158" s="10" t="s">
        <v>504</v>
      </c>
      <c r="B158" s="10" t="s">
        <v>740</v>
      </c>
      <c r="C158" s="10" t="s">
        <v>437</v>
      </c>
      <c r="D158" s="15" t="n">
        <f aca="false">SUMIFS(Test_Times!$AH$5:$AH$863,Test_Times!$A$5:$A$863,A158,Test_Times!$G$5:$G$863,"HPLC")</f>
        <v>0</v>
      </c>
      <c r="E158" s="15" t="n">
        <f aca="false">SUMIF(Test_Times!$A$5:$A$863,A158,Test_Times!$AH$5:$AH$863)</f>
        <v>0</v>
      </c>
      <c r="F158" s="15" t="n">
        <f aca="false">SUMIF(Test_Times!$A$5:$A$863,A158,Test_Times!$AG$5:$AG$863)</f>
        <v>0</v>
      </c>
      <c r="G158" s="15" t="n">
        <f aca="false">SUMIF(Test_Times!$A$5:$A$863,A158,Test_Times!$AI$5:$AI$863)</f>
        <v>0</v>
      </c>
      <c r="H158" s="15" t="n">
        <f aca="false">SUMIFS(Test_Times!$AL$5:$AL$863,Test_Times!$A$5:$A$863,A158,Test_Times!$G$5:$G$863,"HPLC")</f>
        <v>0</v>
      </c>
      <c r="I158" s="30" t="n">
        <f aca="false">IFERROR(D158/SUM($D$5:$D$248),0)</f>
        <v>0</v>
      </c>
      <c r="J158" s="31" t="n">
        <f aca="false">D158+ROW()/10000000</f>
        <v>1.58E-005</v>
      </c>
    </row>
    <row r="159" customFormat="false" ht="15" hidden="false" customHeight="false" outlineLevel="0" collapsed="false">
      <c r="A159" s="10" t="s">
        <v>387</v>
      </c>
      <c r="B159" s="10" t="s">
        <v>740</v>
      </c>
      <c r="C159" s="10" t="s">
        <v>437</v>
      </c>
      <c r="D159" s="15" t="n">
        <f aca="false">SUMIFS(Test_Times!$AH$5:$AH$863,Test_Times!$A$5:$A$863,A159,Test_Times!$G$5:$G$863,"HPLC")</f>
        <v>0</v>
      </c>
      <c r="E159" s="15" t="n">
        <f aca="false">SUMIF(Test_Times!$A$5:$A$863,A159,Test_Times!$AH$5:$AH$863)</f>
        <v>0</v>
      </c>
      <c r="F159" s="15" t="n">
        <f aca="false">SUMIF(Test_Times!$A$5:$A$863,A159,Test_Times!$AG$5:$AG$863)</f>
        <v>0</v>
      </c>
      <c r="G159" s="15" t="n">
        <f aca="false">SUMIF(Test_Times!$A$5:$A$863,A159,Test_Times!$AI$5:$AI$863)</f>
        <v>0</v>
      </c>
      <c r="H159" s="15" t="n">
        <f aca="false">SUMIFS(Test_Times!$AL$5:$AL$863,Test_Times!$A$5:$A$863,A159,Test_Times!$G$5:$G$863,"HPLC")</f>
        <v>0</v>
      </c>
      <c r="I159" s="30" t="n">
        <f aca="false">IFERROR(D159/SUM($D$5:$D$248),0)</f>
        <v>0</v>
      </c>
      <c r="J159" s="31" t="n">
        <f aca="false">D159+ROW()/10000000</f>
        <v>1.59E-005</v>
      </c>
    </row>
    <row r="160" customFormat="false" ht="15" hidden="false" customHeight="false" outlineLevel="0" collapsed="false">
      <c r="A160" s="10" t="s">
        <v>505</v>
      </c>
      <c r="B160" s="10" t="s">
        <v>740</v>
      </c>
      <c r="C160" s="10" t="s">
        <v>437</v>
      </c>
      <c r="D160" s="15" t="n">
        <f aca="false">SUMIFS(Test_Times!$AH$5:$AH$863,Test_Times!$A$5:$A$863,A160,Test_Times!$G$5:$G$863,"HPLC")</f>
        <v>0</v>
      </c>
      <c r="E160" s="15" t="n">
        <f aca="false">SUMIF(Test_Times!$A$5:$A$863,A160,Test_Times!$AH$5:$AH$863)</f>
        <v>0</v>
      </c>
      <c r="F160" s="15" t="n">
        <f aca="false">SUMIF(Test_Times!$A$5:$A$863,A160,Test_Times!$AG$5:$AG$863)</f>
        <v>0</v>
      </c>
      <c r="G160" s="15" t="n">
        <f aca="false">SUMIF(Test_Times!$A$5:$A$863,A160,Test_Times!$AI$5:$AI$863)</f>
        <v>0</v>
      </c>
      <c r="H160" s="15" t="n">
        <f aca="false">SUMIFS(Test_Times!$AL$5:$AL$863,Test_Times!$A$5:$A$863,A160,Test_Times!$G$5:$G$863,"HPLC")</f>
        <v>0</v>
      </c>
      <c r="I160" s="30" t="n">
        <f aca="false">IFERROR(D160/SUM($D$5:$D$248),0)</f>
        <v>0</v>
      </c>
      <c r="J160" s="31" t="n">
        <f aca="false">D160+ROW()/10000000</f>
        <v>1.6E-005</v>
      </c>
    </row>
    <row r="161" customFormat="false" ht="15" hidden="false" customHeight="false" outlineLevel="0" collapsed="false">
      <c r="A161" s="10" t="s">
        <v>506</v>
      </c>
      <c r="B161" s="10" t="s">
        <v>740</v>
      </c>
      <c r="C161" s="10" t="s">
        <v>437</v>
      </c>
      <c r="D161" s="15" t="n">
        <f aca="false">SUMIFS(Test_Times!$AH$5:$AH$863,Test_Times!$A$5:$A$863,A161,Test_Times!$G$5:$G$863,"HPLC")</f>
        <v>0</v>
      </c>
      <c r="E161" s="15" t="n">
        <f aca="false">SUMIF(Test_Times!$A$5:$A$863,A161,Test_Times!$AH$5:$AH$863)</f>
        <v>0</v>
      </c>
      <c r="F161" s="15" t="n">
        <f aca="false">SUMIF(Test_Times!$A$5:$A$863,A161,Test_Times!$AG$5:$AG$863)</f>
        <v>0</v>
      </c>
      <c r="G161" s="15" t="n">
        <f aca="false">SUMIF(Test_Times!$A$5:$A$863,A161,Test_Times!$AI$5:$AI$863)</f>
        <v>0</v>
      </c>
      <c r="H161" s="15" t="n">
        <f aca="false">SUMIFS(Test_Times!$AL$5:$AL$863,Test_Times!$A$5:$A$863,A161,Test_Times!$G$5:$G$863,"HPLC")</f>
        <v>0</v>
      </c>
      <c r="I161" s="30" t="n">
        <f aca="false">IFERROR(D161/SUM($D$5:$D$248),0)</f>
        <v>0</v>
      </c>
      <c r="J161" s="31" t="n">
        <f aca="false">D161+ROW()/10000000</f>
        <v>1.61E-005</v>
      </c>
    </row>
    <row r="162" customFormat="false" ht="15" hidden="false" customHeight="false" outlineLevel="0" collapsed="false">
      <c r="A162" s="10" t="s">
        <v>507</v>
      </c>
      <c r="B162" s="10" t="s">
        <v>740</v>
      </c>
      <c r="C162" s="10" t="s">
        <v>437</v>
      </c>
      <c r="D162" s="15" t="n">
        <f aca="false">SUMIFS(Test_Times!$AH$5:$AH$863,Test_Times!$A$5:$A$863,A162,Test_Times!$G$5:$G$863,"HPLC")</f>
        <v>0</v>
      </c>
      <c r="E162" s="15" t="n">
        <f aca="false">SUMIF(Test_Times!$A$5:$A$863,A162,Test_Times!$AH$5:$AH$863)</f>
        <v>0</v>
      </c>
      <c r="F162" s="15" t="n">
        <f aca="false">SUMIF(Test_Times!$A$5:$A$863,A162,Test_Times!$AG$5:$AG$863)</f>
        <v>0</v>
      </c>
      <c r="G162" s="15" t="n">
        <f aca="false">SUMIF(Test_Times!$A$5:$A$863,A162,Test_Times!$AI$5:$AI$863)</f>
        <v>0</v>
      </c>
      <c r="H162" s="15" t="n">
        <f aca="false">SUMIFS(Test_Times!$AL$5:$AL$863,Test_Times!$A$5:$A$863,A162,Test_Times!$G$5:$G$863,"HPLC")</f>
        <v>0</v>
      </c>
      <c r="I162" s="30" t="n">
        <f aca="false">IFERROR(D162/SUM($D$5:$D$248),0)</f>
        <v>0</v>
      </c>
      <c r="J162" s="31" t="n">
        <f aca="false">D162+ROW()/10000000</f>
        <v>1.62E-005</v>
      </c>
    </row>
    <row r="163" customFormat="false" ht="15" hidden="false" customHeight="false" outlineLevel="0" collapsed="false">
      <c r="A163" s="10" t="s">
        <v>508</v>
      </c>
      <c r="B163" s="10" t="s">
        <v>740</v>
      </c>
      <c r="C163" s="10" t="s">
        <v>509</v>
      </c>
      <c r="D163" s="15" t="n">
        <f aca="false">SUMIFS(Test_Times!$AH$5:$AH$863,Test_Times!$A$5:$A$863,A163,Test_Times!$G$5:$G$863,"HPLC")</f>
        <v>0</v>
      </c>
      <c r="E163" s="15" t="n">
        <f aca="false">SUMIF(Test_Times!$A$5:$A$863,A163,Test_Times!$AH$5:$AH$863)</f>
        <v>0</v>
      </c>
      <c r="F163" s="15" t="n">
        <f aca="false">SUMIF(Test_Times!$A$5:$A$863,A163,Test_Times!$AG$5:$AG$863)</f>
        <v>0</v>
      </c>
      <c r="G163" s="15" t="n">
        <f aca="false">SUMIF(Test_Times!$A$5:$A$863,A163,Test_Times!$AI$5:$AI$863)</f>
        <v>0</v>
      </c>
      <c r="H163" s="15" t="n">
        <f aca="false">SUMIFS(Test_Times!$AL$5:$AL$863,Test_Times!$A$5:$A$863,A163,Test_Times!$G$5:$G$863,"HPLC")</f>
        <v>0</v>
      </c>
      <c r="I163" s="30" t="n">
        <f aca="false">IFERROR(D163/SUM($D$5:$D$248),0)</f>
        <v>0</v>
      </c>
      <c r="J163" s="31" t="n">
        <f aca="false">D163+ROW()/10000000</f>
        <v>1.63E-005</v>
      </c>
    </row>
    <row r="164" customFormat="false" ht="15" hidden="false" customHeight="false" outlineLevel="0" collapsed="false">
      <c r="A164" s="10" t="s">
        <v>510</v>
      </c>
      <c r="B164" s="10" t="s">
        <v>740</v>
      </c>
      <c r="C164" s="10" t="s">
        <v>509</v>
      </c>
      <c r="D164" s="15" t="n">
        <f aca="false">SUMIFS(Test_Times!$AH$5:$AH$863,Test_Times!$A$5:$A$863,A164,Test_Times!$G$5:$G$863,"HPLC")</f>
        <v>0</v>
      </c>
      <c r="E164" s="15" t="n">
        <f aca="false">SUMIF(Test_Times!$A$5:$A$863,A164,Test_Times!$AH$5:$AH$863)</f>
        <v>0</v>
      </c>
      <c r="F164" s="15" t="n">
        <f aca="false">SUMIF(Test_Times!$A$5:$A$863,A164,Test_Times!$AG$5:$AG$863)</f>
        <v>0</v>
      </c>
      <c r="G164" s="15" t="n">
        <f aca="false">SUMIF(Test_Times!$A$5:$A$863,A164,Test_Times!$AI$5:$AI$863)</f>
        <v>0</v>
      </c>
      <c r="H164" s="15" t="n">
        <f aca="false">SUMIFS(Test_Times!$AL$5:$AL$863,Test_Times!$A$5:$A$863,A164,Test_Times!$G$5:$G$863,"HPLC")</f>
        <v>0</v>
      </c>
      <c r="I164" s="30" t="n">
        <f aca="false">IFERROR(D164/SUM($D$5:$D$248),0)</f>
        <v>0</v>
      </c>
      <c r="J164" s="31" t="n">
        <f aca="false">D164+ROW()/10000000</f>
        <v>1.64E-005</v>
      </c>
    </row>
    <row r="165" customFormat="false" ht="15" hidden="false" customHeight="false" outlineLevel="0" collapsed="false">
      <c r="A165" s="10" t="s">
        <v>511</v>
      </c>
      <c r="B165" s="10" t="s">
        <v>740</v>
      </c>
      <c r="C165" s="10" t="s">
        <v>512</v>
      </c>
      <c r="D165" s="15" t="n">
        <f aca="false">SUMIFS(Test_Times!$AH$5:$AH$863,Test_Times!$A$5:$A$863,A165,Test_Times!$G$5:$G$863,"HPLC")</f>
        <v>0</v>
      </c>
      <c r="E165" s="15" t="n">
        <f aca="false">SUMIF(Test_Times!$A$5:$A$863,A165,Test_Times!$AH$5:$AH$863)</f>
        <v>0</v>
      </c>
      <c r="F165" s="15" t="n">
        <f aca="false">SUMIF(Test_Times!$A$5:$A$863,A165,Test_Times!$AG$5:$AG$863)</f>
        <v>0</v>
      </c>
      <c r="G165" s="15" t="n">
        <f aca="false">SUMIF(Test_Times!$A$5:$A$863,A165,Test_Times!$AI$5:$AI$863)</f>
        <v>0</v>
      </c>
      <c r="H165" s="15" t="n">
        <f aca="false">SUMIFS(Test_Times!$AL$5:$AL$863,Test_Times!$A$5:$A$863,A165,Test_Times!$G$5:$G$863,"HPLC")</f>
        <v>0</v>
      </c>
      <c r="I165" s="30" t="n">
        <f aca="false">IFERROR(D165/SUM($D$5:$D$248),0)</f>
        <v>0</v>
      </c>
      <c r="J165" s="31" t="n">
        <f aca="false">D165+ROW()/10000000</f>
        <v>1.65E-005</v>
      </c>
    </row>
    <row r="166" customFormat="false" ht="15" hidden="false" customHeight="false" outlineLevel="0" collapsed="false">
      <c r="A166" s="10" t="s">
        <v>513</v>
      </c>
      <c r="B166" s="10" t="s">
        <v>740</v>
      </c>
      <c r="C166" s="10" t="s">
        <v>512</v>
      </c>
      <c r="D166" s="15" t="n">
        <f aca="false">SUMIFS(Test_Times!$AH$5:$AH$863,Test_Times!$A$5:$A$863,A166,Test_Times!$G$5:$G$863,"HPLC")</f>
        <v>0</v>
      </c>
      <c r="E166" s="15" t="n">
        <f aca="false">SUMIF(Test_Times!$A$5:$A$863,A166,Test_Times!$AH$5:$AH$863)</f>
        <v>0</v>
      </c>
      <c r="F166" s="15" t="n">
        <f aca="false">SUMIF(Test_Times!$A$5:$A$863,A166,Test_Times!$AG$5:$AG$863)</f>
        <v>0</v>
      </c>
      <c r="G166" s="15" t="n">
        <f aca="false">SUMIF(Test_Times!$A$5:$A$863,A166,Test_Times!$AI$5:$AI$863)</f>
        <v>0</v>
      </c>
      <c r="H166" s="15" t="n">
        <f aca="false">SUMIFS(Test_Times!$AL$5:$AL$863,Test_Times!$A$5:$A$863,A166,Test_Times!$G$5:$G$863,"HPLC")</f>
        <v>0</v>
      </c>
      <c r="I166" s="30" t="n">
        <f aca="false">IFERROR(D166/SUM($D$5:$D$248),0)</f>
        <v>0</v>
      </c>
      <c r="J166" s="31" t="n">
        <f aca="false">D166+ROW()/10000000</f>
        <v>1.66E-005</v>
      </c>
    </row>
    <row r="167" customFormat="false" ht="15" hidden="false" customHeight="false" outlineLevel="0" collapsed="false">
      <c r="A167" s="10" t="s">
        <v>514</v>
      </c>
      <c r="B167" s="10" t="s">
        <v>740</v>
      </c>
      <c r="C167" s="10" t="s">
        <v>515</v>
      </c>
      <c r="D167" s="15" t="n">
        <f aca="false">SUMIFS(Test_Times!$AH$5:$AH$863,Test_Times!$A$5:$A$863,A167,Test_Times!$G$5:$G$863,"HPLC")</f>
        <v>0</v>
      </c>
      <c r="E167" s="15" t="n">
        <f aca="false">SUMIF(Test_Times!$A$5:$A$863,A167,Test_Times!$AH$5:$AH$863)</f>
        <v>0</v>
      </c>
      <c r="F167" s="15" t="n">
        <f aca="false">SUMIF(Test_Times!$A$5:$A$863,A167,Test_Times!$AG$5:$AG$863)</f>
        <v>0</v>
      </c>
      <c r="G167" s="15" t="n">
        <f aca="false">SUMIF(Test_Times!$A$5:$A$863,A167,Test_Times!$AI$5:$AI$863)</f>
        <v>0</v>
      </c>
      <c r="H167" s="15" t="n">
        <f aca="false">SUMIFS(Test_Times!$AL$5:$AL$863,Test_Times!$A$5:$A$863,A167,Test_Times!$G$5:$G$863,"HPLC")</f>
        <v>0</v>
      </c>
      <c r="I167" s="30" t="n">
        <f aca="false">IFERROR(D167/SUM($D$5:$D$248),0)</f>
        <v>0</v>
      </c>
      <c r="J167" s="31" t="n">
        <f aca="false">D167+ROW()/10000000</f>
        <v>1.67E-005</v>
      </c>
    </row>
    <row r="168" customFormat="false" ht="15" hidden="false" customHeight="false" outlineLevel="0" collapsed="false">
      <c r="A168" s="10" t="s">
        <v>516</v>
      </c>
      <c r="B168" s="10" t="s">
        <v>740</v>
      </c>
      <c r="C168" s="10" t="s">
        <v>515</v>
      </c>
      <c r="D168" s="15" t="n">
        <f aca="false">SUMIFS(Test_Times!$AH$5:$AH$863,Test_Times!$A$5:$A$863,A168,Test_Times!$G$5:$G$863,"HPLC")</f>
        <v>0</v>
      </c>
      <c r="E168" s="15" t="n">
        <f aca="false">SUMIF(Test_Times!$A$5:$A$863,A168,Test_Times!$AH$5:$AH$863)</f>
        <v>0</v>
      </c>
      <c r="F168" s="15" t="n">
        <f aca="false">SUMIF(Test_Times!$A$5:$A$863,A168,Test_Times!$AG$5:$AG$863)</f>
        <v>0</v>
      </c>
      <c r="G168" s="15" t="n">
        <f aca="false">SUMIF(Test_Times!$A$5:$A$863,A168,Test_Times!$AI$5:$AI$863)</f>
        <v>0</v>
      </c>
      <c r="H168" s="15" t="n">
        <f aca="false">SUMIFS(Test_Times!$AL$5:$AL$863,Test_Times!$A$5:$A$863,A168,Test_Times!$G$5:$G$863,"HPLC")</f>
        <v>0</v>
      </c>
      <c r="I168" s="30" t="n">
        <f aca="false">IFERROR(D168/SUM($D$5:$D$248),0)</f>
        <v>0</v>
      </c>
      <c r="J168" s="31" t="n">
        <f aca="false">D168+ROW()/10000000</f>
        <v>1.68E-005</v>
      </c>
    </row>
    <row r="169" customFormat="false" ht="15" hidden="false" customHeight="false" outlineLevel="0" collapsed="false">
      <c r="A169" s="10" t="s">
        <v>517</v>
      </c>
      <c r="B169" s="10" t="s">
        <v>740</v>
      </c>
      <c r="C169" s="10" t="s">
        <v>518</v>
      </c>
      <c r="D169" s="15" t="n">
        <f aca="false">SUMIFS(Test_Times!$AH$5:$AH$863,Test_Times!$A$5:$A$863,A169,Test_Times!$G$5:$G$863,"HPLC")</f>
        <v>0</v>
      </c>
      <c r="E169" s="15" t="n">
        <f aca="false">SUMIF(Test_Times!$A$5:$A$863,A169,Test_Times!$AH$5:$AH$863)</f>
        <v>0</v>
      </c>
      <c r="F169" s="15" t="n">
        <f aca="false">SUMIF(Test_Times!$A$5:$A$863,A169,Test_Times!$AG$5:$AG$863)</f>
        <v>0</v>
      </c>
      <c r="G169" s="15" t="n">
        <f aca="false">SUMIF(Test_Times!$A$5:$A$863,A169,Test_Times!$AI$5:$AI$863)</f>
        <v>0</v>
      </c>
      <c r="H169" s="15" t="n">
        <f aca="false">SUMIFS(Test_Times!$AL$5:$AL$863,Test_Times!$A$5:$A$863,A169,Test_Times!$G$5:$G$863,"HPLC")</f>
        <v>0</v>
      </c>
      <c r="I169" s="30" t="n">
        <f aca="false">IFERROR(D169/SUM($D$5:$D$248),0)</f>
        <v>0</v>
      </c>
      <c r="J169" s="31" t="n">
        <f aca="false">D169+ROW()/10000000</f>
        <v>1.69E-005</v>
      </c>
    </row>
    <row r="170" customFormat="false" ht="15" hidden="false" customHeight="false" outlineLevel="0" collapsed="false">
      <c r="A170" s="10" t="s">
        <v>519</v>
      </c>
      <c r="B170" s="10" t="s">
        <v>740</v>
      </c>
      <c r="C170" s="10" t="s">
        <v>520</v>
      </c>
      <c r="D170" s="15" t="n">
        <f aca="false">SUMIFS(Test_Times!$AH$5:$AH$863,Test_Times!$A$5:$A$863,A170,Test_Times!$G$5:$G$863,"HPLC")</f>
        <v>0</v>
      </c>
      <c r="E170" s="15" t="n">
        <f aca="false">SUMIF(Test_Times!$A$5:$A$863,A170,Test_Times!$AH$5:$AH$863)</f>
        <v>0</v>
      </c>
      <c r="F170" s="15" t="n">
        <f aca="false">SUMIF(Test_Times!$A$5:$A$863,A170,Test_Times!$AG$5:$AG$863)</f>
        <v>0</v>
      </c>
      <c r="G170" s="15" t="n">
        <f aca="false">SUMIF(Test_Times!$A$5:$A$863,A170,Test_Times!$AI$5:$AI$863)</f>
        <v>0</v>
      </c>
      <c r="H170" s="15" t="n">
        <f aca="false">SUMIFS(Test_Times!$AL$5:$AL$863,Test_Times!$A$5:$A$863,A170,Test_Times!$G$5:$G$863,"HPLC")</f>
        <v>0</v>
      </c>
      <c r="I170" s="30" t="n">
        <f aca="false">IFERROR(D170/SUM($D$5:$D$248),0)</f>
        <v>0</v>
      </c>
      <c r="J170" s="31" t="n">
        <f aca="false">D170+ROW()/10000000</f>
        <v>1.7E-005</v>
      </c>
    </row>
    <row r="171" customFormat="false" ht="15" hidden="false" customHeight="false" outlineLevel="0" collapsed="false">
      <c r="A171" s="10" t="s">
        <v>521</v>
      </c>
      <c r="B171" s="10" t="s">
        <v>740</v>
      </c>
      <c r="C171" s="10" t="s">
        <v>522</v>
      </c>
      <c r="D171" s="15" t="n">
        <f aca="false">SUMIFS(Test_Times!$AH$5:$AH$863,Test_Times!$A$5:$A$863,A171,Test_Times!$G$5:$G$863,"HPLC")</f>
        <v>0</v>
      </c>
      <c r="E171" s="15" t="n">
        <f aca="false">SUMIF(Test_Times!$A$5:$A$863,A171,Test_Times!$AH$5:$AH$863)</f>
        <v>0</v>
      </c>
      <c r="F171" s="15" t="n">
        <f aca="false">SUMIF(Test_Times!$A$5:$A$863,A171,Test_Times!$AG$5:$AG$863)</f>
        <v>0</v>
      </c>
      <c r="G171" s="15" t="n">
        <f aca="false">SUMIF(Test_Times!$A$5:$A$863,A171,Test_Times!$AI$5:$AI$863)</f>
        <v>0</v>
      </c>
      <c r="H171" s="15" t="n">
        <f aca="false">SUMIFS(Test_Times!$AL$5:$AL$863,Test_Times!$A$5:$A$863,A171,Test_Times!$G$5:$G$863,"HPLC")</f>
        <v>0</v>
      </c>
      <c r="I171" s="30" t="n">
        <f aca="false">IFERROR(D171/SUM($D$5:$D$248),0)</f>
        <v>0</v>
      </c>
      <c r="J171" s="31" t="n">
        <f aca="false">D171+ROW()/10000000</f>
        <v>1.71E-005</v>
      </c>
    </row>
    <row r="172" customFormat="false" ht="15" hidden="false" customHeight="false" outlineLevel="0" collapsed="false">
      <c r="A172" s="10" t="s">
        <v>523</v>
      </c>
      <c r="B172" s="10" t="s">
        <v>740</v>
      </c>
      <c r="C172" s="10" t="s">
        <v>522</v>
      </c>
      <c r="D172" s="15" t="n">
        <f aca="false">SUMIFS(Test_Times!$AH$5:$AH$863,Test_Times!$A$5:$A$863,A172,Test_Times!$G$5:$G$863,"HPLC")</f>
        <v>0</v>
      </c>
      <c r="E172" s="15" t="n">
        <f aca="false">SUMIF(Test_Times!$A$5:$A$863,A172,Test_Times!$AH$5:$AH$863)</f>
        <v>0</v>
      </c>
      <c r="F172" s="15" t="n">
        <f aca="false">SUMIF(Test_Times!$A$5:$A$863,A172,Test_Times!$AG$5:$AG$863)</f>
        <v>0</v>
      </c>
      <c r="G172" s="15" t="n">
        <f aca="false">SUMIF(Test_Times!$A$5:$A$863,A172,Test_Times!$AI$5:$AI$863)</f>
        <v>0</v>
      </c>
      <c r="H172" s="15" t="n">
        <f aca="false">SUMIFS(Test_Times!$AL$5:$AL$863,Test_Times!$A$5:$A$863,A172,Test_Times!$G$5:$G$863,"HPLC")</f>
        <v>0</v>
      </c>
      <c r="I172" s="30" t="n">
        <f aca="false">IFERROR(D172/SUM($D$5:$D$248),0)</f>
        <v>0</v>
      </c>
      <c r="J172" s="31" t="n">
        <f aca="false">D172+ROW()/10000000</f>
        <v>1.72E-005</v>
      </c>
    </row>
    <row r="173" customFormat="false" ht="15" hidden="false" customHeight="false" outlineLevel="0" collapsed="false">
      <c r="A173" s="10" t="s">
        <v>524</v>
      </c>
      <c r="B173" s="10" t="s">
        <v>740</v>
      </c>
      <c r="C173" s="10" t="s">
        <v>522</v>
      </c>
      <c r="D173" s="15" t="n">
        <f aca="false">SUMIFS(Test_Times!$AH$5:$AH$863,Test_Times!$A$5:$A$863,A173,Test_Times!$G$5:$G$863,"HPLC")</f>
        <v>0</v>
      </c>
      <c r="E173" s="15" t="n">
        <f aca="false">SUMIF(Test_Times!$A$5:$A$863,A173,Test_Times!$AH$5:$AH$863)</f>
        <v>0</v>
      </c>
      <c r="F173" s="15" t="n">
        <f aca="false">SUMIF(Test_Times!$A$5:$A$863,A173,Test_Times!$AG$5:$AG$863)</f>
        <v>0</v>
      </c>
      <c r="G173" s="15" t="n">
        <f aca="false">SUMIF(Test_Times!$A$5:$A$863,A173,Test_Times!$AI$5:$AI$863)</f>
        <v>0</v>
      </c>
      <c r="H173" s="15" t="n">
        <f aca="false">SUMIFS(Test_Times!$AL$5:$AL$863,Test_Times!$A$5:$A$863,A173,Test_Times!$G$5:$G$863,"HPLC")</f>
        <v>0</v>
      </c>
      <c r="I173" s="30" t="n">
        <f aca="false">IFERROR(D173/SUM($D$5:$D$248),0)</f>
        <v>0</v>
      </c>
      <c r="J173" s="31" t="n">
        <f aca="false">D173+ROW()/10000000</f>
        <v>1.73E-005</v>
      </c>
    </row>
    <row r="174" customFormat="false" ht="15" hidden="false" customHeight="false" outlineLevel="0" collapsed="false">
      <c r="A174" s="10" t="s">
        <v>525</v>
      </c>
      <c r="B174" s="10" t="s">
        <v>740</v>
      </c>
      <c r="C174" s="10" t="s">
        <v>522</v>
      </c>
      <c r="D174" s="15" t="n">
        <f aca="false">SUMIFS(Test_Times!$AH$5:$AH$863,Test_Times!$A$5:$A$863,A174,Test_Times!$G$5:$G$863,"HPLC")</f>
        <v>0</v>
      </c>
      <c r="E174" s="15" t="n">
        <f aca="false">SUMIF(Test_Times!$A$5:$A$863,A174,Test_Times!$AH$5:$AH$863)</f>
        <v>0</v>
      </c>
      <c r="F174" s="15" t="n">
        <f aca="false">SUMIF(Test_Times!$A$5:$A$863,A174,Test_Times!$AG$5:$AG$863)</f>
        <v>0</v>
      </c>
      <c r="G174" s="15" t="n">
        <f aca="false">SUMIF(Test_Times!$A$5:$A$863,A174,Test_Times!$AI$5:$AI$863)</f>
        <v>0</v>
      </c>
      <c r="H174" s="15" t="n">
        <f aca="false">SUMIFS(Test_Times!$AL$5:$AL$863,Test_Times!$A$5:$A$863,A174,Test_Times!$G$5:$G$863,"HPLC")</f>
        <v>0</v>
      </c>
      <c r="I174" s="30" t="n">
        <f aca="false">IFERROR(D174/SUM($D$5:$D$248),0)</f>
        <v>0</v>
      </c>
      <c r="J174" s="31" t="n">
        <f aca="false">D174+ROW()/10000000</f>
        <v>1.74E-005</v>
      </c>
    </row>
    <row r="175" customFormat="false" ht="15" hidden="false" customHeight="false" outlineLevel="0" collapsed="false">
      <c r="A175" s="10" t="s">
        <v>526</v>
      </c>
      <c r="B175" s="10" t="s">
        <v>740</v>
      </c>
      <c r="C175" s="10" t="s">
        <v>522</v>
      </c>
      <c r="D175" s="15" t="n">
        <f aca="false">SUMIFS(Test_Times!$AH$5:$AH$863,Test_Times!$A$5:$A$863,A175,Test_Times!$G$5:$G$863,"HPLC")</f>
        <v>0</v>
      </c>
      <c r="E175" s="15" t="n">
        <f aca="false">SUMIF(Test_Times!$A$5:$A$863,A175,Test_Times!$AH$5:$AH$863)</f>
        <v>0</v>
      </c>
      <c r="F175" s="15" t="n">
        <f aca="false">SUMIF(Test_Times!$A$5:$A$863,A175,Test_Times!$AG$5:$AG$863)</f>
        <v>0</v>
      </c>
      <c r="G175" s="15" t="n">
        <f aca="false">SUMIF(Test_Times!$A$5:$A$863,A175,Test_Times!$AI$5:$AI$863)</f>
        <v>0</v>
      </c>
      <c r="H175" s="15" t="n">
        <f aca="false">SUMIFS(Test_Times!$AL$5:$AL$863,Test_Times!$A$5:$A$863,A175,Test_Times!$G$5:$G$863,"HPLC")</f>
        <v>0</v>
      </c>
      <c r="I175" s="30" t="n">
        <f aca="false">IFERROR(D175/SUM($D$5:$D$248),0)</f>
        <v>0</v>
      </c>
      <c r="J175" s="31" t="n">
        <f aca="false">D175+ROW()/10000000</f>
        <v>1.75E-005</v>
      </c>
    </row>
    <row r="176" customFormat="false" ht="15" hidden="false" customHeight="false" outlineLevel="0" collapsed="false">
      <c r="A176" s="10" t="s">
        <v>527</v>
      </c>
      <c r="B176" s="10" t="s">
        <v>740</v>
      </c>
      <c r="C176" s="10" t="s">
        <v>522</v>
      </c>
      <c r="D176" s="15" t="n">
        <f aca="false">SUMIFS(Test_Times!$AH$5:$AH$863,Test_Times!$A$5:$A$863,A176,Test_Times!$G$5:$G$863,"HPLC")</f>
        <v>0</v>
      </c>
      <c r="E176" s="15" t="n">
        <f aca="false">SUMIF(Test_Times!$A$5:$A$863,A176,Test_Times!$AH$5:$AH$863)</f>
        <v>0</v>
      </c>
      <c r="F176" s="15" t="n">
        <f aca="false">SUMIF(Test_Times!$A$5:$A$863,A176,Test_Times!$AG$5:$AG$863)</f>
        <v>0</v>
      </c>
      <c r="G176" s="15" t="n">
        <f aca="false">SUMIF(Test_Times!$A$5:$A$863,A176,Test_Times!$AI$5:$AI$863)</f>
        <v>0</v>
      </c>
      <c r="H176" s="15" t="n">
        <f aca="false">SUMIFS(Test_Times!$AL$5:$AL$863,Test_Times!$A$5:$A$863,A176,Test_Times!$G$5:$G$863,"HPLC")</f>
        <v>0</v>
      </c>
      <c r="I176" s="30" t="n">
        <f aca="false">IFERROR(D176/SUM($D$5:$D$248),0)</f>
        <v>0</v>
      </c>
      <c r="J176" s="31" t="n">
        <f aca="false">D176+ROW()/10000000</f>
        <v>1.76E-005</v>
      </c>
    </row>
    <row r="177" customFormat="false" ht="15" hidden="false" customHeight="false" outlineLevel="0" collapsed="false">
      <c r="A177" s="10" t="s">
        <v>528</v>
      </c>
      <c r="B177" s="10" t="s">
        <v>740</v>
      </c>
      <c r="C177" s="10" t="s">
        <v>522</v>
      </c>
      <c r="D177" s="15" t="n">
        <f aca="false">SUMIFS(Test_Times!$AH$5:$AH$863,Test_Times!$A$5:$A$863,A177,Test_Times!$G$5:$G$863,"HPLC")</f>
        <v>0</v>
      </c>
      <c r="E177" s="15" t="n">
        <f aca="false">SUMIF(Test_Times!$A$5:$A$863,A177,Test_Times!$AH$5:$AH$863)</f>
        <v>0</v>
      </c>
      <c r="F177" s="15" t="n">
        <f aca="false">SUMIF(Test_Times!$A$5:$A$863,A177,Test_Times!$AG$5:$AG$863)</f>
        <v>0</v>
      </c>
      <c r="G177" s="15" t="n">
        <f aca="false">SUMIF(Test_Times!$A$5:$A$863,A177,Test_Times!$AI$5:$AI$863)</f>
        <v>0</v>
      </c>
      <c r="H177" s="15" t="n">
        <f aca="false">SUMIFS(Test_Times!$AL$5:$AL$863,Test_Times!$A$5:$A$863,A177,Test_Times!$G$5:$G$863,"HPLC")</f>
        <v>0</v>
      </c>
      <c r="I177" s="30" t="n">
        <f aca="false">IFERROR(D177/SUM($D$5:$D$248),0)</f>
        <v>0</v>
      </c>
      <c r="J177" s="31" t="n">
        <f aca="false">D177+ROW()/10000000</f>
        <v>1.77E-005</v>
      </c>
    </row>
    <row r="178" customFormat="false" ht="15" hidden="false" customHeight="false" outlineLevel="0" collapsed="false">
      <c r="A178" s="10" t="s">
        <v>529</v>
      </c>
      <c r="B178" s="10" t="s">
        <v>740</v>
      </c>
      <c r="C178" s="10" t="s">
        <v>522</v>
      </c>
      <c r="D178" s="15" t="n">
        <f aca="false">SUMIFS(Test_Times!$AH$5:$AH$863,Test_Times!$A$5:$A$863,A178,Test_Times!$G$5:$G$863,"HPLC")</f>
        <v>0</v>
      </c>
      <c r="E178" s="15" t="n">
        <f aca="false">SUMIF(Test_Times!$A$5:$A$863,A178,Test_Times!$AH$5:$AH$863)</f>
        <v>0</v>
      </c>
      <c r="F178" s="15" t="n">
        <f aca="false">SUMIF(Test_Times!$A$5:$A$863,A178,Test_Times!$AG$5:$AG$863)</f>
        <v>0</v>
      </c>
      <c r="G178" s="15" t="n">
        <f aca="false">SUMIF(Test_Times!$A$5:$A$863,A178,Test_Times!$AI$5:$AI$863)</f>
        <v>0</v>
      </c>
      <c r="H178" s="15" t="n">
        <f aca="false">SUMIFS(Test_Times!$AL$5:$AL$863,Test_Times!$A$5:$A$863,A178,Test_Times!$G$5:$G$863,"HPLC")</f>
        <v>0</v>
      </c>
      <c r="I178" s="30" t="n">
        <f aca="false">IFERROR(D178/SUM($D$5:$D$248),0)</f>
        <v>0</v>
      </c>
      <c r="J178" s="31" t="n">
        <f aca="false">D178+ROW()/10000000</f>
        <v>1.78E-005</v>
      </c>
    </row>
    <row r="179" customFormat="false" ht="15" hidden="false" customHeight="false" outlineLevel="0" collapsed="false">
      <c r="A179" s="10" t="s">
        <v>530</v>
      </c>
      <c r="B179" s="10" t="s">
        <v>740</v>
      </c>
      <c r="C179" s="10" t="s">
        <v>522</v>
      </c>
      <c r="D179" s="15" t="n">
        <f aca="false">SUMIFS(Test_Times!$AH$5:$AH$863,Test_Times!$A$5:$A$863,A179,Test_Times!$G$5:$G$863,"HPLC")</f>
        <v>0</v>
      </c>
      <c r="E179" s="15" t="n">
        <f aca="false">SUMIF(Test_Times!$A$5:$A$863,A179,Test_Times!$AH$5:$AH$863)</f>
        <v>0</v>
      </c>
      <c r="F179" s="15" t="n">
        <f aca="false">SUMIF(Test_Times!$A$5:$A$863,A179,Test_Times!$AG$5:$AG$863)</f>
        <v>0</v>
      </c>
      <c r="G179" s="15" t="n">
        <f aca="false">SUMIF(Test_Times!$A$5:$A$863,A179,Test_Times!$AI$5:$AI$863)</f>
        <v>0</v>
      </c>
      <c r="H179" s="15" t="n">
        <f aca="false">SUMIFS(Test_Times!$AL$5:$AL$863,Test_Times!$A$5:$A$863,A179,Test_Times!$G$5:$G$863,"HPLC")</f>
        <v>0</v>
      </c>
      <c r="I179" s="30" t="n">
        <f aca="false">IFERROR(D179/SUM($D$5:$D$248),0)</f>
        <v>0</v>
      </c>
      <c r="J179" s="31" t="n">
        <f aca="false">D179+ROW()/10000000</f>
        <v>1.79E-005</v>
      </c>
    </row>
    <row r="180" customFormat="false" ht="15" hidden="false" customHeight="false" outlineLevel="0" collapsed="false">
      <c r="A180" s="10" t="s">
        <v>531</v>
      </c>
      <c r="B180" s="10" t="s">
        <v>740</v>
      </c>
      <c r="C180" s="10" t="s">
        <v>522</v>
      </c>
      <c r="D180" s="15" t="n">
        <f aca="false">SUMIFS(Test_Times!$AH$5:$AH$863,Test_Times!$A$5:$A$863,A180,Test_Times!$G$5:$G$863,"HPLC")</f>
        <v>0</v>
      </c>
      <c r="E180" s="15" t="n">
        <f aca="false">SUMIF(Test_Times!$A$5:$A$863,A180,Test_Times!$AH$5:$AH$863)</f>
        <v>0</v>
      </c>
      <c r="F180" s="15" t="n">
        <f aca="false">SUMIF(Test_Times!$A$5:$A$863,A180,Test_Times!$AG$5:$AG$863)</f>
        <v>0</v>
      </c>
      <c r="G180" s="15" t="n">
        <f aca="false">SUMIF(Test_Times!$A$5:$A$863,A180,Test_Times!$AI$5:$AI$863)</f>
        <v>0</v>
      </c>
      <c r="H180" s="15" t="n">
        <f aca="false">SUMIFS(Test_Times!$AL$5:$AL$863,Test_Times!$A$5:$A$863,A180,Test_Times!$G$5:$G$863,"HPLC")</f>
        <v>0</v>
      </c>
      <c r="I180" s="30" t="n">
        <f aca="false">IFERROR(D180/SUM($D$5:$D$248),0)</f>
        <v>0</v>
      </c>
      <c r="J180" s="31" t="n">
        <f aca="false">D180+ROW()/10000000</f>
        <v>1.8E-005</v>
      </c>
    </row>
    <row r="181" customFormat="false" ht="15" hidden="false" customHeight="false" outlineLevel="0" collapsed="false">
      <c r="A181" s="10" t="s">
        <v>532</v>
      </c>
      <c r="B181" s="10" t="s">
        <v>740</v>
      </c>
      <c r="C181" s="10" t="s">
        <v>522</v>
      </c>
      <c r="D181" s="15" t="n">
        <f aca="false">SUMIFS(Test_Times!$AH$5:$AH$863,Test_Times!$A$5:$A$863,A181,Test_Times!$G$5:$G$863,"HPLC")</f>
        <v>0</v>
      </c>
      <c r="E181" s="15" t="n">
        <f aca="false">SUMIF(Test_Times!$A$5:$A$863,A181,Test_Times!$AH$5:$AH$863)</f>
        <v>0</v>
      </c>
      <c r="F181" s="15" t="n">
        <f aca="false">SUMIF(Test_Times!$A$5:$A$863,A181,Test_Times!$AG$5:$AG$863)</f>
        <v>0</v>
      </c>
      <c r="G181" s="15" t="n">
        <f aca="false">SUMIF(Test_Times!$A$5:$A$863,A181,Test_Times!$AI$5:$AI$863)</f>
        <v>0</v>
      </c>
      <c r="H181" s="15" t="n">
        <f aca="false">SUMIFS(Test_Times!$AL$5:$AL$863,Test_Times!$A$5:$A$863,A181,Test_Times!$G$5:$G$863,"HPLC")</f>
        <v>0</v>
      </c>
      <c r="I181" s="30" t="n">
        <f aca="false">IFERROR(D181/SUM($D$5:$D$248),0)</f>
        <v>0</v>
      </c>
      <c r="J181" s="31" t="n">
        <f aca="false">D181+ROW()/10000000</f>
        <v>1.81E-005</v>
      </c>
    </row>
    <row r="182" customFormat="false" ht="15" hidden="false" customHeight="false" outlineLevel="0" collapsed="false">
      <c r="A182" s="10" t="s">
        <v>533</v>
      </c>
      <c r="B182" s="10" t="s">
        <v>740</v>
      </c>
      <c r="C182" s="10" t="s">
        <v>522</v>
      </c>
      <c r="D182" s="15" t="n">
        <f aca="false">SUMIFS(Test_Times!$AH$5:$AH$863,Test_Times!$A$5:$A$863,A182,Test_Times!$G$5:$G$863,"HPLC")</f>
        <v>0</v>
      </c>
      <c r="E182" s="15" t="n">
        <f aca="false">SUMIF(Test_Times!$A$5:$A$863,A182,Test_Times!$AH$5:$AH$863)</f>
        <v>0</v>
      </c>
      <c r="F182" s="15" t="n">
        <f aca="false">SUMIF(Test_Times!$A$5:$A$863,A182,Test_Times!$AG$5:$AG$863)</f>
        <v>0</v>
      </c>
      <c r="G182" s="15" t="n">
        <f aca="false">SUMIF(Test_Times!$A$5:$A$863,A182,Test_Times!$AI$5:$AI$863)</f>
        <v>0</v>
      </c>
      <c r="H182" s="15" t="n">
        <f aca="false">SUMIFS(Test_Times!$AL$5:$AL$863,Test_Times!$A$5:$A$863,A182,Test_Times!$G$5:$G$863,"HPLC")</f>
        <v>0</v>
      </c>
      <c r="I182" s="30" t="n">
        <f aca="false">IFERROR(D182/SUM($D$5:$D$248),0)</f>
        <v>0</v>
      </c>
      <c r="J182" s="31" t="n">
        <f aca="false">D182+ROW()/10000000</f>
        <v>1.82E-005</v>
      </c>
    </row>
    <row r="183" customFormat="false" ht="15" hidden="false" customHeight="false" outlineLevel="0" collapsed="false">
      <c r="A183" s="10" t="s">
        <v>534</v>
      </c>
      <c r="B183" s="10" t="s">
        <v>740</v>
      </c>
      <c r="C183" s="10" t="s">
        <v>522</v>
      </c>
      <c r="D183" s="15" t="n">
        <f aca="false">SUMIFS(Test_Times!$AH$5:$AH$863,Test_Times!$A$5:$A$863,A183,Test_Times!$G$5:$G$863,"HPLC")</f>
        <v>0</v>
      </c>
      <c r="E183" s="15" t="n">
        <f aca="false">SUMIF(Test_Times!$A$5:$A$863,A183,Test_Times!$AH$5:$AH$863)</f>
        <v>0</v>
      </c>
      <c r="F183" s="15" t="n">
        <f aca="false">SUMIF(Test_Times!$A$5:$A$863,A183,Test_Times!$AG$5:$AG$863)</f>
        <v>0</v>
      </c>
      <c r="G183" s="15" t="n">
        <f aca="false">SUMIF(Test_Times!$A$5:$A$863,A183,Test_Times!$AI$5:$AI$863)</f>
        <v>0</v>
      </c>
      <c r="H183" s="15" t="n">
        <f aca="false">SUMIFS(Test_Times!$AL$5:$AL$863,Test_Times!$A$5:$A$863,A183,Test_Times!$G$5:$G$863,"HPLC")</f>
        <v>0</v>
      </c>
      <c r="I183" s="30" t="n">
        <f aca="false">IFERROR(D183/SUM($D$5:$D$248),0)</f>
        <v>0</v>
      </c>
      <c r="J183" s="31" t="n">
        <f aca="false">D183+ROW()/10000000</f>
        <v>1.83E-005</v>
      </c>
    </row>
    <row r="184" customFormat="false" ht="15" hidden="false" customHeight="false" outlineLevel="0" collapsed="false">
      <c r="A184" s="10" t="s">
        <v>535</v>
      </c>
      <c r="B184" s="10" t="s">
        <v>740</v>
      </c>
      <c r="C184" s="10" t="s">
        <v>536</v>
      </c>
      <c r="D184" s="15" t="n">
        <f aca="false">SUMIFS(Test_Times!$AH$5:$AH$863,Test_Times!$A$5:$A$863,A184,Test_Times!$G$5:$G$863,"HPLC")</f>
        <v>0</v>
      </c>
      <c r="E184" s="15" t="n">
        <f aca="false">SUMIF(Test_Times!$A$5:$A$863,A184,Test_Times!$AH$5:$AH$863)</f>
        <v>0</v>
      </c>
      <c r="F184" s="15" t="n">
        <f aca="false">SUMIF(Test_Times!$A$5:$A$863,A184,Test_Times!$AG$5:$AG$863)</f>
        <v>0</v>
      </c>
      <c r="G184" s="15" t="n">
        <f aca="false">SUMIF(Test_Times!$A$5:$A$863,A184,Test_Times!$AI$5:$AI$863)</f>
        <v>0</v>
      </c>
      <c r="H184" s="15" t="n">
        <f aca="false">SUMIFS(Test_Times!$AL$5:$AL$863,Test_Times!$A$5:$A$863,A184,Test_Times!$G$5:$G$863,"HPLC")</f>
        <v>0</v>
      </c>
      <c r="I184" s="30" t="n">
        <f aca="false">IFERROR(D184/SUM($D$5:$D$248),0)</f>
        <v>0</v>
      </c>
      <c r="J184" s="31" t="n">
        <f aca="false">D184+ROW()/10000000</f>
        <v>1.84E-005</v>
      </c>
    </row>
    <row r="185" customFormat="false" ht="15" hidden="false" customHeight="false" outlineLevel="0" collapsed="false">
      <c r="A185" s="10" t="s">
        <v>537</v>
      </c>
      <c r="B185" s="10" t="s">
        <v>740</v>
      </c>
      <c r="C185" s="10" t="s">
        <v>536</v>
      </c>
      <c r="D185" s="15" t="n">
        <f aca="false">SUMIFS(Test_Times!$AH$5:$AH$863,Test_Times!$A$5:$A$863,A185,Test_Times!$G$5:$G$863,"HPLC")</f>
        <v>0</v>
      </c>
      <c r="E185" s="15" t="n">
        <f aca="false">SUMIF(Test_Times!$A$5:$A$863,A185,Test_Times!$AH$5:$AH$863)</f>
        <v>0</v>
      </c>
      <c r="F185" s="15" t="n">
        <f aca="false">SUMIF(Test_Times!$A$5:$A$863,A185,Test_Times!$AG$5:$AG$863)</f>
        <v>0</v>
      </c>
      <c r="G185" s="15" t="n">
        <f aca="false">SUMIF(Test_Times!$A$5:$A$863,A185,Test_Times!$AI$5:$AI$863)</f>
        <v>0</v>
      </c>
      <c r="H185" s="15" t="n">
        <f aca="false">SUMIFS(Test_Times!$AL$5:$AL$863,Test_Times!$A$5:$A$863,A185,Test_Times!$G$5:$G$863,"HPLC")</f>
        <v>0</v>
      </c>
      <c r="I185" s="30" t="n">
        <f aca="false">IFERROR(D185/SUM($D$5:$D$248),0)</f>
        <v>0</v>
      </c>
      <c r="J185" s="31" t="n">
        <f aca="false">D185+ROW()/10000000</f>
        <v>1.85E-005</v>
      </c>
    </row>
    <row r="186" customFormat="false" ht="15" hidden="false" customHeight="false" outlineLevel="0" collapsed="false">
      <c r="A186" s="10" t="s">
        <v>538</v>
      </c>
      <c r="B186" s="10" t="s">
        <v>740</v>
      </c>
      <c r="C186" s="10" t="s">
        <v>536</v>
      </c>
      <c r="D186" s="15" t="n">
        <f aca="false">SUMIFS(Test_Times!$AH$5:$AH$863,Test_Times!$A$5:$A$863,A186,Test_Times!$G$5:$G$863,"HPLC")</f>
        <v>0</v>
      </c>
      <c r="E186" s="15" t="n">
        <f aca="false">SUMIF(Test_Times!$A$5:$A$863,A186,Test_Times!$AH$5:$AH$863)</f>
        <v>0</v>
      </c>
      <c r="F186" s="15" t="n">
        <f aca="false">SUMIF(Test_Times!$A$5:$A$863,A186,Test_Times!$AG$5:$AG$863)</f>
        <v>0</v>
      </c>
      <c r="G186" s="15" t="n">
        <f aca="false">SUMIF(Test_Times!$A$5:$A$863,A186,Test_Times!$AI$5:$AI$863)</f>
        <v>0</v>
      </c>
      <c r="H186" s="15" t="n">
        <f aca="false">SUMIFS(Test_Times!$AL$5:$AL$863,Test_Times!$A$5:$A$863,A186,Test_Times!$G$5:$G$863,"HPLC")</f>
        <v>0</v>
      </c>
      <c r="I186" s="30" t="n">
        <f aca="false">IFERROR(D186/SUM($D$5:$D$248),0)</f>
        <v>0</v>
      </c>
      <c r="J186" s="31" t="n">
        <f aca="false">D186+ROW()/10000000</f>
        <v>1.86E-005</v>
      </c>
    </row>
    <row r="187" customFormat="false" ht="15" hidden="false" customHeight="false" outlineLevel="0" collapsed="false">
      <c r="A187" s="10" t="s">
        <v>539</v>
      </c>
      <c r="B187" s="10" t="s">
        <v>740</v>
      </c>
      <c r="C187" s="10" t="s">
        <v>540</v>
      </c>
      <c r="D187" s="15" t="n">
        <f aca="false">SUMIFS(Test_Times!$AH$5:$AH$863,Test_Times!$A$5:$A$863,A187,Test_Times!$G$5:$G$863,"HPLC")</f>
        <v>0</v>
      </c>
      <c r="E187" s="15" t="n">
        <f aca="false">SUMIF(Test_Times!$A$5:$A$863,A187,Test_Times!$AH$5:$AH$863)</f>
        <v>0</v>
      </c>
      <c r="F187" s="15" t="n">
        <f aca="false">SUMIF(Test_Times!$A$5:$A$863,A187,Test_Times!$AG$5:$AG$863)</f>
        <v>0</v>
      </c>
      <c r="G187" s="15" t="n">
        <f aca="false">SUMIF(Test_Times!$A$5:$A$863,A187,Test_Times!$AI$5:$AI$863)</f>
        <v>0</v>
      </c>
      <c r="H187" s="15" t="n">
        <f aca="false">SUMIFS(Test_Times!$AL$5:$AL$863,Test_Times!$A$5:$A$863,A187,Test_Times!$G$5:$G$863,"HPLC")</f>
        <v>0</v>
      </c>
      <c r="I187" s="30" t="n">
        <f aca="false">IFERROR(D187/SUM($D$5:$D$248),0)</f>
        <v>0</v>
      </c>
      <c r="J187" s="31" t="n">
        <f aca="false">D187+ROW()/10000000</f>
        <v>1.87E-005</v>
      </c>
    </row>
    <row r="188" customFormat="false" ht="15" hidden="false" customHeight="false" outlineLevel="0" collapsed="false">
      <c r="A188" s="10" t="s">
        <v>541</v>
      </c>
      <c r="B188" s="10" t="s">
        <v>740</v>
      </c>
      <c r="C188" s="10" t="s">
        <v>540</v>
      </c>
      <c r="D188" s="15" t="n">
        <f aca="false">SUMIFS(Test_Times!$AH$5:$AH$863,Test_Times!$A$5:$A$863,A188,Test_Times!$G$5:$G$863,"HPLC")</f>
        <v>0</v>
      </c>
      <c r="E188" s="15" t="n">
        <f aca="false">SUMIF(Test_Times!$A$5:$A$863,A188,Test_Times!$AH$5:$AH$863)</f>
        <v>0</v>
      </c>
      <c r="F188" s="15" t="n">
        <f aca="false">SUMIF(Test_Times!$A$5:$A$863,A188,Test_Times!$AG$5:$AG$863)</f>
        <v>0</v>
      </c>
      <c r="G188" s="15" t="n">
        <f aca="false">SUMIF(Test_Times!$A$5:$A$863,A188,Test_Times!$AI$5:$AI$863)</f>
        <v>0</v>
      </c>
      <c r="H188" s="15" t="n">
        <f aca="false">SUMIFS(Test_Times!$AL$5:$AL$863,Test_Times!$A$5:$A$863,A188,Test_Times!$G$5:$G$863,"HPLC")</f>
        <v>0</v>
      </c>
      <c r="I188" s="30" t="n">
        <f aca="false">IFERROR(D188/SUM($D$5:$D$248),0)</f>
        <v>0</v>
      </c>
      <c r="J188" s="31" t="n">
        <f aca="false">D188+ROW()/10000000</f>
        <v>1.88E-005</v>
      </c>
    </row>
    <row r="189" customFormat="false" ht="15" hidden="false" customHeight="false" outlineLevel="0" collapsed="false">
      <c r="A189" s="10" t="s">
        <v>542</v>
      </c>
      <c r="B189" s="10" t="s">
        <v>740</v>
      </c>
      <c r="C189" s="10" t="s">
        <v>540</v>
      </c>
      <c r="D189" s="15" t="n">
        <f aca="false">SUMIFS(Test_Times!$AH$5:$AH$863,Test_Times!$A$5:$A$863,A189,Test_Times!$G$5:$G$863,"HPLC")</f>
        <v>0</v>
      </c>
      <c r="E189" s="15" t="n">
        <f aca="false">SUMIF(Test_Times!$A$5:$A$863,A189,Test_Times!$AH$5:$AH$863)</f>
        <v>0</v>
      </c>
      <c r="F189" s="15" t="n">
        <f aca="false">SUMIF(Test_Times!$A$5:$A$863,A189,Test_Times!$AG$5:$AG$863)</f>
        <v>0</v>
      </c>
      <c r="G189" s="15" t="n">
        <f aca="false">SUMIF(Test_Times!$A$5:$A$863,A189,Test_Times!$AI$5:$AI$863)</f>
        <v>0</v>
      </c>
      <c r="H189" s="15" t="n">
        <f aca="false">SUMIFS(Test_Times!$AL$5:$AL$863,Test_Times!$A$5:$A$863,A189,Test_Times!$G$5:$G$863,"HPLC")</f>
        <v>0</v>
      </c>
      <c r="I189" s="30" t="n">
        <f aca="false">IFERROR(D189/SUM($D$5:$D$248),0)</f>
        <v>0</v>
      </c>
      <c r="J189" s="31" t="n">
        <f aca="false">D189+ROW()/10000000</f>
        <v>1.89E-005</v>
      </c>
    </row>
    <row r="190" customFormat="false" ht="15" hidden="false" customHeight="false" outlineLevel="0" collapsed="false">
      <c r="A190" s="10" t="s">
        <v>543</v>
      </c>
      <c r="B190" s="10" t="s">
        <v>740</v>
      </c>
      <c r="C190" s="10" t="s">
        <v>540</v>
      </c>
      <c r="D190" s="15" t="n">
        <f aca="false">SUMIFS(Test_Times!$AH$5:$AH$863,Test_Times!$A$5:$A$863,A190,Test_Times!$G$5:$G$863,"HPLC")</f>
        <v>0</v>
      </c>
      <c r="E190" s="15" t="n">
        <f aca="false">SUMIF(Test_Times!$A$5:$A$863,A190,Test_Times!$AH$5:$AH$863)</f>
        <v>0</v>
      </c>
      <c r="F190" s="15" t="n">
        <f aca="false">SUMIF(Test_Times!$A$5:$A$863,A190,Test_Times!$AG$5:$AG$863)</f>
        <v>0</v>
      </c>
      <c r="G190" s="15" t="n">
        <f aca="false">SUMIF(Test_Times!$A$5:$A$863,A190,Test_Times!$AI$5:$AI$863)</f>
        <v>0</v>
      </c>
      <c r="H190" s="15" t="n">
        <f aca="false">SUMIFS(Test_Times!$AL$5:$AL$863,Test_Times!$A$5:$A$863,A190,Test_Times!$G$5:$G$863,"HPLC")</f>
        <v>0</v>
      </c>
      <c r="I190" s="30" t="n">
        <f aca="false">IFERROR(D190/SUM($D$5:$D$248),0)</f>
        <v>0</v>
      </c>
      <c r="J190" s="31" t="n">
        <f aca="false">D190+ROW()/10000000</f>
        <v>1.9E-005</v>
      </c>
    </row>
    <row r="191" customFormat="false" ht="15" hidden="false" customHeight="false" outlineLevel="0" collapsed="false">
      <c r="A191" s="10" t="s">
        <v>544</v>
      </c>
      <c r="B191" s="10" t="s">
        <v>740</v>
      </c>
      <c r="C191" s="10" t="s">
        <v>540</v>
      </c>
      <c r="D191" s="15" t="n">
        <f aca="false">SUMIFS(Test_Times!$AH$5:$AH$863,Test_Times!$A$5:$A$863,A191,Test_Times!$G$5:$G$863,"HPLC")</f>
        <v>0</v>
      </c>
      <c r="E191" s="15" t="n">
        <f aca="false">SUMIF(Test_Times!$A$5:$A$863,A191,Test_Times!$AH$5:$AH$863)</f>
        <v>0</v>
      </c>
      <c r="F191" s="15" t="n">
        <f aca="false">SUMIF(Test_Times!$A$5:$A$863,A191,Test_Times!$AG$5:$AG$863)</f>
        <v>0</v>
      </c>
      <c r="G191" s="15" t="n">
        <f aca="false">SUMIF(Test_Times!$A$5:$A$863,A191,Test_Times!$AI$5:$AI$863)</f>
        <v>0</v>
      </c>
      <c r="H191" s="15" t="n">
        <f aca="false">SUMIFS(Test_Times!$AL$5:$AL$863,Test_Times!$A$5:$A$863,A191,Test_Times!$G$5:$G$863,"HPLC")</f>
        <v>0</v>
      </c>
      <c r="I191" s="30" t="n">
        <f aca="false">IFERROR(D191/SUM($D$5:$D$248),0)</f>
        <v>0</v>
      </c>
      <c r="J191" s="31" t="n">
        <f aca="false">D191+ROW()/10000000</f>
        <v>1.91E-005</v>
      </c>
    </row>
    <row r="192" customFormat="false" ht="15" hidden="false" customHeight="false" outlineLevel="0" collapsed="false">
      <c r="A192" s="10" t="s">
        <v>545</v>
      </c>
      <c r="B192" s="10" t="s">
        <v>740</v>
      </c>
      <c r="C192" s="10" t="s">
        <v>540</v>
      </c>
      <c r="D192" s="15" t="n">
        <f aca="false">SUMIFS(Test_Times!$AH$5:$AH$863,Test_Times!$A$5:$A$863,A192,Test_Times!$G$5:$G$863,"HPLC")</f>
        <v>0</v>
      </c>
      <c r="E192" s="15" t="n">
        <f aca="false">SUMIF(Test_Times!$A$5:$A$863,A192,Test_Times!$AH$5:$AH$863)</f>
        <v>0</v>
      </c>
      <c r="F192" s="15" t="n">
        <f aca="false">SUMIF(Test_Times!$A$5:$A$863,A192,Test_Times!$AG$5:$AG$863)</f>
        <v>0</v>
      </c>
      <c r="G192" s="15" t="n">
        <f aca="false">SUMIF(Test_Times!$A$5:$A$863,A192,Test_Times!$AI$5:$AI$863)</f>
        <v>0</v>
      </c>
      <c r="H192" s="15" t="n">
        <f aca="false">SUMIFS(Test_Times!$AL$5:$AL$863,Test_Times!$A$5:$A$863,A192,Test_Times!$G$5:$G$863,"HPLC")</f>
        <v>0</v>
      </c>
      <c r="I192" s="30" t="n">
        <f aca="false">IFERROR(D192/SUM($D$5:$D$248),0)</f>
        <v>0</v>
      </c>
      <c r="J192" s="31" t="n">
        <f aca="false">D192+ROW()/10000000</f>
        <v>1.92E-005</v>
      </c>
    </row>
    <row r="193" customFormat="false" ht="15" hidden="false" customHeight="false" outlineLevel="0" collapsed="false">
      <c r="A193" s="10" t="s">
        <v>546</v>
      </c>
      <c r="B193" s="10" t="s">
        <v>740</v>
      </c>
      <c r="C193" s="10" t="s">
        <v>540</v>
      </c>
      <c r="D193" s="15" t="n">
        <f aca="false">SUMIFS(Test_Times!$AH$5:$AH$863,Test_Times!$A$5:$A$863,A193,Test_Times!$G$5:$G$863,"HPLC")</f>
        <v>0</v>
      </c>
      <c r="E193" s="15" t="n">
        <f aca="false">SUMIF(Test_Times!$A$5:$A$863,A193,Test_Times!$AH$5:$AH$863)</f>
        <v>0</v>
      </c>
      <c r="F193" s="15" t="n">
        <f aca="false">SUMIF(Test_Times!$A$5:$A$863,A193,Test_Times!$AG$5:$AG$863)</f>
        <v>0</v>
      </c>
      <c r="G193" s="15" t="n">
        <f aca="false">SUMIF(Test_Times!$A$5:$A$863,A193,Test_Times!$AI$5:$AI$863)</f>
        <v>0</v>
      </c>
      <c r="H193" s="15" t="n">
        <f aca="false">SUMIFS(Test_Times!$AL$5:$AL$863,Test_Times!$A$5:$A$863,A193,Test_Times!$G$5:$G$863,"HPLC")</f>
        <v>0</v>
      </c>
      <c r="I193" s="30" t="n">
        <f aca="false">IFERROR(D193/SUM($D$5:$D$248),0)</f>
        <v>0</v>
      </c>
      <c r="J193" s="31" t="n">
        <f aca="false">D193+ROW()/10000000</f>
        <v>1.93E-005</v>
      </c>
    </row>
    <row r="194" customFormat="false" ht="15" hidden="false" customHeight="false" outlineLevel="0" collapsed="false">
      <c r="A194" s="10" t="s">
        <v>547</v>
      </c>
      <c r="B194" s="10" t="s">
        <v>740</v>
      </c>
      <c r="C194" s="10" t="s">
        <v>540</v>
      </c>
      <c r="D194" s="15" t="n">
        <f aca="false">SUMIFS(Test_Times!$AH$5:$AH$863,Test_Times!$A$5:$A$863,A194,Test_Times!$G$5:$G$863,"HPLC")</f>
        <v>0</v>
      </c>
      <c r="E194" s="15" t="n">
        <f aca="false">SUMIF(Test_Times!$A$5:$A$863,A194,Test_Times!$AH$5:$AH$863)</f>
        <v>0</v>
      </c>
      <c r="F194" s="15" t="n">
        <f aca="false">SUMIF(Test_Times!$A$5:$A$863,A194,Test_Times!$AG$5:$AG$863)</f>
        <v>0</v>
      </c>
      <c r="G194" s="15" t="n">
        <f aca="false">SUMIF(Test_Times!$A$5:$A$863,A194,Test_Times!$AI$5:$AI$863)</f>
        <v>0</v>
      </c>
      <c r="H194" s="15" t="n">
        <f aca="false">SUMIFS(Test_Times!$AL$5:$AL$863,Test_Times!$A$5:$A$863,A194,Test_Times!$G$5:$G$863,"HPLC")</f>
        <v>0</v>
      </c>
      <c r="I194" s="30" t="n">
        <f aca="false">IFERROR(D194/SUM($D$5:$D$248),0)</f>
        <v>0</v>
      </c>
      <c r="J194" s="31" t="n">
        <f aca="false">D194+ROW()/10000000</f>
        <v>1.94E-005</v>
      </c>
    </row>
    <row r="195" customFormat="false" ht="15" hidden="false" customHeight="false" outlineLevel="0" collapsed="false">
      <c r="A195" s="10" t="s">
        <v>548</v>
      </c>
      <c r="B195" s="10" t="s">
        <v>740</v>
      </c>
      <c r="C195" s="10" t="s">
        <v>540</v>
      </c>
      <c r="D195" s="15" t="n">
        <f aca="false">SUMIFS(Test_Times!$AH$5:$AH$863,Test_Times!$A$5:$A$863,A195,Test_Times!$G$5:$G$863,"HPLC")</f>
        <v>0</v>
      </c>
      <c r="E195" s="15" t="n">
        <f aca="false">SUMIF(Test_Times!$A$5:$A$863,A195,Test_Times!$AH$5:$AH$863)</f>
        <v>0</v>
      </c>
      <c r="F195" s="15" t="n">
        <f aca="false">SUMIF(Test_Times!$A$5:$A$863,A195,Test_Times!$AG$5:$AG$863)</f>
        <v>0</v>
      </c>
      <c r="G195" s="15" t="n">
        <f aca="false">SUMIF(Test_Times!$A$5:$A$863,A195,Test_Times!$AI$5:$AI$863)</f>
        <v>0</v>
      </c>
      <c r="H195" s="15" t="n">
        <f aca="false">SUMIFS(Test_Times!$AL$5:$AL$863,Test_Times!$A$5:$A$863,A195,Test_Times!$G$5:$G$863,"HPLC")</f>
        <v>0</v>
      </c>
      <c r="I195" s="30" t="n">
        <f aca="false">IFERROR(D195/SUM($D$5:$D$248),0)</f>
        <v>0</v>
      </c>
      <c r="J195" s="31" t="n">
        <f aca="false">D195+ROW()/10000000</f>
        <v>1.95E-005</v>
      </c>
    </row>
    <row r="196" customFormat="false" ht="15" hidden="false" customHeight="false" outlineLevel="0" collapsed="false">
      <c r="A196" s="10" t="s">
        <v>549</v>
      </c>
      <c r="B196" s="10" t="s">
        <v>740</v>
      </c>
      <c r="C196" s="10" t="s">
        <v>550</v>
      </c>
      <c r="D196" s="15" t="n">
        <f aca="false">SUMIFS(Test_Times!$AH$5:$AH$863,Test_Times!$A$5:$A$863,A196,Test_Times!$G$5:$G$863,"HPLC")</f>
        <v>0</v>
      </c>
      <c r="E196" s="15" t="n">
        <f aca="false">SUMIF(Test_Times!$A$5:$A$863,A196,Test_Times!$AH$5:$AH$863)</f>
        <v>0</v>
      </c>
      <c r="F196" s="15" t="n">
        <f aca="false">SUMIF(Test_Times!$A$5:$A$863,A196,Test_Times!$AG$5:$AG$863)</f>
        <v>0</v>
      </c>
      <c r="G196" s="15" t="n">
        <f aca="false">SUMIF(Test_Times!$A$5:$A$863,A196,Test_Times!$AI$5:$AI$863)</f>
        <v>0</v>
      </c>
      <c r="H196" s="15" t="n">
        <f aca="false">SUMIFS(Test_Times!$AL$5:$AL$863,Test_Times!$A$5:$A$863,A196,Test_Times!$G$5:$G$863,"HPLC")</f>
        <v>0</v>
      </c>
      <c r="I196" s="30" t="n">
        <f aca="false">IFERROR(D196/SUM($D$5:$D$248),0)</f>
        <v>0</v>
      </c>
      <c r="J196" s="31" t="n">
        <f aca="false">D196+ROW()/10000000</f>
        <v>1.96E-005</v>
      </c>
    </row>
    <row r="197" customFormat="false" ht="15" hidden="false" customHeight="false" outlineLevel="0" collapsed="false">
      <c r="A197" s="10" t="s">
        <v>551</v>
      </c>
      <c r="B197" s="10" t="s">
        <v>740</v>
      </c>
      <c r="C197" s="10" t="s">
        <v>550</v>
      </c>
      <c r="D197" s="15" t="n">
        <f aca="false">SUMIFS(Test_Times!$AH$5:$AH$863,Test_Times!$A$5:$A$863,A197,Test_Times!$G$5:$G$863,"HPLC")</f>
        <v>0</v>
      </c>
      <c r="E197" s="15" t="n">
        <f aca="false">SUMIF(Test_Times!$A$5:$A$863,A197,Test_Times!$AH$5:$AH$863)</f>
        <v>0</v>
      </c>
      <c r="F197" s="15" t="n">
        <f aca="false">SUMIF(Test_Times!$A$5:$A$863,A197,Test_Times!$AG$5:$AG$863)</f>
        <v>0</v>
      </c>
      <c r="G197" s="15" t="n">
        <f aca="false">SUMIF(Test_Times!$A$5:$A$863,A197,Test_Times!$AI$5:$AI$863)</f>
        <v>0</v>
      </c>
      <c r="H197" s="15" t="n">
        <f aca="false">SUMIFS(Test_Times!$AL$5:$AL$863,Test_Times!$A$5:$A$863,A197,Test_Times!$G$5:$G$863,"HPLC")</f>
        <v>0</v>
      </c>
      <c r="I197" s="30" t="n">
        <f aca="false">IFERROR(D197/SUM($D$5:$D$248),0)</f>
        <v>0</v>
      </c>
      <c r="J197" s="31" t="n">
        <f aca="false">D197+ROW()/10000000</f>
        <v>1.97E-005</v>
      </c>
    </row>
    <row r="198" customFormat="false" ht="15" hidden="false" customHeight="false" outlineLevel="0" collapsed="false">
      <c r="A198" s="10" t="s">
        <v>552</v>
      </c>
      <c r="B198" s="10" t="s">
        <v>740</v>
      </c>
      <c r="C198" s="10" t="s">
        <v>550</v>
      </c>
      <c r="D198" s="15" t="n">
        <f aca="false">SUMIFS(Test_Times!$AH$5:$AH$863,Test_Times!$A$5:$A$863,A198,Test_Times!$G$5:$G$863,"HPLC")</f>
        <v>0</v>
      </c>
      <c r="E198" s="15" t="n">
        <f aca="false">SUMIF(Test_Times!$A$5:$A$863,A198,Test_Times!$AH$5:$AH$863)</f>
        <v>0</v>
      </c>
      <c r="F198" s="15" t="n">
        <f aca="false">SUMIF(Test_Times!$A$5:$A$863,A198,Test_Times!$AG$5:$AG$863)</f>
        <v>0</v>
      </c>
      <c r="G198" s="15" t="n">
        <f aca="false">SUMIF(Test_Times!$A$5:$A$863,A198,Test_Times!$AI$5:$AI$863)</f>
        <v>0</v>
      </c>
      <c r="H198" s="15" t="n">
        <f aca="false">SUMIFS(Test_Times!$AL$5:$AL$863,Test_Times!$A$5:$A$863,A198,Test_Times!$G$5:$G$863,"HPLC")</f>
        <v>0</v>
      </c>
      <c r="I198" s="30" t="n">
        <f aca="false">IFERROR(D198/SUM($D$5:$D$248),0)</f>
        <v>0</v>
      </c>
      <c r="J198" s="31" t="n">
        <f aca="false">D198+ROW()/10000000</f>
        <v>1.98E-005</v>
      </c>
    </row>
    <row r="199" customFormat="false" ht="15" hidden="false" customHeight="false" outlineLevel="0" collapsed="false">
      <c r="A199" s="10" t="s">
        <v>553</v>
      </c>
      <c r="B199" s="10" t="s">
        <v>740</v>
      </c>
      <c r="C199" s="10" t="s">
        <v>550</v>
      </c>
      <c r="D199" s="15" t="n">
        <f aca="false">SUMIFS(Test_Times!$AH$5:$AH$863,Test_Times!$A$5:$A$863,A199,Test_Times!$G$5:$G$863,"HPLC")</f>
        <v>0</v>
      </c>
      <c r="E199" s="15" t="n">
        <f aca="false">SUMIF(Test_Times!$A$5:$A$863,A199,Test_Times!$AH$5:$AH$863)</f>
        <v>0</v>
      </c>
      <c r="F199" s="15" t="n">
        <f aca="false">SUMIF(Test_Times!$A$5:$A$863,A199,Test_Times!$AG$5:$AG$863)</f>
        <v>0</v>
      </c>
      <c r="G199" s="15" t="n">
        <f aca="false">SUMIF(Test_Times!$A$5:$A$863,A199,Test_Times!$AI$5:$AI$863)</f>
        <v>0</v>
      </c>
      <c r="H199" s="15" t="n">
        <f aca="false">SUMIFS(Test_Times!$AL$5:$AL$863,Test_Times!$A$5:$A$863,A199,Test_Times!$G$5:$G$863,"HPLC")</f>
        <v>0</v>
      </c>
      <c r="I199" s="30" t="n">
        <f aca="false">IFERROR(D199/SUM($D$5:$D$248),0)</f>
        <v>0</v>
      </c>
      <c r="J199" s="31" t="n">
        <f aca="false">D199+ROW()/10000000</f>
        <v>1.99E-005</v>
      </c>
    </row>
    <row r="200" customFormat="false" ht="15" hidden="false" customHeight="false" outlineLevel="0" collapsed="false">
      <c r="A200" s="10" t="s">
        <v>554</v>
      </c>
      <c r="B200" s="10" t="s">
        <v>740</v>
      </c>
      <c r="C200" s="10" t="s">
        <v>550</v>
      </c>
      <c r="D200" s="15" t="n">
        <f aca="false">SUMIFS(Test_Times!$AH$5:$AH$863,Test_Times!$A$5:$A$863,A200,Test_Times!$G$5:$G$863,"HPLC")</f>
        <v>0</v>
      </c>
      <c r="E200" s="15" t="n">
        <f aca="false">SUMIF(Test_Times!$A$5:$A$863,A200,Test_Times!$AH$5:$AH$863)</f>
        <v>0</v>
      </c>
      <c r="F200" s="15" t="n">
        <f aca="false">SUMIF(Test_Times!$A$5:$A$863,A200,Test_Times!$AG$5:$AG$863)</f>
        <v>0</v>
      </c>
      <c r="G200" s="15" t="n">
        <f aca="false">SUMIF(Test_Times!$A$5:$A$863,A200,Test_Times!$AI$5:$AI$863)</f>
        <v>0</v>
      </c>
      <c r="H200" s="15" t="n">
        <f aca="false">SUMIFS(Test_Times!$AL$5:$AL$863,Test_Times!$A$5:$A$863,A200,Test_Times!$G$5:$G$863,"HPLC")</f>
        <v>0</v>
      </c>
      <c r="I200" s="30" t="n">
        <f aca="false">IFERROR(D200/SUM($D$5:$D$248),0)</f>
        <v>0</v>
      </c>
      <c r="J200" s="31" t="n">
        <f aca="false">D200+ROW()/10000000</f>
        <v>2E-005</v>
      </c>
    </row>
    <row r="201" customFormat="false" ht="15" hidden="false" customHeight="false" outlineLevel="0" collapsed="false">
      <c r="A201" s="10" t="s">
        <v>555</v>
      </c>
      <c r="B201" s="10" t="s">
        <v>740</v>
      </c>
      <c r="C201" s="10" t="s">
        <v>550</v>
      </c>
      <c r="D201" s="15" t="n">
        <f aca="false">SUMIFS(Test_Times!$AH$5:$AH$863,Test_Times!$A$5:$A$863,A201,Test_Times!$G$5:$G$863,"HPLC")</f>
        <v>0</v>
      </c>
      <c r="E201" s="15" t="n">
        <f aca="false">SUMIF(Test_Times!$A$5:$A$863,A201,Test_Times!$AH$5:$AH$863)</f>
        <v>0</v>
      </c>
      <c r="F201" s="15" t="n">
        <f aca="false">SUMIF(Test_Times!$A$5:$A$863,A201,Test_Times!$AG$5:$AG$863)</f>
        <v>0</v>
      </c>
      <c r="G201" s="15" t="n">
        <f aca="false">SUMIF(Test_Times!$A$5:$A$863,A201,Test_Times!$AI$5:$AI$863)</f>
        <v>0</v>
      </c>
      <c r="H201" s="15" t="n">
        <f aca="false">SUMIFS(Test_Times!$AL$5:$AL$863,Test_Times!$A$5:$A$863,A201,Test_Times!$G$5:$G$863,"HPLC")</f>
        <v>0</v>
      </c>
      <c r="I201" s="30" t="n">
        <f aca="false">IFERROR(D201/SUM($D$5:$D$248),0)</f>
        <v>0</v>
      </c>
      <c r="J201" s="31" t="n">
        <f aca="false">D201+ROW()/10000000</f>
        <v>2.01E-005</v>
      </c>
    </row>
    <row r="202" customFormat="false" ht="15" hidden="false" customHeight="false" outlineLevel="0" collapsed="false">
      <c r="A202" s="10" t="s">
        <v>556</v>
      </c>
      <c r="B202" s="10" t="s">
        <v>740</v>
      </c>
      <c r="C202" s="10" t="s">
        <v>550</v>
      </c>
      <c r="D202" s="15" t="n">
        <f aca="false">SUMIFS(Test_Times!$AH$5:$AH$863,Test_Times!$A$5:$A$863,A202,Test_Times!$G$5:$G$863,"HPLC")</f>
        <v>0</v>
      </c>
      <c r="E202" s="15" t="n">
        <f aca="false">SUMIF(Test_Times!$A$5:$A$863,A202,Test_Times!$AH$5:$AH$863)</f>
        <v>0</v>
      </c>
      <c r="F202" s="15" t="n">
        <f aca="false">SUMIF(Test_Times!$A$5:$A$863,A202,Test_Times!$AG$5:$AG$863)</f>
        <v>0</v>
      </c>
      <c r="G202" s="15" t="n">
        <f aca="false">SUMIF(Test_Times!$A$5:$A$863,A202,Test_Times!$AI$5:$AI$863)</f>
        <v>0</v>
      </c>
      <c r="H202" s="15" t="n">
        <f aca="false">SUMIFS(Test_Times!$AL$5:$AL$863,Test_Times!$A$5:$A$863,A202,Test_Times!$G$5:$G$863,"HPLC")</f>
        <v>0</v>
      </c>
      <c r="I202" s="30" t="n">
        <f aca="false">IFERROR(D202/SUM($D$5:$D$248),0)</f>
        <v>0</v>
      </c>
      <c r="J202" s="31" t="n">
        <f aca="false">D202+ROW()/10000000</f>
        <v>2.02E-005</v>
      </c>
    </row>
    <row r="203" customFormat="false" ht="15" hidden="false" customHeight="false" outlineLevel="0" collapsed="false">
      <c r="A203" s="10" t="s">
        <v>557</v>
      </c>
      <c r="B203" s="10" t="s">
        <v>740</v>
      </c>
      <c r="C203" s="10" t="s">
        <v>550</v>
      </c>
      <c r="D203" s="15" t="n">
        <f aca="false">SUMIFS(Test_Times!$AH$5:$AH$863,Test_Times!$A$5:$A$863,A203,Test_Times!$G$5:$G$863,"HPLC")</f>
        <v>0</v>
      </c>
      <c r="E203" s="15" t="n">
        <f aca="false">SUMIF(Test_Times!$A$5:$A$863,A203,Test_Times!$AH$5:$AH$863)</f>
        <v>0</v>
      </c>
      <c r="F203" s="15" t="n">
        <f aca="false">SUMIF(Test_Times!$A$5:$A$863,A203,Test_Times!$AG$5:$AG$863)</f>
        <v>0</v>
      </c>
      <c r="G203" s="15" t="n">
        <f aca="false">SUMIF(Test_Times!$A$5:$A$863,A203,Test_Times!$AI$5:$AI$863)</f>
        <v>0</v>
      </c>
      <c r="H203" s="15" t="n">
        <f aca="false">SUMIFS(Test_Times!$AL$5:$AL$863,Test_Times!$A$5:$A$863,A203,Test_Times!$G$5:$G$863,"HPLC")</f>
        <v>0</v>
      </c>
      <c r="I203" s="30" t="n">
        <f aca="false">IFERROR(D203/SUM($D$5:$D$248),0)</f>
        <v>0</v>
      </c>
      <c r="J203" s="31" t="n">
        <f aca="false">D203+ROW()/10000000</f>
        <v>2.03E-005</v>
      </c>
    </row>
    <row r="204" customFormat="false" ht="15" hidden="false" customHeight="false" outlineLevel="0" collapsed="false">
      <c r="A204" s="10" t="s">
        <v>558</v>
      </c>
      <c r="B204" s="10" t="s">
        <v>740</v>
      </c>
      <c r="C204" s="10" t="s">
        <v>550</v>
      </c>
      <c r="D204" s="15" t="n">
        <f aca="false">SUMIFS(Test_Times!$AH$5:$AH$863,Test_Times!$A$5:$A$863,A204,Test_Times!$G$5:$G$863,"HPLC")</f>
        <v>0</v>
      </c>
      <c r="E204" s="15" t="n">
        <f aca="false">SUMIF(Test_Times!$A$5:$A$863,A204,Test_Times!$AH$5:$AH$863)</f>
        <v>0</v>
      </c>
      <c r="F204" s="15" t="n">
        <f aca="false">SUMIF(Test_Times!$A$5:$A$863,A204,Test_Times!$AG$5:$AG$863)</f>
        <v>0</v>
      </c>
      <c r="G204" s="15" t="n">
        <f aca="false">SUMIF(Test_Times!$A$5:$A$863,A204,Test_Times!$AI$5:$AI$863)</f>
        <v>0</v>
      </c>
      <c r="H204" s="15" t="n">
        <f aca="false">SUMIFS(Test_Times!$AL$5:$AL$863,Test_Times!$A$5:$A$863,A204,Test_Times!$G$5:$G$863,"HPLC")</f>
        <v>0</v>
      </c>
      <c r="I204" s="30" t="n">
        <f aca="false">IFERROR(D204/SUM($D$5:$D$248),0)</f>
        <v>0</v>
      </c>
      <c r="J204" s="31" t="n">
        <f aca="false">D204+ROW()/10000000</f>
        <v>2.04E-005</v>
      </c>
    </row>
    <row r="205" customFormat="false" ht="15" hidden="false" customHeight="false" outlineLevel="0" collapsed="false">
      <c r="A205" s="10" t="s">
        <v>559</v>
      </c>
      <c r="B205" s="10" t="s">
        <v>740</v>
      </c>
      <c r="C205" s="10" t="s">
        <v>550</v>
      </c>
      <c r="D205" s="15" t="n">
        <f aca="false">SUMIFS(Test_Times!$AH$5:$AH$863,Test_Times!$A$5:$A$863,A205,Test_Times!$G$5:$G$863,"HPLC")</f>
        <v>0</v>
      </c>
      <c r="E205" s="15" t="n">
        <f aca="false">SUMIF(Test_Times!$A$5:$A$863,A205,Test_Times!$AH$5:$AH$863)</f>
        <v>0</v>
      </c>
      <c r="F205" s="15" t="n">
        <f aca="false">SUMIF(Test_Times!$A$5:$A$863,A205,Test_Times!$AG$5:$AG$863)</f>
        <v>0</v>
      </c>
      <c r="G205" s="15" t="n">
        <f aca="false">SUMIF(Test_Times!$A$5:$A$863,A205,Test_Times!$AI$5:$AI$863)</f>
        <v>0</v>
      </c>
      <c r="H205" s="15" t="n">
        <f aca="false">SUMIFS(Test_Times!$AL$5:$AL$863,Test_Times!$A$5:$A$863,A205,Test_Times!$G$5:$G$863,"HPLC")</f>
        <v>0</v>
      </c>
      <c r="I205" s="30" t="n">
        <f aca="false">IFERROR(D205/SUM($D$5:$D$248),0)</f>
        <v>0</v>
      </c>
      <c r="J205" s="31" t="n">
        <f aca="false">D205+ROW()/10000000</f>
        <v>2.05E-005</v>
      </c>
    </row>
    <row r="206" customFormat="false" ht="15" hidden="false" customHeight="false" outlineLevel="0" collapsed="false">
      <c r="A206" s="10" t="s">
        <v>560</v>
      </c>
      <c r="B206" s="10" t="s">
        <v>740</v>
      </c>
      <c r="C206" s="10" t="s">
        <v>561</v>
      </c>
      <c r="D206" s="15" t="n">
        <f aca="false">SUMIFS(Test_Times!$AH$5:$AH$863,Test_Times!$A$5:$A$863,A206,Test_Times!$G$5:$G$863,"HPLC")</f>
        <v>0</v>
      </c>
      <c r="E206" s="15" t="n">
        <f aca="false">SUMIF(Test_Times!$A$5:$A$863,A206,Test_Times!$AH$5:$AH$863)</f>
        <v>0</v>
      </c>
      <c r="F206" s="15" t="n">
        <f aca="false">SUMIF(Test_Times!$A$5:$A$863,A206,Test_Times!$AG$5:$AG$863)</f>
        <v>0</v>
      </c>
      <c r="G206" s="15" t="n">
        <f aca="false">SUMIF(Test_Times!$A$5:$A$863,A206,Test_Times!$AI$5:$AI$863)</f>
        <v>0</v>
      </c>
      <c r="H206" s="15" t="n">
        <f aca="false">SUMIFS(Test_Times!$AL$5:$AL$863,Test_Times!$A$5:$A$863,A206,Test_Times!$G$5:$G$863,"HPLC")</f>
        <v>0</v>
      </c>
      <c r="I206" s="30" t="n">
        <f aca="false">IFERROR(D206/SUM($D$5:$D$248),0)</f>
        <v>0</v>
      </c>
      <c r="J206" s="31" t="n">
        <f aca="false">D206+ROW()/10000000</f>
        <v>2.06E-005</v>
      </c>
    </row>
    <row r="207" customFormat="false" ht="15" hidden="false" customHeight="false" outlineLevel="0" collapsed="false">
      <c r="A207" s="10" t="s">
        <v>562</v>
      </c>
      <c r="B207" s="10" t="s">
        <v>740</v>
      </c>
      <c r="C207" s="10" t="s">
        <v>563</v>
      </c>
      <c r="D207" s="15" t="n">
        <f aca="false">SUMIFS(Test_Times!$AH$5:$AH$863,Test_Times!$A$5:$A$863,A207,Test_Times!$G$5:$G$863,"HPLC")</f>
        <v>0</v>
      </c>
      <c r="E207" s="15" t="n">
        <f aca="false">SUMIF(Test_Times!$A$5:$A$863,A207,Test_Times!$AH$5:$AH$863)</f>
        <v>0</v>
      </c>
      <c r="F207" s="15" t="n">
        <f aca="false">SUMIF(Test_Times!$A$5:$A$863,A207,Test_Times!$AG$5:$AG$863)</f>
        <v>0</v>
      </c>
      <c r="G207" s="15" t="n">
        <f aca="false">SUMIF(Test_Times!$A$5:$A$863,A207,Test_Times!$AI$5:$AI$863)</f>
        <v>0</v>
      </c>
      <c r="H207" s="15" t="n">
        <f aca="false">SUMIFS(Test_Times!$AL$5:$AL$863,Test_Times!$A$5:$A$863,A207,Test_Times!$G$5:$G$863,"HPLC")</f>
        <v>0</v>
      </c>
      <c r="I207" s="30" t="n">
        <f aca="false">IFERROR(D207/SUM($D$5:$D$248),0)</f>
        <v>0</v>
      </c>
      <c r="J207" s="31" t="n">
        <f aca="false">D207+ROW()/10000000</f>
        <v>2.07E-005</v>
      </c>
    </row>
    <row r="208" customFormat="false" ht="15" hidden="false" customHeight="false" outlineLevel="0" collapsed="false">
      <c r="A208" s="10" t="s">
        <v>564</v>
      </c>
      <c r="B208" s="10" t="s">
        <v>740</v>
      </c>
      <c r="C208" s="10" t="s">
        <v>565</v>
      </c>
      <c r="D208" s="15" t="n">
        <f aca="false">SUMIFS(Test_Times!$AH$5:$AH$863,Test_Times!$A$5:$A$863,A208,Test_Times!$G$5:$G$863,"HPLC")</f>
        <v>0</v>
      </c>
      <c r="E208" s="15" t="n">
        <f aca="false">SUMIF(Test_Times!$A$5:$A$863,A208,Test_Times!$AH$5:$AH$863)</f>
        <v>0</v>
      </c>
      <c r="F208" s="15" t="n">
        <f aca="false">SUMIF(Test_Times!$A$5:$A$863,A208,Test_Times!$AG$5:$AG$863)</f>
        <v>0</v>
      </c>
      <c r="G208" s="15" t="n">
        <f aca="false">SUMIF(Test_Times!$A$5:$A$863,A208,Test_Times!$AI$5:$AI$863)</f>
        <v>0</v>
      </c>
      <c r="H208" s="15" t="n">
        <f aca="false">SUMIFS(Test_Times!$AL$5:$AL$863,Test_Times!$A$5:$A$863,A208,Test_Times!$G$5:$G$863,"HPLC")</f>
        <v>0</v>
      </c>
      <c r="I208" s="30" t="n">
        <f aca="false">IFERROR(D208/SUM($D$5:$D$248),0)</f>
        <v>0</v>
      </c>
      <c r="J208" s="31" t="n">
        <f aca="false">D208+ROW()/10000000</f>
        <v>2.08E-005</v>
      </c>
    </row>
    <row r="209" customFormat="false" ht="15" hidden="false" customHeight="false" outlineLevel="0" collapsed="false">
      <c r="A209" s="10" t="s">
        <v>566</v>
      </c>
      <c r="B209" s="10" t="s">
        <v>740</v>
      </c>
      <c r="C209" s="10" t="s">
        <v>565</v>
      </c>
      <c r="D209" s="15" t="n">
        <f aca="false">SUMIFS(Test_Times!$AH$5:$AH$863,Test_Times!$A$5:$A$863,A209,Test_Times!$G$5:$G$863,"HPLC")</f>
        <v>0</v>
      </c>
      <c r="E209" s="15" t="n">
        <f aca="false">SUMIF(Test_Times!$A$5:$A$863,A209,Test_Times!$AH$5:$AH$863)</f>
        <v>0</v>
      </c>
      <c r="F209" s="15" t="n">
        <f aca="false">SUMIF(Test_Times!$A$5:$A$863,A209,Test_Times!$AG$5:$AG$863)</f>
        <v>0</v>
      </c>
      <c r="G209" s="15" t="n">
        <f aca="false">SUMIF(Test_Times!$A$5:$A$863,A209,Test_Times!$AI$5:$AI$863)</f>
        <v>0</v>
      </c>
      <c r="H209" s="15" t="n">
        <f aca="false">SUMIFS(Test_Times!$AL$5:$AL$863,Test_Times!$A$5:$A$863,A209,Test_Times!$G$5:$G$863,"HPLC")</f>
        <v>0</v>
      </c>
      <c r="I209" s="30" t="n">
        <f aca="false">IFERROR(D209/SUM($D$5:$D$248),0)</f>
        <v>0</v>
      </c>
      <c r="J209" s="31" t="n">
        <f aca="false">D209+ROW()/10000000</f>
        <v>2.09E-005</v>
      </c>
    </row>
    <row r="210" customFormat="false" ht="15" hidden="false" customHeight="false" outlineLevel="0" collapsed="false">
      <c r="A210" s="10" t="s">
        <v>567</v>
      </c>
      <c r="B210" s="10" t="s">
        <v>740</v>
      </c>
      <c r="C210" s="10" t="s">
        <v>568</v>
      </c>
      <c r="D210" s="15" t="n">
        <f aca="false">SUMIFS(Test_Times!$AH$5:$AH$863,Test_Times!$A$5:$A$863,A210,Test_Times!$G$5:$G$863,"HPLC")</f>
        <v>0</v>
      </c>
      <c r="E210" s="15" t="n">
        <f aca="false">SUMIF(Test_Times!$A$5:$A$863,A210,Test_Times!$AH$5:$AH$863)</f>
        <v>0</v>
      </c>
      <c r="F210" s="15" t="n">
        <f aca="false">SUMIF(Test_Times!$A$5:$A$863,A210,Test_Times!$AG$5:$AG$863)</f>
        <v>0</v>
      </c>
      <c r="G210" s="15" t="n">
        <f aca="false">SUMIF(Test_Times!$A$5:$A$863,A210,Test_Times!$AI$5:$AI$863)</f>
        <v>0</v>
      </c>
      <c r="H210" s="15" t="n">
        <f aca="false">SUMIFS(Test_Times!$AL$5:$AL$863,Test_Times!$A$5:$A$863,A210,Test_Times!$G$5:$G$863,"HPLC")</f>
        <v>0</v>
      </c>
      <c r="I210" s="30" t="n">
        <f aca="false">IFERROR(D210/SUM($D$5:$D$248),0)</f>
        <v>0</v>
      </c>
      <c r="J210" s="31" t="n">
        <f aca="false">D210+ROW()/10000000</f>
        <v>2.1E-005</v>
      </c>
    </row>
    <row r="211" customFormat="false" ht="15" hidden="false" customHeight="false" outlineLevel="0" collapsed="false">
      <c r="A211" s="10" t="s">
        <v>569</v>
      </c>
      <c r="B211" s="10" t="s">
        <v>740</v>
      </c>
      <c r="C211" s="10" t="s">
        <v>570</v>
      </c>
      <c r="D211" s="15" t="n">
        <f aca="false">SUMIFS(Test_Times!$AH$5:$AH$863,Test_Times!$A$5:$A$863,A211,Test_Times!$G$5:$G$863,"HPLC")</f>
        <v>0</v>
      </c>
      <c r="E211" s="15" t="n">
        <f aca="false">SUMIF(Test_Times!$A$5:$A$863,A211,Test_Times!$AH$5:$AH$863)</f>
        <v>0</v>
      </c>
      <c r="F211" s="15" t="n">
        <f aca="false">SUMIF(Test_Times!$A$5:$A$863,A211,Test_Times!$AG$5:$AG$863)</f>
        <v>0</v>
      </c>
      <c r="G211" s="15" t="n">
        <f aca="false">SUMIF(Test_Times!$A$5:$A$863,A211,Test_Times!$AI$5:$AI$863)</f>
        <v>0</v>
      </c>
      <c r="H211" s="15" t="n">
        <f aca="false">SUMIFS(Test_Times!$AL$5:$AL$863,Test_Times!$A$5:$A$863,A211,Test_Times!$G$5:$G$863,"HPLC")</f>
        <v>0</v>
      </c>
      <c r="I211" s="30" t="n">
        <f aca="false">IFERROR(D211/SUM($D$5:$D$248),0)</f>
        <v>0</v>
      </c>
      <c r="J211" s="31" t="n">
        <f aca="false">D211+ROW()/10000000</f>
        <v>2.11E-005</v>
      </c>
    </row>
    <row r="212" customFormat="false" ht="15" hidden="false" customHeight="false" outlineLevel="0" collapsed="false">
      <c r="A212" s="10" t="s">
        <v>571</v>
      </c>
      <c r="B212" s="10" t="s">
        <v>740</v>
      </c>
      <c r="C212" s="10" t="s">
        <v>570</v>
      </c>
      <c r="D212" s="15" t="n">
        <f aca="false">SUMIFS(Test_Times!$AH$5:$AH$863,Test_Times!$A$5:$A$863,A212,Test_Times!$G$5:$G$863,"HPLC")</f>
        <v>0</v>
      </c>
      <c r="E212" s="15" t="n">
        <f aca="false">SUMIF(Test_Times!$A$5:$A$863,A212,Test_Times!$AH$5:$AH$863)</f>
        <v>0</v>
      </c>
      <c r="F212" s="15" t="n">
        <f aca="false">SUMIF(Test_Times!$A$5:$A$863,A212,Test_Times!$AG$5:$AG$863)</f>
        <v>0</v>
      </c>
      <c r="G212" s="15" t="n">
        <f aca="false">SUMIF(Test_Times!$A$5:$A$863,A212,Test_Times!$AI$5:$AI$863)</f>
        <v>0</v>
      </c>
      <c r="H212" s="15" t="n">
        <f aca="false">SUMIFS(Test_Times!$AL$5:$AL$863,Test_Times!$A$5:$A$863,A212,Test_Times!$G$5:$G$863,"HPLC")</f>
        <v>0</v>
      </c>
      <c r="I212" s="30" t="n">
        <f aca="false">IFERROR(D212/SUM($D$5:$D$248),0)</f>
        <v>0</v>
      </c>
      <c r="J212" s="31" t="n">
        <f aca="false">D212+ROW()/10000000</f>
        <v>2.12E-005</v>
      </c>
    </row>
    <row r="213" customFormat="false" ht="15" hidden="false" customHeight="false" outlineLevel="0" collapsed="false">
      <c r="A213" s="10" t="s">
        <v>572</v>
      </c>
      <c r="B213" s="10" t="s">
        <v>740</v>
      </c>
      <c r="C213" s="10" t="s">
        <v>573</v>
      </c>
      <c r="D213" s="15" t="n">
        <f aca="false">SUMIFS(Test_Times!$AH$5:$AH$863,Test_Times!$A$5:$A$863,A213,Test_Times!$G$5:$G$863,"HPLC")</f>
        <v>0</v>
      </c>
      <c r="E213" s="15" t="n">
        <f aca="false">SUMIF(Test_Times!$A$5:$A$863,A213,Test_Times!$AH$5:$AH$863)</f>
        <v>0</v>
      </c>
      <c r="F213" s="15" t="n">
        <f aca="false">SUMIF(Test_Times!$A$5:$A$863,A213,Test_Times!$AG$5:$AG$863)</f>
        <v>0</v>
      </c>
      <c r="G213" s="15" t="n">
        <f aca="false">SUMIF(Test_Times!$A$5:$A$863,A213,Test_Times!$AI$5:$AI$863)</f>
        <v>0</v>
      </c>
      <c r="H213" s="15" t="n">
        <f aca="false">SUMIFS(Test_Times!$AL$5:$AL$863,Test_Times!$A$5:$A$863,A213,Test_Times!$G$5:$G$863,"HPLC")</f>
        <v>0</v>
      </c>
      <c r="I213" s="30" t="n">
        <f aca="false">IFERROR(D213/SUM($D$5:$D$248),0)</f>
        <v>0</v>
      </c>
      <c r="J213" s="31" t="n">
        <f aca="false">D213+ROW()/10000000</f>
        <v>2.13E-005</v>
      </c>
    </row>
    <row r="214" customFormat="false" ht="15" hidden="false" customHeight="false" outlineLevel="0" collapsed="false">
      <c r="A214" s="10" t="s">
        <v>574</v>
      </c>
      <c r="B214" s="10" t="s">
        <v>740</v>
      </c>
      <c r="C214" s="10" t="s">
        <v>573</v>
      </c>
      <c r="D214" s="15" t="n">
        <f aca="false">SUMIFS(Test_Times!$AH$5:$AH$863,Test_Times!$A$5:$A$863,A214,Test_Times!$G$5:$G$863,"HPLC")</f>
        <v>0</v>
      </c>
      <c r="E214" s="15" t="n">
        <f aca="false">SUMIF(Test_Times!$A$5:$A$863,A214,Test_Times!$AH$5:$AH$863)</f>
        <v>0</v>
      </c>
      <c r="F214" s="15" t="n">
        <f aca="false">SUMIF(Test_Times!$A$5:$A$863,A214,Test_Times!$AG$5:$AG$863)</f>
        <v>0</v>
      </c>
      <c r="G214" s="15" t="n">
        <f aca="false">SUMIF(Test_Times!$A$5:$A$863,A214,Test_Times!$AI$5:$AI$863)</f>
        <v>0</v>
      </c>
      <c r="H214" s="15" t="n">
        <f aca="false">SUMIFS(Test_Times!$AL$5:$AL$863,Test_Times!$A$5:$A$863,A214,Test_Times!$G$5:$G$863,"HPLC")</f>
        <v>0</v>
      </c>
      <c r="I214" s="30" t="n">
        <f aca="false">IFERROR(D214/SUM($D$5:$D$248),0)</f>
        <v>0</v>
      </c>
      <c r="J214" s="31" t="n">
        <f aca="false">D214+ROW()/10000000</f>
        <v>2.14E-005</v>
      </c>
    </row>
    <row r="215" customFormat="false" ht="15" hidden="false" customHeight="false" outlineLevel="0" collapsed="false">
      <c r="A215" s="10" t="s">
        <v>575</v>
      </c>
      <c r="B215" s="10" t="s">
        <v>740</v>
      </c>
      <c r="C215" s="10" t="s">
        <v>573</v>
      </c>
      <c r="D215" s="15" t="n">
        <f aca="false">SUMIFS(Test_Times!$AH$5:$AH$863,Test_Times!$A$5:$A$863,A215,Test_Times!$G$5:$G$863,"HPLC")</f>
        <v>0</v>
      </c>
      <c r="E215" s="15" t="n">
        <f aca="false">SUMIF(Test_Times!$A$5:$A$863,A215,Test_Times!$AH$5:$AH$863)</f>
        <v>0</v>
      </c>
      <c r="F215" s="15" t="n">
        <f aca="false">SUMIF(Test_Times!$A$5:$A$863,A215,Test_Times!$AG$5:$AG$863)</f>
        <v>0</v>
      </c>
      <c r="G215" s="15" t="n">
        <f aca="false">SUMIF(Test_Times!$A$5:$A$863,A215,Test_Times!$AI$5:$AI$863)</f>
        <v>0</v>
      </c>
      <c r="H215" s="15" t="n">
        <f aca="false">SUMIFS(Test_Times!$AL$5:$AL$863,Test_Times!$A$5:$A$863,A215,Test_Times!$G$5:$G$863,"HPLC")</f>
        <v>0</v>
      </c>
      <c r="I215" s="30" t="n">
        <f aca="false">IFERROR(D215/SUM($D$5:$D$248),0)</f>
        <v>0</v>
      </c>
      <c r="J215" s="31" t="n">
        <f aca="false">D215+ROW()/10000000</f>
        <v>2.15E-005</v>
      </c>
    </row>
    <row r="216" customFormat="false" ht="15" hidden="false" customHeight="false" outlineLevel="0" collapsed="false">
      <c r="A216" s="10" t="s">
        <v>576</v>
      </c>
      <c r="B216" s="10" t="s">
        <v>740</v>
      </c>
      <c r="C216" s="10" t="s">
        <v>577</v>
      </c>
      <c r="D216" s="15" t="n">
        <f aca="false">SUMIFS(Test_Times!$AH$5:$AH$863,Test_Times!$A$5:$A$863,A216,Test_Times!$G$5:$G$863,"HPLC")</f>
        <v>0</v>
      </c>
      <c r="E216" s="15" t="n">
        <f aca="false">SUMIF(Test_Times!$A$5:$A$863,A216,Test_Times!$AH$5:$AH$863)</f>
        <v>0</v>
      </c>
      <c r="F216" s="15" t="n">
        <f aca="false">SUMIF(Test_Times!$A$5:$A$863,A216,Test_Times!$AG$5:$AG$863)</f>
        <v>0</v>
      </c>
      <c r="G216" s="15" t="n">
        <f aca="false">SUMIF(Test_Times!$A$5:$A$863,A216,Test_Times!$AI$5:$AI$863)</f>
        <v>0</v>
      </c>
      <c r="H216" s="15" t="n">
        <f aca="false">SUMIFS(Test_Times!$AL$5:$AL$863,Test_Times!$A$5:$A$863,A216,Test_Times!$G$5:$G$863,"HPLC")</f>
        <v>0</v>
      </c>
      <c r="I216" s="30" t="n">
        <f aca="false">IFERROR(D216/SUM($D$5:$D$248),0)</f>
        <v>0</v>
      </c>
      <c r="J216" s="31" t="n">
        <f aca="false">D216+ROW()/10000000</f>
        <v>2.16E-005</v>
      </c>
    </row>
    <row r="217" customFormat="false" ht="15" hidden="false" customHeight="false" outlineLevel="0" collapsed="false">
      <c r="A217" s="10" t="s">
        <v>578</v>
      </c>
      <c r="B217" s="10" t="s">
        <v>740</v>
      </c>
      <c r="C217" s="10" t="s">
        <v>577</v>
      </c>
      <c r="D217" s="15" t="n">
        <f aca="false">SUMIFS(Test_Times!$AH$5:$AH$863,Test_Times!$A$5:$A$863,A217,Test_Times!$G$5:$G$863,"HPLC")</f>
        <v>0</v>
      </c>
      <c r="E217" s="15" t="n">
        <f aca="false">SUMIF(Test_Times!$A$5:$A$863,A217,Test_Times!$AH$5:$AH$863)</f>
        <v>0</v>
      </c>
      <c r="F217" s="15" t="n">
        <f aca="false">SUMIF(Test_Times!$A$5:$A$863,A217,Test_Times!$AG$5:$AG$863)</f>
        <v>0</v>
      </c>
      <c r="G217" s="15" t="n">
        <f aca="false">SUMIF(Test_Times!$A$5:$A$863,A217,Test_Times!$AI$5:$AI$863)</f>
        <v>0</v>
      </c>
      <c r="H217" s="15" t="n">
        <f aca="false">SUMIFS(Test_Times!$AL$5:$AL$863,Test_Times!$A$5:$A$863,A217,Test_Times!$G$5:$G$863,"HPLC")</f>
        <v>0</v>
      </c>
      <c r="I217" s="30" t="n">
        <f aca="false">IFERROR(D217/SUM($D$5:$D$248),0)</f>
        <v>0</v>
      </c>
      <c r="J217" s="31" t="n">
        <f aca="false">D217+ROW()/10000000</f>
        <v>2.17E-005</v>
      </c>
    </row>
    <row r="218" customFormat="false" ht="15" hidden="false" customHeight="false" outlineLevel="0" collapsed="false">
      <c r="A218" s="10" t="s">
        <v>579</v>
      </c>
      <c r="B218" s="10" t="s">
        <v>740</v>
      </c>
      <c r="C218" s="10" t="s">
        <v>580</v>
      </c>
      <c r="D218" s="15" t="n">
        <f aca="false">SUMIFS(Test_Times!$AH$5:$AH$863,Test_Times!$A$5:$A$863,A218,Test_Times!$G$5:$G$863,"HPLC")</f>
        <v>0</v>
      </c>
      <c r="E218" s="15" t="n">
        <f aca="false">SUMIF(Test_Times!$A$5:$A$863,A218,Test_Times!$AH$5:$AH$863)</f>
        <v>0</v>
      </c>
      <c r="F218" s="15" t="n">
        <f aca="false">SUMIF(Test_Times!$A$5:$A$863,A218,Test_Times!$AG$5:$AG$863)</f>
        <v>0</v>
      </c>
      <c r="G218" s="15" t="n">
        <f aca="false">SUMIF(Test_Times!$A$5:$A$863,A218,Test_Times!$AI$5:$AI$863)</f>
        <v>0</v>
      </c>
      <c r="H218" s="15" t="n">
        <f aca="false">SUMIFS(Test_Times!$AL$5:$AL$863,Test_Times!$A$5:$A$863,A218,Test_Times!$G$5:$G$863,"HPLC")</f>
        <v>0</v>
      </c>
      <c r="I218" s="30" t="n">
        <f aca="false">IFERROR(D218/SUM($D$5:$D$248),0)</f>
        <v>0</v>
      </c>
      <c r="J218" s="31" t="n">
        <f aca="false">D218+ROW()/10000000</f>
        <v>2.18E-005</v>
      </c>
    </row>
    <row r="219" customFormat="false" ht="15" hidden="false" customHeight="false" outlineLevel="0" collapsed="false">
      <c r="A219" s="10" t="s">
        <v>581</v>
      </c>
      <c r="B219" s="10" t="s">
        <v>740</v>
      </c>
      <c r="C219" s="10" t="s">
        <v>580</v>
      </c>
      <c r="D219" s="15" t="n">
        <f aca="false">SUMIFS(Test_Times!$AH$5:$AH$863,Test_Times!$A$5:$A$863,A219,Test_Times!$G$5:$G$863,"HPLC")</f>
        <v>0</v>
      </c>
      <c r="E219" s="15" t="n">
        <f aca="false">SUMIF(Test_Times!$A$5:$A$863,A219,Test_Times!$AH$5:$AH$863)</f>
        <v>0</v>
      </c>
      <c r="F219" s="15" t="n">
        <f aca="false">SUMIF(Test_Times!$A$5:$A$863,A219,Test_Times!$AG$5:$AG$863)</f>
        <v>0</v>
      </c>
      <c r="G219" s="15" t="n">
        <f aca="false">SUMIF(Test_Times!$A$5:$A$863,A219,Test_Times!$AI$5:$AI$863)</f>
        <v>0</v>
      </c>
      <c r="H219" s="15" t="n">
        <f aca="false">SUMIFS(Test_Times!$AL$5:$AL$863,Test_Times!$A$5:$A$863,A219,Test_Times!$G$5:$G$863,"HPLC")</f>
        <v>0</v>
      </c>
      <c r="I219" s="30" t="n">
        <f aca="false">IFERROR(D219/SUM($D$5:$D$248),0)</f>
        <v>0</v>
      </c>
      <c r="J219" s="31" t="n">
        <f aca="false">D219+ROW()/10000000</f>
        <v>2.19E-005</v>
      </c>
    </row>
    <row r="220" customFormat="false" ht="15" hidden="false" customHeight="false" outlineLevel="0" collapsed="false">
      <c r="A220" s="10" t="s">
        <v>582</v>
      </c>
      <c r="B220" s="10" t="s">
        <v>740</v>
      </c>
      <c r="C220" s="10" t="s">
        <v>580</v>
      </c>
      <c r="D220" s="15" t="n">
        <f aca="false">SUMIFS(Test_Times!$AH$5:$AH$863,Test_Times!$A$5:$A$863,A220,Test_Times!$G$5:$G$863,"HPLC")</f>
        <v>0</v>
      </c>
      <c r="E220" s="15" t="n">
        <f aca="false">SUMIF(Test_Times!$A$5:$A$863,A220,Test_Times!$AH$5:$AH$863)</f>
        <v>0</v>
      </c>
      <c r="F220" s="15" t="n">
        <f aca="false">SUMIF(Test_Times!$A$5:$A$863,A220,Test_Times!$AG$5:$AG$863)</f>
        <v>0</v>
      </c>
      <c r="G220" s="15" t="n">
        <f aca="false">SUMIF(Test_Times!$A$5:$A$863,A220,Test_Times!$AI$5:$AI$863)</f>
        <v>0</v>
      </c>
      <c r="H220" s="15" t="n">
        <f aca="false">SUMIFS(Test_Times!$AL$5:$AL$863,Test_Times!$A$5:$A$863,A220,Test_Times!$G$5:$G$863,"HPLC")</f>
        <v>0</v>
      </c>
      <c r="I220" s="30" t="n">
        <f aca="false">IFERROR(D220/SUM($D$5:$D$248),0)</f>
        <v>0</v>
      </c>
      <c r="J220" s="31" t="n">
        <f aca="false">D220+ROW()/10000000</f>
        <v>2.2E-005</v>
      </c>
    </row>
    <row r="221" customFormat="false" ht="15" hidden="false" customHeight="false" outlineLevel="0" collapsed="false">
      <c r="A221" s="10" t="s">
        <v>583</v>
      </c>
      <c r="B221" s="10" t="s">
        <v>740</v>
      </c>
      <c r="C221" s="10" t="s">
        <v>580</v>
      </c>
      <c r="D221" s="15" t="n">
        <f aca="false">SUMIFS(Test_Times!$AH$5:$AH$863,Test_Times!$A$5:$A$863,A221,Test_Times!$G$5:$G$863,"HPLC")</f>
        <v>0</v>
      </c>
      <c r="E221" s="15" t="n">
        <f aca="false">SUMIF(Test_Times!$A$5:$A$863,A221,Test_Times!$AH$5:$AH$863)</f>
        <v>0</v>
      </c>
      <c r="F221" s="15" t="n">
        <f aca="false">SUMIF(Test_Times!$A$5:$A$863,A221,Test_Times!$AG$5:$AG$863)</f>
        <v>0</v>
      </c>
      <c r="G221" s="15" t="n">
        <f aca="false">SUMIF(Test_Times!$A$5:$A$863,A221,Test_Times!$AI$5:$AI$863)</f>
        <v>0</v>
      </c>
      <c r="H221" s="15" t="n">
        <f aca="false">SUMIFS(Test_Times!$AL$5:$AL$863,Test_Times!$A$5:$A$863,A221,Test_Times!$G$5:$G$863,"HPLC")</f>
        <v>0</v>
      </c>
      <c r="I221" s="30" t="n">
        <f aca="false">IFERROR(D221/SUM($D$5:$D$248),0)</f>
        <v>0</v>
      </c>
      <c r="J221" s="31" t="n">
        <f aca="false">D221+ROW()/10000000</f>
        <v>2.21E-005</v>
      </c>
    </row>
    <row r="222" customFormat="false" ht="15" hidden="false" customHeight="false" outlineLevel="0" collapsed="false">
      <c r="A222" s="10" t="s">
        <v>584</v>
      </c>
      <c r="B222" s="10" t="s">
        <v>740</v>
      </c>
      <c r="C222" s="10" t="s">
        <v>585</v>
      </c>
      <c r="D222" s="15" t="n">
        <f aca="false">SUMIFS(Test_Times!$AH$5:$AH$863,Test_Times!$A$5:$A$863,A222,Test_Times!$G$5:$G$863,"HPLC")</f>
        <v>0</v>
      </c>
      <c r="E222" s="15" t="n">
        <f aca="false">SUMIF(Test_Times!$A$5:$A$863,A222,Test_Times!$AH$5:$AH$863)</f>
        <v>0</v>
      </c>
      <c r="F222" s="15" t="n">
        <f aca="false">SUMIF(Test_Times!$A$5:$A$863,A222,Test_Times!$AG$5:$AG$863)</f>
        <v>0</v>
      </c>
      <c r="G222" s="15" t="n">
        <f aca="false">SUMIF(Test_Times!$A$5:$A$863,A222,Test_Times!$AI$5:$AI$863)</f>
        <v>0</v>
      </c>
      <c r="H222" s="15" t="n">
        <f aca="false">SUMIFS(Test_Times!$AL$5:$AL$863,Test_Times!$A$5:$A$863,A222,Test_Times!$G$5:$G$863,"HPLC")</f>
        <v>0</v>
      </c>
      <c r="I222" s="30" t="n">
        <f aca="false">IFERROR(D222/SUM($D$5:$D$248),0)</f>
        <v>0</v>
      </c>
      <c r="J222" s="31" t="n">
        <f aca="false">D222+ROW()/10000000</f>
        <v>2.22E-005</v>
      </c>
    </row>
    <row r="223" customFormat="false" ht="15" hidden="false" customHeight="false" outlineLevel="0" collapsed="false">
      <c r="A223" s="10" t="s">
        <v>586</v>
      </c>
      <c r="B223" s="10" t="s">
        <v>740</v>
      </c>
      <c r="C223" s="10" t="s">
        <v>585</v>
      </c>
      <c r="D223" s="15" t="n">
        <f aca="false">SUMIFS(Test_Times!$AH$5:$AH$863,Test_Times!$A$5:$A$863,A223,Test_Times!$G$5:$G$863,"HPLC")</f>
        <v>0</v>
      </c>
      <c r="E223" s="15" t="n">
        <f aca="false">SUMIF(Test_Times!$A$5:$A$863,A223,Test_Times!$AH$5:$AH$863)</f>
        <v>0</v>
      </c>
      <c r="F223" s="15" t="n">
        <f aca="false">SUMIF(Test_Times!$A$5:$A$863,A223,Test_Times!$AG$5:$AG$863)</f>
        <v>0</v>
      </c>
      <c r="G223" s="15" t="n">
        <f aca="false">SUMIF(Test_Times!$A$5:$A$863,A223,Test_Times!$AI$5:$AI$863)</f>
        <v>0</v>
      </c>
      <c r="H223" s="15" t="n">
        <f aca="false">SUMIFS(Test_Times!$AL$5:$AL$863,Test_Times!$A$5:$A$863,A223,Test_Times!$G$5:$G$863,"HPLC")</f>
        <v>0</v>
      </c>
      <c r="I223" s="30" t="n">
        <f aca="false">IFERROR(D223/SUM($D$5:$D$248),0)</f>
        <v>0</v>
      </c>
      <c r="J223" s="31" t="n">
        <f aca="false">D223+ROW()/10000000</f>
        <v>2.23E-005</v>
      </c>
    </row>
    <row r="224" customFormat="false" ht="15" hidden="false" customHeight="false" outlineLevel="0" collapsed="false">
      <c r="A224" s="10" t="s">
        <v>587</v>
      </c>
      <c r="B224" s="10" t="s">
        <v>740</v>
      </c>
      <c r="C224" s="10" t="s">
        <v>585</v>
      </c>
      <c r="D224" s="15" t="n">
        <f aca="false">SUMIFS(Test_Times!$AH$5:$AH$863,Test_Times!$A$5:$A$863,A224,Test_Times!$G$5:$G$863,"HPLC")</f>
        <v>0</v>
      </c>
      <c r="E224" s="15" t="n">
        <f aca="false">SUMIF(Test_Times!$A$5:$A$863,A224,Test_Times!$AH$5:$AH$863)</f>
        <v>0</v>
      </c>
      <c r="F224" s="15" t="n">
        <f aca="false">SUMIF(Test_Times!$A$5:$A$863,A224,Test_Times!$AG$5:$AG$863)</f>
        <v>0</v>
      </c>
      <c r="G224" s="15" t="n">
        <f aca="false">SUMIF(Test_Times!$A$5:$A$863,A224,Test_Times!$AI$5:$AI$863)</f>
        <v>0</v>
      </c>
      <c r="H224" s="15" t="n">
        <f aca="false">SUMIFS(Test_Times!$AL$5:$AL$863,Test_Times!$A$5:$A$863,A224,Test_Times!$G$5:$G$863,"HPLC")</f>
        <v>0</v>
      </c>
      <c r="I224" s="30" t="n">
        <f aca="false">IFERROR(D224/SUM($D$5:$D$248),0)</f>
        <v>0</v>
      </c>
      <c r="J224" s="31" t="n">
        <f aca="false">D224+ROW()/10000000</f>
        <v>2.24E-005</v>
      </c>
    </row>
    <row r="225" customFormat="false" ht="15" hidden="false" customHeight="false" outlineLevel="0" collapsed="false">
      <c r="A225" s="10" t="s">
        <v>588</v>
      </c>
      <c r="B225" s="10" t="s">
        <v>740</v>
      </c>
      <c r="C225" s="10" t="s">
        <v>585</v>
      </c>
      <c r="D225" s="15" t="n">
        <f aca="false">SUMIFS(Test_Times!$AH$5:$AH$863,Test_Times!$A$5:$A$863,A225,Test_Times!$G$5:$G$863,"HPLC")</f>
        <v>0</v>
      </c>
      <c r="E225" s="15" t="n">
        <f aca="false">SUMIF(Test_Times!$A$5:$A$863,A225,Test_Times!$AH$5:$AH$863)</f>
        <v>0</v>
      </c>
      <c r="F225" s="15" t="n">
        <f aca="false">SUMIF(Test_Times!$A$5:$A$863,A225,Test_Times!$AG$5:$AG$863)</f>
        <v>0</v>
      </c>
      <c r="G225" s="15" t="n">
        <f aca="false">SUMIF(Test_Times!$A$5:$A$863,A225,Test_Times!$AI$5:$AI$863)</f>
        <v>0</v>
      </c>
      <c r="H225" s="15" t="n">
        <f aca="false">SUMIFS(Test_Times!$AL$5:$AL$863,Test_Times!$A$5:$A$863,A225,Test_Times!$G$5:$G$863,"HPLC")</f>
        <v>0</v>
      </c>
      <c r="I225" s="30" t="n">
        <f aca="false">IFERROR(D225/SUM($D$5:$D$248),0)</f>
        <v>0</v>
      </c>
      <c r="J225" s="31" t="n">
        <f aca="false">D225+ROW()/10000000</f>
        <v>2.25E-005</v>
      </c>
    </row>
    <row r="226" customFormat="false" ht="15" hidden="false" customHeight="false" outlineLevel="0" collapsed="false">
      <c r="A226" s="10" t="s">
        <v>589</v>
      </c>
      <c r="B226" s="10" t="s">
        <v>740</v>
      </c>
      <c r="C226" s="10" t="s">
        <v>585</v>
      </c>
      <c r="D226" s="15" t="n">
        <f aca="false">SUMIFS(Test_Times!$AH$5:$AH$863,Test_Times!$A$5:$A$863,A226,Test_Times!$G$5:$G$863,"HPLC")</f>
        <v>0</v>
      </c>
      <c r="E226" s="15" t="n">
        <f aca="false">SUMIF(Test_Times!$A$5:$A$863,A226,Test_Times!$AH$5:$AH$863)</f>
        <v>0</v>
      </c>
      <c r="F226" s="15" t="n">
        <f aca="false">SUMIF(Test_Times!$A$5:$A$863,A226,Test_Times!$AG$5:$AG$863)</f>
        <v>0</v>
      </c>
      <c r="G226" s="15" t="n">
        <f aca="false">SUMIF(Test_Times!$A$5:$A$863,A226,Test_Times!$AI$5:$AI$863)</f>
        <v>0</v>
      </c>
      <c r="H226" s="15" t="n">
        <f aca="false">SUMIFS(Test_Times!$AL$5:$AL$863,Test_Times!$A$5:$A$863,A226,Test_Times!$G$5:$G$863,"HPLC")</f>
        <v>0</v>
      </c>
      <c r="I226" s="30" t="n">
        <f aca="false">IFERROR(D226/SUM($D$5:$D$248),0)</f>
        <v>0</v>
      </c>
      <c r="J226" s="31" t="n">
        <f aca="false">D226+ROW()/10000000</f>
        <v>2.26E-005</v>
      </c>
    </row>
    <row r="227" customFormat="false" ht="15" hidden="false" customHeight="false" outlineLevel="0" collapsed="false">
      <c r="A227" s="10" t="s">
        <v>590</v>
      </c>
      <c r="B227" s="10" t="s">
        <v>740</v>
      </c>
      <c r="C227" s="10" t="s">
        <v>591</v>
      </c>
      <c r="D227" s="15" t="n">
        <f aca="false">SUMIFS(Test_Times!$AH$5:$AH$863,Test_Times!$A$5:$A$863,A227,Test_Times!$G$5:$G$863,"HPLC")</f>
        <v>0</v>
      </c>
      <c r="E227" s="15" t="n">
        <f aca="false">SUMIF(Test_Times!$A$5:$A$863,A227,Test_Times!$AH$5:$AH$863)</f>
        <v>0</v>
      </c>
      <c r="F227" s="15" t="n">
        <f aca="false">SUMIF(Test_Times!$A$5:$A$863,A227,Test_Times!$AG$5:$AG$863)</f>
        <v>0</v>
      </c>
      <c r="G227" s="15" t="n">
        <f aca="false">SUMIF(Test_Times!$A$5:$A$863,A227,Test_Times!$AI$5:$AI$863)</f>
        <v>0</v>
      </c>
      <c r="H227" s="15" t="n">
        <f aca="false">SUMIFS(Test_Times!$AL$5:$AL$863,Test_Times!$A$5:$A$863,A227,Test_Times!$G$5:$G$863,"HPLC")</f>
        <v>0</v>
      </c>
      <c r="I227" s="30" t="n">
        <f aca="false">IFERROR(D227/SUM($D$5:$D$248),0)</f>
        <v>0</v>
      </c>
      <c r="J227" s="31" t="n">
        <f aca="false">D227+ROW()/10000000</f>
        <v>2.27E-005</v>
      </c>
    </row>
    <row r="228" customFormat="false" ht="15" hidden="false" customHeight="false" outlineLevel="0" collapsed="false">
      <c r="A228" s="10" t="s">
        <v>592</v>
      </c>
      <c r="B228" s="10" t="s">
        <v>740</v>
      </c>
      <c r="C228" s="10" t="s">
        <v>591</v>
      </c>
      <c r="D228" s="15" t="n">
        <f aca="false">SUMIFS(Test_Times!$AH$5:$AH$863,Test_Times!$A$5:$A$863,A228,Test_Times!$G$5:$G$863,"HPLC")</f>
        <v>0</v>
      </c>
      <c r="E228" s="15" t="n">
        <f aca="false">SUMIF(Test_Times!$A$5:$A$863,A228,Test_Times!$AH$5:$AH$863)</f>
        <v>0</v>
      </c>
      <c r="F228" s="15" t="n">
        <f aca="false">SUMIF(Test_Times!$A$5:$A$863,A228,Test_Times!$AG$5:$AG$863)</f>
        <v>0</v>
      </c>
      <c r="G228" s="15" t="n">
        <f aca="false">SUMIF(Test_Times!$A$5:$A$863,A228,Test_Times!$AI$5:$AI$863)</f>
        <v>0</v>
      </c>
      <c r="H228" s="15" t="n">
        <f aca="false">SUMIFS(Test_Times!$AL$5:$AL$863,Test_Times!$A$5:$A$863,A228,Test_Times!$G$5:$G$863,"HPLC")</f>
        <v>0</v>
      </c>
      <c r="I228" s="30" t="n">
        <f aca="false">IFERROR(D228/SUM($D$5:$D$248),0)</f>
        <v>0</v>
      </c>
      <c r="J228" s="31" t="n">
        <f aca="false">D228+ROW()/10000000</f>
        <v>2.28E-005</v>
      </c>
    </row>
    <row r="229" customFormat="false" ht="15" hidden="false" customHeight="false" outlineLevel="0" collapsed="false">
      <c r="A229" s="10" t="s">
        <v>593</v>
      </c>
      <c r="B229" s="10" t="s">
        <v>740</v>
      </c>
      <c r="C229" s="10" t="s">
        <v>591</v>
      </c>
      <c r="D229" s="15" t="n">
        <f aca="false">SUMIFS(Test_Times!$AH$5:$AH$863,Test_Times!$A$5:$A$863,A229,Test_Times!$G$5:$G$863,"HPLC")</f>
        <v>0</v>
      </c>
      <c r="E229" s="15" t="n">
        <f aca="false">SUMIF(Test_Times!$A$5:$A$863,A229,Test_Times!$AH$5:$AH$863)</f>
        <v>0</v>
      </c>
      <c r="F229" s="15" t="n">
        <f aca="false">SUMIF(Test_Times!$A$5:$A$863,A229,Test_Times!$AG$5:$AG$863)</f>
        <v>0</v>
      </c>
      <c r="G229" s="15" t="n">
        <f aca="false">SUMIF(Test_Times!$A$5:$A$863,A229,Test_Times!$AI$5:$AI$863)</f>
        <v>0</v>
      </c>
      <c r="H229" s="15" t="n">
        <f aca="false">SUMIFS(Test_Times!$AL$5:$AL$863,Test_Times!$A$5:$A$863,A229,Test_Times!$G$5:$G$863,"HPLC")</f>
        <v>0</v>
      </c>
      <c r="I229" s="30" t="n">
        <f aca="false">IFERROR(D229/SUM($D$5:$D$248),0)</f>
        <v>0</v>
      </c>
      <c r="J229" s="31" t="n">
        <f aca="false">D229+ROW()/10000000</f>
        <v>2.29E-005</v>
      </c>
    </row>
    <row r="230" customFormat="false" ht="15" hidden="false" customHeight="false" outlineLevel="0" collapsed="false">
      <c r="A230" s="10" t="s">
        <v>594</v>
      </c>
      <c r="B230" s="10" t="s">
        <v>740</v>
      </c>
      <c r="C230" s="10" t="s">
        <v>591</v>
      </c>
      <c r="D230" s="15" t="n">
        <f aca="false">SUMIFS(Test_Times!$AH$5:$AH$863,Test_Times!$A$5:$A$863,A230,Test_Times!$G$5:$G$863,"HPLC")</f>
        <v>0</v>
      </c>
      <c r="E230" s="15" t="n">
        <f aca="false">SUMIF(Test_Times!$A$5:$A$863,A230,Test_Times!$AH$5:$AH$863)</f>
        <v>0</v>
      </c>
      <c r="F230" s="15" t="n">
        <f aca="false">SUMIF(Test_Times!$A$5:$A$863,A230,Test_Times!$AG$5:$AG$863)</f>
        <v>0</v>
      </c>
      <c r="G230" s="15" t="n">
        <f aca="false">SUMIF(Test_Times!$A$5:$A$863,A230,Test_Times!$AI$5:$AI$863)</f>
        <v>0</v>
      </c>
      <c r="H230" s="15" t="n">
        <f aca="false">SUMIFS(Test_Times!$AL$5:$AL$863,Test_Times!$A$5:$A$863,A230,Test_Times!$G$5:$G$863,"HPLC")</f>
        <v>0</v>
      </c>
      <c r="I230" s="30" t="n">
        <f aca="false">IFERROR(D230/SUM($D$5:$D$248),0)</f>
        <v>0</v>
      </c>
      <c r="J230" s="31" t="n">
        <f aca="false">D230+ROW()/10000000</f>
        <v>2.3E-005</v>
      </c>
    </row>
    <row r="231" customFormat="false" ht="15" hidden="false" customHeight="false" outlineLevel="0" collapsed="false">
      <c r="A231" s="10" t="s">
        <v>595</v>
      </c>
      <c r="B231" s="10" t="s">
        <v>740</v>
      </c>
      <c r="C231" s="10" t="s">
        <v>591</v>
      </c>
      <c r="D231" s="15" t="n">
        <f aca="false">SUMIFS(Test_Times!$AH$5:$AH$863,Test_Times!$A$5:$A$863,A231,Test_Times!$G$5:$G$863,"HPLC")</f>
        <v>0</v>
      </c>
      <c r="E231" s="15" t="n">
        <f aca="false">SUMIF(Test_Times!$A$5:$A$863,A231,Test_Times!$AH$5:$AH$863)</f>
        <v>0</v>
      </c>
      <c r="F231" s="15" t="n">
        <f aca="false">SUMIF(Test_Times!$A$5:$A$863,A231,Test_Times!$AG$5:$AG$863)</f>
        <v>0</v>
      </c>
      <c r="G231" s="15" t="n">
        <f aca="false">SUMIF(Test_Times!$A$5:$A$863,A231,Test_Times!$AI$5:$AI$863)</f>
        <v>0</v>
      </c>
      <c r="H231" s="15" t="n">
        <f aca="false">SUMIFS(Test_Times!$AL$5:$AL$863,Test_Times!$A$5:$A$863,A231,Test_Times!$G$5:$G$863,"HPLC")</f>
        <v>0</v>
      </c>
      <c r="I231" s="30" t="n">
        <f aca="false">IFERROR(D231/SUM($D$5:$D$248),0)</f>
        <v>0</v>
      </c>
      <c r="J231" s="31" t="n">
        <f aca="false">D231+ROW()/10000000</f>
        <v>2.31E-005</v>
      </c>
    </row>
    <row r="232" customFormat="false" ht="15" hidden="false" customHeight="false" outlineLevel="0" collapsed="false">
      <c r="A232" s="10" t="s">
        <v>596</v>
      </c>
      <c r="B232" s="10" t="s">
        <v>740</v>
      </c>
      <c r="C232" s="10" t="s">
        <v>591</v>
      </c>
      <c r="D232" s="15" t="n">
        <f aca="false">SUMIFS(Test_Times!$AH$5:$AH$863,Test_Times!$A$5:$A$863,A232,Test_Times!$G$5:$G$863,"HPLC")</f>
        <v>0</v>
      </c>
      <c r="E232" s="15" t="n">
        <f aca="false">SUMIF(Test_Times!$A$5:$A$863,A232,Test_Times!$AH$5:$AH$863)</f>
        <v>0</v>
      </c>
      <c r="F232" s="15" t="n">
        <f aca="false">SUMIF(Test_Times!$A$5:$A$863,A232,Test_Times!$AG$5:$AG$863)</f>
        <v>0</v>
      </c>
      <c r="G232" s="15" t="n">
        <f aca="false">SUMIF(Test_Times!$A$5:$A$863,A232,Test_Times!$AI$5:$AI$863)</f>
        <v>0</v>
      </c>
      <c r="H232" s="15" t="n">
        <f aca="false">SUMIFS(Test_Times!$AL$5:$AL$863,Test_Times!$A$5:$A$863,A232,Test_Times!$G$5:$G$863,"HPLC")</f>
        <v>0</v>
      </c>
      <c r="I232" s="30" t="n">
        <f aca="false">IFERROR(D232/SUM($D$5:$D$248),0)</f>
        <v>0</v>
      </c>
      <c r="J232" s="31" t="n">
        <f aca="false">D232+ROW()/10000000</f>
        <v>2.32E-005</v>
      </c>
    </row>
    <row r="233" customFormat="false" ht="15" hidden="false" customHeight="false" outlineLevel="0" collapsed="false">
      <c r="A233" s="10" t="s">
        <v>597</v>
      </c>
      <c r="B233" s="10" t="s">
        <v>740</v>
      </c>
      <c r="C233" s="10" t="s">
        <v>591</v>
      </c>
      <c r="D233" s="15" t="n">
        <f aca="false">SUMIFS(Test_Times!$AH$5:$AH$863,Test_Times!$A$5:$A$863,A233,Test_Times!$G$5:$G$863,"HPLC")</f>
        <v>0</v>
      </c>
      <c r="E233" s="15" t="n">
        <f aca="false">SUMIF(Test_Times!$A$5:$A$863,A233,Test_Times!$AH$5:$AH$863)</f>
        <v>0</v>
      </c>
      <c r="F233" s="15" t="n">
        <f aca="false">SUMIF(Test_Times!$A$5:$A$863,A233,Test_Times!$AG$5:$AG$863)</f>
        <v>0</v>
      </c>
      <c r="G233" s="15" t="n">
        <f aca="false">SUMIF(Test_Times!$A$5:$A$863,A233,Test_Times!$AI$5:$AI$863)</f>
        <v>0</v>
      </c>
      <c r="H233" s="15" t="n">
        <f aca="false">SUMIFS(Test_Times!$AL$5:$AL$863,Test_Times!$A$5:$A$863,A233,Test_Times!$G$5:$G$863,"HPLC")</f>
        <v>0</v>
      </c>
      <c r="I233" s="30" t="n">
        <f aca="false">IFERROR(D233/SUM($D$5:$D$248),0)</f>
        <v>0</v>
      </c>
      <c r="J233" s="31" t="n">
        <f aca="false">D233+ROW()/10000000</f>
        <v>2.33E-005</v>
      </c>
    </row>
    <row r="234" customFormat="false" ht="15" hidden="false" customHeight="false" outlineLevel="0" collapsed="false">
      <c r="A234" s="10" t="s">
        <v>598</v>
      </c>
      <c r="B234" s="10" t="s">
        <v>740</v>
      </c>
      <c r="C234" s="10" t="s">
        <v>599</v>
      </c>
      <c r="D234" s="15" t="n">
        <f aca="false">SUMIFS(Test_Times!$AH$5:$AH$863,Test_Times!$A$5:$A$863,A234,Test_Times!$G$5:$G$863,"HPLC")</f>
        <v>0</v>
      </c>
      <c r="E234" s="15" t="n">
        <f aca="false">SUMIF(Test_Times!$A$5:$A$863,A234,Test_Times!$AH$5:$AH$863)</f>
        <v>0</v>
      </c>
      <c r="F234" s="15" t="n">
        <f aca="false">SUMIF(Test_Times!$A$5:$A$863,A234,Test_Times!$AG$5:$AG$863)</f>
        <v>0</v>
      </c>
      <c r="G234" s="15" t="n">
        <f aca="false">SUMIF(Test_Times!$A$5:$A$863,A234,Test_Times!$AI$5:$AI$863)</f>
        <v>0</v>
      </c>
      <c r="H234" s="15" t="n">
        <f aca="false">SUMIFS(Test_Times!$AL$5:$AL$863,Test_Times!$A$5:$A$863,A234,Test_Times!$G$5:$G$863,"HPLC")</f>
        <v>0</v>
      </c>
      <c r="I234" s="30" t="n">
        <f aca="false">IFERROR(D234/SUM($D$5:$D$248),0)</f>
        <v>0</v>
      </c>
      <c r="J234" s="31" t="n">
        <f aca="false">D234+ROW()/10000000</f>
        <v>2.34E-005</v>
      </c>
    </row>
    <row r="235" customFormat="false" ht="15" hidden="false" customHeight="false" outlineLevel="0" collapsed="false">
      <c r="A235" s="10" t="s">
        <v>600</v>
      </c>
      <c r="B235" s="10" t="s">
        <v>740</v>
      </c>
      <c r="C235" s="10" t="s">
        <v>599</v>
      </c>
      <c r="D235" s="15" t="n">
        <f aca="false">SUMIFS(Test_Times!$AH$5:$AH$863,Test_Times!$A$5:$A$863,A235,Test_Times!$G$5:$G$863,"HPLC")</f>
        <v>0</v>
      </c>
      <c r="E235" s="15" t="n">
        <f aca="false">SUMIF(Test_Times!$A$5:$A$863,A235,Test_Times!$AH$5:$AH$863)</f>
        <v>0</v>
      </c>
      <c r="F235" s="15" t="n">
        <f aca="false">SUMIF(Test_Times!$A$5:$A$863,A235,Test_Times!$AG$5:$AG$863)</f>
        <v>0</v>
      </c>
      <c r="G235" s="15" t="n">
        <f aca="false">SUMIF(Test_Times!$A$5:$A$863,A235,Test_Times!$AI$5:$AI$863)</f>
        <v>0</v>
      </c>
      <c r="H235" s="15" t="n">
        <f aca="false">SUMIFS(Test_Times!$AL$5:$AL$863,Test_Times!$A$5:$A$863,A235,Test_Times!$G$5:$G$863,"HPLC")</f>
        <v>0</v>
      </c>
      <c r="I235" s="30" t="n">
        <f aca="false">IFERROR(D235/SUM($D$5:$D$248),0)</f>
        <v>0</v>
      </c>
      <c r="J235" s="31" t="n">
        <f aca="false">D235+ROW()/10000000</f>
        <v>2.35E-005</v>
      </c>
    </row>
    <row r="236" customFormat="false" ht="15" hidden="false" customHeight="false" outlineLevel="0" collapsed="false">
      <c r="A236" s="10" t="s">
        <v>601</v>
      </c>
      <c r="B236" s="10" t="s">
        <v>740</v>
      </c>
      <c r="C236" s="10" t="s">
        <v>602</v>
      </c>
      <c r="D236" s="15" t="n">
        <f aca="false">SUMIFS(Test_Times!$AH$5:$AH$863,Test_Times!$A$5:$A$863,A236,Test_Times!$G$5:$G$863,"HPLC")</f>
        <v>0</v>
      </c>
      <c r="E236" s="15" t="n">
        <f aca="false">SUMIF(Test_Times!$A$5:$A$863,A236,Test_Times!$AH$5:$AH$863)</f>
        <v>0</v>
      </c>
      <c r="F236" s="15" t="n">
        <f aca="false">SUMIF(Test_Times!$A$5:$A$863,A236,Test_Times!$AG$5:$AG$863)</f>
        <v>0</v>
      </c>
      <c r="G236" s="15" t="n">
        <f aca="false">SUMIF(Test_Times!$A$5:$A$863,A236,Test_Times!$AI$5:$AI$863)</f>
        <v>0</v>
      </c>
      <c r="H236" s="15" t="n">
        <f aca="false">SUMIFS(Test_Times!$AL$5:$AL$863,Test_Times!$A$5:$A$863,A236,Test_Times!$G$5:$G$863,"HPLC")</f>
        <v>0</v>
      </c>
      <c r="I236" s="30" t="n">
        <f aca="false">IFERROR(D236/SUM($D$5:$D$248),0)</f>
        <v>0</v>
      </c>
      <c r="J236" s="31" t="n">
        <f aca="false">D236+ROW()/10000000</f>
        <v>2.36E-005</v>
      </c>
    </row>
    <row r="237" customFormat="false" ht="15" hidden="false" customHeight="false" outlineLevel="0" collapsed="false">
      <c r="A237" s="10" t="s">
        <v>603</v>
      </c>
      <c r="B237" s="10" t="s">
        <v>740</v>
      </c>
      <c r="C237" s="10" t="s">
        <v>602</v>
      </c>
      <c r="D237" s="15" t="n">
        <f aca="false">SUMIFS(Test_Times!$AH$5:$AH$863,Test_Times!$A$5:$A$863,A237,Test_Times!$G$5:$G$863,"HPLC")</f>
        <v>0</v>
      </c>
      <c r="E237" s="15" t="n">
        <f aca="false">SUMIF(Test_Times!$A$5:$A$863,A237,Test_Times!$AH$5:$AH$863)</f>
        <v>0</v>
      </c>
      <c r="F237" s="15" t="n">
        <f aca="false">SUMIF(Test_Times!$A$5:$A$863,A237,Test_Times!$AG$5:$AG$863)</f>
        <v>0</v>
      </c>
      <c r="G237" s="15" t="n">
        <f aca="false">SUMIF(Test_Times!$A$5:$A$863,A237,Test_Times!$AI$5:$AI$863)</f>
        <v>0</v>
      </c>
      <c r="H237" s="15" t="n">
        <f aca="false">SUMIFS(Test_Times!$AL$5:$AL$863,Test_Times!$A$5:$A$863,A237,Test_Times!$G$5:$G$863,"HPLC")</f>
        <v>0</v>
      </c>
      <c r="I237" s="30" t="n">
        <f aca="false">IFERROR(D237/SUM($D$5:$D$248),0)</f>
        <v>0</v>
      </c>
      <c r="J237" s="31" t="n">
        <f aca="false">D237+ROW()/10000000</f>
        <v>2.37E-005</v>
      </c>
    </row>
    <row r="238" customFormat="false" ht="15" hidden="false" customHeight="false" outlineLevel="0" collapsed="false">
      <c r="A238" s="10" t="s">
        <v>604</v>
      </c>
      <c r="B238" s="10" t="s">
        <v>740</v>
      </c>
      <c r="C238" s="10" t="s">
        <v>605</v>
      </c>
      <c r="D238" s="15" t="n">
        <f aca="false">SUMIFS(Test_Times!$AH$5:$AH$863,Test_Times!$A$5:$A$863,A238,Test_Times!$G$5:$G$863,"HPLC")</f>
        <v>0</v>
      </c>
      <c r="E238" s="15" t="n">
        <f aca="false">SUMIF(Test_Times!$A$5:$A$863,A238,Test_Times!$AH$5:$AH$863)</f>
        <v>0</v>
      </c>
      <c r="F238" s="15" t="n">
        <f aca="false">SUMIF(Test_Times!$A$5:$A$863,A238,Test_Times!$AG$5:$AG$863)</f>
        <v>0</v>
      </c>
      <c r="G238" s="15" t="n">
        <f aca="false">SUMIF(Test_Times!$A$5:$A$863,A238,Test_Times!$AI$5:$AI$863)</f>
        <v>0</v>
      </c>
      <c r="H238" s="15" t="n">
        <f aca="false">SUMIFS(Test_Times!$AL$5:$AL$863,Test_Times!$A$5:$A$863,A238,Test_Times!$G$5:$G$863,"HPLC")</f>
        <v>0</v>
      </c>
      <c r="I238" s="30" t="n">
        <f aca="false">IFERROR(D238/SUM($D$5:$D$248),0)</f>
        <v>0</v>
      </c>
      <c r="J238" s="31" t="n">
        <f aca="false">D238+ROW()/10000000</f>
        <v>2.38E-005</v>
      </c>
    </row>
    <row r="239" customFormat="false" ht="15" hidden="false" customHeight="false" outlineLevel="0" collapsed="false">
      <c r="A239" s="10" t="s">
        <v>606</v>
      </c>
      <c r="B239" s="10" t="s">
        <v>740</v>
      </c>
      <c r="C239" s="10" t="s">
        <v>605</v>
      </c>
      <c r="D239" s="15" t="n">
        <f aca="false">SUMIFS(Test_Times!$AH$5:$AH$863,Test_Times!$A$5:$A$863,A239,Test_Times!$G$5:$G$863,"HPLC")</f>
        <v>0</v>
      </c>
      <c r="E239" s="15" t="n">
        <f aca="false">SUMIF(Test_Times!$A$5:$A$863,A239,Test_Times!$AH$5:$AH$863)</f>
        <v>0</v>
      </c>
      <c r="F239" s="15" t="n">
        <f aca="false">SUMIF(Test_Times!$A$5:$A$863,A239,Test_Times!$AG$5:$AG$863)</f>
        <v>0</v>
      </c>
      <c r="G239" s="15" t="n">
        <f aca="false">SUMIF(Test_Times!$A$5:$A$863,A239,Test_Times!$AI$5:$AI$863)</f>
        <v>0</v>
      </c>
      <c r="H239" s="15" t="n">
        <f aca="false">SUMIFS(Test_Times!$AL$5:$AL$863,Test_Times!$A$5:$A$863,A239,Test_Times!$G$5:$G$863,"HPLC")</f>
        <v>0</v>
      </c>
      <c r="I239" s="30" t="n">
        <f aca="false">IFERROR(D239/SUM($D$5:$D$248),0)</f>
        <v>0</v>
      </c>
      <c r="J239" s="31" t="n">
        <f aca="false">D239+ROW()/10000000</f>
        <v>2.39E-005</v>
      </c>
    </row>
    <row r="240" customFormat="false" ht="15" hidden="false" customHeight="false" outlineLevel="0" collapsed="false">
      <c r="A240" s="10" t="s">
        <v>607</v>
      </c>
      <c r="B240" s="10" t="s">
        <v>740</v>
      </c>
      <c r="C240" s="10" t="s">
        <v>605</v>
      </c>
      <c r="D240" s="15" t="n">
        <f aca="false">SUMIFS(Test_Times!$AH$5:$AH$863,Test_Times!$A$5:$A$863,A240,Test_Times!$G$5:$G$863,"HPLC")</f>
        <v>0</v>
      </c>
      <c r="E240" s="15" t="n">
        <f aca="false">SUMIF(Test_Times!$A$5:$A$863,A240,Test_Times!$AH$5:$AH$863)</f>
        <v>0</v>
      </c>
      <c r="F240" s="15" t="n">
        <f aca="false">SUMIF(Test_Times!$A$5:$A$863,A240,Test_Times!$AG$5:$AG$863)</f>
        <v>0</v>
      </c>
      <c r="G240" s="15" t="n">
        <f aca="false">SUMIF(Test_Times!$A$5:$A$863,A240,Test_Times!$AI$5:$AI$863)</f>
        <v>0</v>
      </c>
      <c r="H240" s="15" t="n">
        <f aca="false">SUMIFS(Test_Times!$AL$5:$AL$863,Test_Times!$A$5:$A$863,A240,Test_Times!$G$5:$G$863,"HPLC")</f>
        <v>0</v>
      </c>
      <c r="I240" s="30" t="n">
        <f aca="false">IFERROR(D240/SUM($D$5:$D$248),0)</f>
        <v>0</v>
      </c>
      <c r="J240" s="31" t="n">
        <f aca="false">D240+ROW()/10000000</f>
        <v>2.4E-005</v>
      </c>
    </row>
    <row r="241" customFormat="false" ht="15" hidden="false" customHeight="false" outlineLevel="0" collapsed="false">
      <c r="A241" s="10" t="s">
        <v>608</v>
      </c>
      <c r="B241" s="10" t="s">
        <v>740</v>
      </c>
      <c r="C241" s="10" t="s">
        <v>609</v>
      </c>
      <c r="D241" s="15" t="n">
        <f aca="false">SUMIFS(Test_Times!$AH$5:$AH$863,Test_Times!$A$5:$A$863,A241,Test_Times!$G$5:$G$863,"HPLC")</f>
        <v>0</v>
      </c>
      <c r="E241" s="15" t="n">
        <f aca="false">SUMIF(Test_Times!$A$5:$A$863,A241,Test_Times!$AH$5:$AH$863)</f>
        <v>0</v>
      </c>
      <c r="F241" s="15" t="n">
        <f aca="false">SUMIF(Test_Times!$A$5:$A$863,A241,Test_Times!$AG$5:$AG$863)</f>
        <v>0</v>
      </c>
      <c r="G241" s="15" t="n">
        <f aca="false">SUMIF(Test_Times!$A$5:$A$863,A241,Test_Times!$AI$5:$AI$863)</f>
        <v>0</v>
      </c>
      <c r="H241" s="15" t="n">
        <f aca="false">SUMIFS(Test_Times!$AL$5:$AL$863,Test_Times!$A$5:$A$863,A241,Test_Times!$G$5:$G$863,"HPLC")</f>
        <v>0</v>
      </c>
      <c r="I241" s="30" t="n">
        <f aca="false">IFERROR(D241/SUM($D$5:$D$248),0)</f>
        <v>0</v>
      </c>
      <c r="J241" s="31" t="n">
        <f aca="false">D241+ROW()/10000000</f>
        <v>2.41E-005</v>
      </c>
    </row>
    <row r="242" customFormat="false" ht="15" hidden="false" customHeight="false" outlineLevel="0" collapsed="false">
      <c r="A242" s="10" t="s">
        <v>610</v>
      </c>
      <c r="B242" s="10" t="s">
        <v>740</v>
      </c>
      <c r="C242" s="10" t="s">
        <v>609</v>
      </c>
      <c r="D242" s="15" t="n">
        <f aca="false">SUMIFS(Test_Times!$AH$5:$AH$863,Test_Times!$A$5:$A$863,A242,Test_Times!$G$5:$G$863,"HPLC")</f>
        <v>0</v>
      </c>
      <c r="E242" s="15" t="n">
        <f aca="false">SUMIF(Test_Times!$A$5:$A$863,A242,Test_Times!$AH$5:$AH$863)</f>
        <v>0</v>
      </c>
      <c r="F242" s="15" t="n">
        <f aca="false">SUMIF(Test_Times!$A$5:$A$863,A242,Test_Times!$AG$5:$AG$863)</f>
        <v>0</v>
      </c>
      <c r="G242" s="15" t="n">
        <f aca="false">SUMIF(Test_Times!$A$5:$A$863,A242,Test_Times!$AI$5:$AI$863)</f>
        <v>0</v>
      </c>
      <c r="H242" s="15" t="n">
        <f aca="false">SUMIFS(Test_Times!$AL$5:$AL$863,Test_Times!$A$5:$A$863,A242,Test_Times!$G$5:$G$863,"HPLC")</f>
        <v>0</v>
      </c>
      <c r="I242" s="30" t="n">
        <f aca="false">IFERROR(D242/SUM($D$5:$D$248),0)</f>
        <v>0</v>
      </c>
      <c r="J242" s="31" t="n">
        <f aca="false">D242+ROW()/10000000</f>
        <v>2.42E-005</v>
      </c>
    </row>
    <row r="243" customFormat="false" ht="15" hidden="false" customHeight="false" outlineLevel="0" collapsed="false">
      <c r="A243" s="10" t="s">
        <v>611</v>
      </c>
      <c r="B243" s="10" t="s">
        <v>740</v>
      </c>
      <c r="C243" s="10" t="s">
        <v>612</v>
      </c>
      <c r="D243" s="15" t="n">
        <f aca="false">SUMIFS(Test_Times!$AH$5:$AH$863,Test_Times!$A$5:$A$863,A243,Test_Times!$G$5:$G$863,"HPLC")</f>
        <v>0</v>
      </c>
      <c r="E243" s="15" t="n">
        <f aca="false">SUMIF(Test_Times!$A$5:$A$863,A243,Test_Times!$AH$5:$AH$863)</f>
        <v>0</v>
      </c>
      <c r="F243" s="15" t="n">
        <f aca="false">SUMIF(Test_Times!$A$5:$A$863,A243,Test_Times!$AG$5:$AG$863)</f>
        <v>0</v>
      </c>
      <c r="G243" s="15" t="n">
        <f aca="false">SUMIF(Test_Times!$A$5:$A$863,A243,Test_Times!$AI$5:$AI$863)</f>
        <v>0</v>
      </c>
      <c r="H243" s="15" t="n">
        <f aca="false">SUMIFS(Test_Times!$AL$5:$AL$863,Test_Times!$A$5:$A$863,A243,Test_Times!$G$5:$G$863,"HPLC")</f>
        <v>0</v>
      </c>
      <c r="I243" s="30" t="n">
        <f aca="false">IFERROR(D243/SUM($D$5:$D$248),0)</f>
        <v>0</v>
      </c>
      <c r="J243" s="31" t="n">
        <f aca="false">D243+ROW()/10000000</f>
        <v>2.43E-005</v>
      </c>
    </row>
    <row r="244" customFormat="false" ht="15" hidden="false" customHeight="false" outlineLevel="0" collapsed="false">
      <c r="A244" s="10" t="s">
        <v>613</v>
      </c>
      <c r="B244" s="10" t="s">
        <v>740</v>
      </c>
      <c r="C244" s="10" t="s">
        <v>612</v>
      </c>
      <c r="D244" s="15" t="n">
        <f aca="false">SUMIFS(Test_Times!$AH$5:$AH$863,Test_Times!$A$5:$A$863,A244,Test_Times!$G$5:$G$863,"HPLC")</f>
        <v>0</v>
      </c>
      <c r="E244" s="15" t="n">
        <f aca="false">SUMIF(Test_Times!$A$5:$A$863,A244,Test_Times!$AH$5:$AH$863)</f>
        <v>0</v>
      </c>
      <c r="F244" s="15" t="n">
        <f aca="false">SUMIF(Test_Times!$A$5:$A$863,A244,Test_Times!$AG$5:$AG$863)</f>
        <v>0</v>
      </c>
      <c r="G244" s="15" t="n">
        <f aca="false">SUMIF(Test_Times!$A$5:$A$863,A244,Test_Times!$AI$5:$AI$863)</f>
        <v>0</v>
      </c>
      <c r="H244" s="15" t="n">
        <f aca="false">SUMIFS(Test_Times!$AL$5:$AL$863,Test_Times!$A$5:$A$863,A244,Test_Times!$G$5:$G$863,"HPLC")</f>
        <v>0</v>
      </c>
      <c r="I244" s="30" t="n">
        <f aca="false">IFERROR(D244/SUM($D$5:$D$248),0)</f>
        <v>0</v>
      </c>
      <c r="J244" s="31" t="n">
        <f aca="false">D244+ROW()/10000000</f>
        <v>2.44E-005</v>
      </c>
    </row>
    <row r="245" customFormat="false" ht="15" hidden="false" customHeight="false" outlineLevel="0" collapsed="false">
      <c r="A245" s="10" t="s">
        <v>614</v>
      </c>
      <c r="B245" s="10" t="s">
        <v>740</v>
      </c>
      <c r="C245" s="10" t="s">
        <v>612</v>
      </c>
      <c r="D245" s="15" t="n">
        <f aca="false">SUMIFS(Test_Times!$AH$5:$AH$863,Test_Times!$A$5:$A$863,A245,Test_Times!$G$5:$G$863,"HPLC")</f>
        <v>0</v>
      </c>
      <c r="E245" s="15" t="n">
        <f aca="false">SUMIF(Test_Times!$A$5:$A$863,A245,Test_Times!$AH$5:$AH$863)</f>
        <v>0</v>
      </c>
      <c r="F245" s="15" t="n">
        <f aca="false">SUMIF(Test_Times!$A$5:$A$863,A245,Test_Times!$AG$5:$AG$863)</f>
        <v>0</v>
      </c>
      <c r="G245" s="15" t="n">
        <f aca="false">SUMIF(Test_Times!$A$5:$A$863,A245,Test_Times!$AI$5:$AI$863)</f>
        <v>0</v>
      </c>
      <c r="H245" s="15" t="n">
        <f aca="false">SUMIFS(Test_Times!$AL$5:$AL$863,Test_Times!$A$5:$A$863,A245,Test_Times!$G$5:$G$863,"HPLC")</f>
        <v>0</v>
      </c>
      <c r="I245" s="30" t="n">
        <f aca="false">IFERROR(D245/SUM($D$5:$D$248),0)</f>
        <v>0</v>
      </c>
      <c r="J245" s="31" t="n">
        <f aca="false">D245+ROW()/10000000</f>
        <v>2.45E-005</v>
      </c>
    </row>
    <row r="246" customFormat="false" ht="15" hidden="false" customHeight="false" outlineLevel="0" collapsed="false">
      <c r="A246" s="10" t="s">
        <v>615</v>
      </c>
      <c r="B246" s="10" t="s">
        <v>740</v>
      </c>
      <c r="C246" s="10" t="s">
        <v>612</v>
      </c>
      <c r="D246" s="15" t="n">
        <f aca="false">SUMIFS(Test_Times!$AH$5:$AH$863,Test_Times!$A$5:$A$863,A246,Test_Times!$G$5:$G$863,"HPLC")</f>
        <v>0</v>
      </c>
      <c r="E246" s="15" t="n">
        <f aca="false">SUMIF(Test_Times!$A$5:$A$863,A246,Test_Times!$AH$5:$AH$863)</f>
        <v>0</v>
      </c>
      <c r="F246" s="15" t="n">
        <f aca="false">SUMIF(Test_Times!$A$5:$A$863,A246,Test_Times!$AG$5:$AG$863)</f>
        <v>0</v>
      </c>
      <c r="G246" s="15" t="n">
        <f aca="false">SUMIF(Test_Times!$A$5:$A$863,A246,Test_Times!$AI$5:$AI$863)</f>
        <v>0</v>
      </c>
      <c r="H246" s="15" t="n">
        <f aca="false">SUMIFS(Test_Times!$AL$5:$AL$863,Test_Times!$A$5:$A$863,A246,Test_Times!$G$5:$G$863,"HPLC")</f>
        <v>0</v>
      </c>
      <c r="I246" s="30" t="n">
        <f aca="false">IFERROR(D246/SUM($D$5:$D$248),0)</f>
        <v>0</v>
      </c>
      <c r="J246" s="31" t="n">
        <f aca="false">D246+ROW()/10000000</f>
        <v>2.46E-005</v>
      </c>
    </row>
    <row r="247" customFormat="false" ht="15" hidden="false" customHeight="false" outlineLevel="0" collapsed="false">
      <c r="A247" s="10" t="s">
        <v>616</v>
      </c>
      <c r="B247" s="10" t="s">
        <v>740</v>
      </c>
      <c r="C247" s="10" t="s">
        <v>612</v>
      </c>
      <c r="D247" s="15" t="n">
        <f aca="false">SUMIFS(Test_Times!$AH$5:$AH$863,Test_Times!$A$5:$A$863,A247,Test_Times!$G$5:$G$863,"HPLC")</f>
        <v>0</v>
      </c>
      <c r="E247" s="15" t="n">
        <f aca="false">SUMIF(Test_Times!$A$5:$A$863,A247,Test_Times!$AH$5:$AH$863)</f>
        <v>0</v>
      </c>
      <c r="F247" s="15" t="n">
        <f aca="false">SUMIF(Test_Times!$A$5:$A$863,A247,Test_Times!$AG$5:$AG$863)</f>
        <v>0</v>
      </c>
      <c r="G247" s="15" t="n">
        <f aca="false">SUMIF(Test_Times!$A$5:$A$863,A247,Test_Times!$AI$5:$AI$863)</f>
        <v>0</v>
      </c>
      <c r="H247" s="15" t="n">
        <f aca="false">SUMIFS(Test_Times!$AL$5:$AL$863,Test_Times!$A$5:$A$863,A247,Test_Times!$G$5:$G$863,"HPLC")</f>
        <v>0</v>
      </c>
      <c r="I247" s="30" t="n">
        <f aca="false">IFERROR(D247/SUM($D$5:$D$248),0)</f>
        <v>0</v>
      </c>
      <c r="J247" s="31" t="n">
        <f aca="false">D247+ROW()/10000000</f>
        <v>2.47E-005</v>
      </c>
    </row>
    <row r="248" customFormat="false" ht="15" hidden="false" customHeight="false" outlineLevel="0" collapsed="false">
      <c r="A248" s="10" t="s">
        <v>617</v>
      </c>
      <c r="B248" s="10" t="s">
        <v>740</v>
      </c>
      <c r="C248" s="10" t="s">
        <v>612</v>
      </c>
      <c r="D248" s="15" t="n">
        <f aca="false">SUMIFS(Test_Times!$AH$5:$AH$863,Test_Times!$A$5:$A$863,A248,Test_Times!$G$5:$G$863,"HPLC")</f>
        <v>0</v>
      </c>
      <c r="E248" s="15" t="n">
        <f aca="false">SUMIF(Test_Times!$A$5:$A$863,A248,Test_Times!$AH$5:$AH$863)</f>
        <v>0</v>
      </c>
      <c r="F248" s="15" t="n">
        <f aca="false">SUMIF(Test_Times!$A$5:$A$863,A248,Test_Times!$AG$5:$AG$863)</f>
        <v>0</v>
      </c>
      <c r="G248" s="15" t="n">
        <f aca="false">SUMIF(Test_Times!$A$5:$A$863,A248,Test_Times!$AI$5:$AI$863)</f>
        <v>0</v>
      </c>
      <c r="H248" s="15" t="n">
        <f aca="false">SUMIFS(Test_Times!$AL$5:$AL$863,Test_Times!$A$5:$A$863,A248,Test_Times!$G$5:$G$863,"HPLC")</f>
        <v>0</v>
      </c>
      <c r="I248" s="30" t="n">
        <f aca="false">IFERROR(D248/SUM($D$5:$D$248),0)</f>
        <v>0</v>
      </c>
      <c r="J248" s="31" t="n">
        <f aca="false">D248+ROW()/10000000</f>
        <v>2.48E-005</v>
      </c>
    </row>
  </sheetData>
  <autoFilter ref="A4:J2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788</v>
      </c>
    </row>
    <row r="2" customFormat="false" ht="15" hidden="false" customHeight="false" outlineLevel="0" collapsed="false">
      <c r="A2" s="2" t="s">
        <v>789</v>
      </c>
    </row>
    <row r="4" customFormat="false" ht="45" hidden="false" customHeight="true" outlineLevel="0" collapsed="false">
      <c r="A4" s="7" t="s">
        <v>790</v>
      </c>
      <c r="B4" s="7" t="s">
        <v>791</v>
      </c>
      <c r="C4" s="7" t="s">
        <v>792</v>
      </c>
      <c r="D4" s="7" t="s">
        <v>793</v>
      </c>
      <c r="E4" s="7" t="s">
        <v>794</v>
      </c>
      <c r="F4" s="7" t="s">
        <v>795</v>
      </c>
      <c r="G4" s="7" t="s">
        <v>796</v>
      </c>
      <c r="H4" s="7" t="s">
        <v>797</v>
      </c>
      <c r="I4" s="7" t="s">
        <v>144</v>
      </c>
      <c r="J4" s="7" t="s">
        <v>798</v>
      </c>
      <c r="K4" s="7" t="s">
        <v>799</v>
      </c>
      <c r="L4" s="7" t="s">
        <v>800</v>
      </c>
      <c r="M4" s="7" t="s">
        <v>801</v>
      </c>
      <c r="N4" s="7" t="s">
        <v>802</v>
      </c>
    </row>
    <row r="5" customFormat="false" ht="15" hidden="false" customHeight="false" outlineLevel="0" collapsed="false">
      <c r="A5" s="29" t="s">
        <v>147</v>
      </c>
      <c r="B5" s="15" t="n">
        <f aca="false">SUMIF(Test_Times!$G$5:$G$863,A5,Test_Times!$AH$5:$AH$863)</f>
        <v>0</v>
      </c>
      <c r="C5" s="32"/>
      <c r="D5" s="15" t="n">
        <f aca="false">B5+N(C5)</f>
        <v>0</v>
      </c>
      <c r="E5" s="19" t="n">
        <f aca="false">SUMIF(Instruments!$B$5:$B$104,A5,Instruments!$H$5:$H$104)</f>
        <v>0</v>
      </c>
      <c r="F5" s="15" t="n">
        <f aca="false">Settings!$E$15</f>
        <v>4400</v>
      </c>
      <c r="G5" s="15" t="n">
        <f aca="false">E5*F5</f>
        <v>0</v>
      </c>
      <c r="H5" s="27" t="str">
        <f aca="false">IFERROR(D5/G5,"no capacity")</f>
        <v>no capacity</v>
      </c>
      <c r="I5" s="27" t="n">
        <f aca="false">Settings!$D$15</f>
        <v>0.8</v>
      </c>
      <c r="J5" s="19" t="n">
        <f aca="false">IFERROR(ROUNDUP(D5/(F5*I5),1),"")</f>
        <v>0</v>
      </c>
      <c r="K5" s="17" t="n">
        <f aca="false">IFERROR(MAX(0,ROUNDUP(J5-E5,0)),"")</f>
        <v>0</v>
      </c>
      <c r="L5" s="15" t="n">
        <f aca="false">SUMIF(Test_Times!$G$5:$G$863,A5,Test_Times!$AL$5:$AL$863)+N(C5)*(1+Settings!$B$7)</f>
        <v>0</v>
      </c>
      <c r="M5" s="19" t="n">
        <f aca="false">IFERROR(ROUNDUP(L5/(F5*I5),1),"")</f>
        <v>0</v>
      </c>
      <c r="N5" s="17" t="n">
        <f aca="false">IFERROR(MAX(0,ROUNDUP(M5-E5,0)),"")</f>
        <v>0</v>
      </c>
    </row>
    <row r="6" customFormat="false" ht="15" hidden="false" customHeight="false" outlineLevel="0" collapsed="false">
      <c r="A6" s="29" t="s">
        <v>149</v>
      </c>
      <c r="B6" s="15" t="n">
        <f aca="false">SUMIF(Test_Times!$G$5:$G$863,A6,Test_Times!$AH$5:$AH$863)</f>
        <v>0</v>
      </c>
      <c r="C6" s="32"/>
      <c r="D6" s="15" t="n">
        <f aca="false">B6+N(C6)</f>
        <v>0</v>
      </c>
      <c r="E6" s="19" t="n">
        <f aca="false">SUMIF(Instruments!$B$5:$B$104,A6,Instruments!$H$5:$H$104)</f>
        <v>0</v>
      </c>
      <c r="F6" s="15" t="n">
        <f aca="false">Settings!$E$16</f>
        <v>3600</v>
      </c>
      <c r="G6" s="15" t="n">
        <f aca="false">E6*F6</f>
        <v>0</v>
      </c>
      <c r="H6" s="27" t="str">
        <f aca="false">IFERROR(D6/G6,"no capacity")</f>
        <v>no capacity</v>
      </c>
      <c r="I6" s="27" t="n">
        <f aca="false">Settings!$D$16</f>
        <v>0.75</v>
      </c>
      <c r="J6" s="19" t="n">
        <f aca="false">IFERROR(ROUNDUP(D6/(F6*I6),1),"")</f>
        <v>0</v>
      </c>
      <c r="K6" s="17" t="n">
        <f aca="false">IFERROR(MAX(0,ROUNDUP(J6-E6,0)),"")</f>
        <v>0</v>
      </c>
      <c r="L6" s="15" t="n">
        <f aca="false">SUMIF(Test_Times!$G$5:$G$863,A6,Test_Times!$AL$5:$AL$863)+N(C6)*(1+Settings!$B$7)</f>
        <v>0</v>
      </c>
      <c r="M6" s="19" t="n">
        <f aca="false">IFERROR(ROUNDUP(L6/(F6*I6),1),"")</f>
        <v>0</v>
      </c>
      <c r="N6" s="17" t="n">
        <f aca="false">IFERROR(MAX(0,ROUNDUP(M6-E6,0)),"")</f>
        <v>0</v>
      </c>
    </row>
    <row r="7" customFormat="false" ht="15" hidden="false" customHeight="false" outlineLevel="0" collapsed="false">
      <c r="A7" s="29" t="s">
        <v>150</v>
      </c>
      <c r="B7" s="15" t="n">
        <f aca="false">SUMIF(Test_Times!$G$5:$G$863,A7,Test_Times!$AH$5:$AH$863)</f>
        <v>0</v>
      </c>
      <c r="C7" s="32"/>
      <c r="D7" s="15" t="n">
        <f aca="false">B7+N(C7)</f>
        <v>0</v>
      </c>
      <c r="E7" s="19" t="n">
        <f aca="false">SUMIF(Instruments!$B$5:$B$104,A7,Instruments!$H$5:$H$104)</f>
        <v>0</v>
      </c>
      <c r="F7" s="15" t="n">
        <f aca="false">Settings!$E$17</f>
        <v>1900</v>
      </c>
      <c r="G7" s="15" t="n">
        <f aca="false">E7*F7</f>
        <v>0</v>
      </c>
      <c r="H7" s="27" t="str">
        <f aca="false">IFERROR(D7/G7,"no capacity")</f>
        <v>no capacity</v>
      </c>
      <c r="I7" s="27" t="n">
        <f aca="false">Settings!$D$17</f>
        <v>0.75</v>
      </c>
      <c r="J7" s="19" t="n">
        <f aca="false">IFERROR(ROUNDUP(D7/(F7*I7),1),"")</f>
        <v>0</v>
      </c>
      <c r="K7" s="17" t="n">
        <f aca="false">IFERROR(MAX(0,ROUNDUP(J7-E7,0)),"")</f>
        <v>0</v>
      </c>
      <c r="L7" s="15" t="n">
        <f aca="false">SUMIF(Test_Times!$G$5:$G$863,A7,Test_Times!$AL$5:$AL$863)+N(C7)*(1+Settings!$B$7)</f>
        <v>0</v>
      </c>
      <c r="M7" s="19" t="n">
        <f aca="false">IFERROR(ROUNDUP(L7/(F7*I7),1),"")</f>
        <v>0</v>
      </c>
      <c r="N7" s="17" t="n">
        <f aca="false">IFERROR(MAX(0,ROUNDUP(M7-E7,0)),"")</f>
        <v>0</v>
      </c>
    </row>
    <row r="8" customFormat="false" ht="15" hidden="false" customHeight="false" outlineLevel="0" collapsed="false">
      <c r="A8" s="29" t="s">
        <v>151</v>
      </c>
      <c r="B8" s="15" t="n">
        <f aca="false">SUMIF(Test_Times!$G$5:$G$863,A8,Test_Times!$AH$5:$AH$863)</f>
        <v>0</v>
      </c>
      <c r="C8" s="32"/>
      <c r="D8" s="15" t="n">
        <f aca="false">B8+N(C8)</f>
        <v>0</v>
      </c>
      <c r="E8" s="19" t="n">
        <f aca="false">SUMIF(Instruments!$B$5:$B$104,A8,Instruments!$H$5:$H$104)</f>
        <v>0</v>
      </c>
      <c r="F8" s="15" t="n">
        <f aca="false">Settings!$E$18</f>
        <v>1800</v>
      </c>
      <c r="G8" s="15" t="n">
        <f aca="false">E8*F8</f>
        <v>0</v>
      </c>
      <c r="H8" s="27" t="str">
        <f aca="false">IFERROR(D8/G8,"no capacity")</f>
        <v>no capacity</v>
      </c>
      <c r="I8" s="27" t="n">
        <f aca="false">Settings!$D$18</f>
        <v>0.75</v>
      </c>
      <c r="J8" s="19" t="n">
        <f aca="false">IFERROR(ROUNDUP(D8/(F8*I8),1),"")</f>
        <v>0</v>
      </c>
      <c r="K8" s="17" t="n">
        <f aca="false">IFERROR(MAX(0,ROUNDUP(J8-E8,0)),"")</f>
        <v>0</v>
      </c>
      <c r="L8" s="15" t="n">
        <f aca="false">SUMIF(Test_Times!$G$5:$G$863,A8,Test_Times!$AL$5:$AL$863)+N(C8)*(1+Settings!$B$7)</f>
        <v>0</v>
      </c>
      <c r="M8" s="19" t="n">
        <f aca="false">IFERROR(ROUNDUP(L8/(F8*I8),1),"")</f>
        <v>0</v>
      </c>
      <c r="N8" s="17" t="n">
        <f aca="false">IFERROR(MAX(0,ROUNDUP(M8-E8,0)),"")</f>
        <v>0</v>
      </c>
    </row>
    <row r="9" customFormat="false" ht="15" hidden="false" customHeight="false" outlineLevel="0" collapsed="false">
      <c r="A9" s="29" t="s">
        <v>152</v>
      </c>
      <c r="B9" s="15" t="n">
        <f aca="false">SUMIF(Test_Times!$G$5:$G$863,A9,Test_Times!$AH$5:$AH$863)</f>
        <v>0</v>
      </c>
      <c r="C9" s="32"/>
      <c r="D9" s="15" t="n">
        <f aca="false">B9+N(C9)</f>
        <v>0</v>
      </c>
      <c r="E9" s="19" t="n">
        <f aca="false">SUMIF(Instruments!$B$5:$B$104,A9,Instruments!$H$5:$H$104)</f>
        <v>0</v>
      </c>
      <c r="F9" s="15" t="n">
        <f aca="false">Settings!$E$19</f>
        <v>1900</v>
      </c>
      <c r="G9" s="15" t="n">
        <f aca="false">E9*F9</f>
        <v>0</v>
      </c>
      <c r="H9" s="27" t="str">
        <f aca="false">IFERROR(D9/G9,"no capacity")</f>
        <v>no capacity</v>
      </c>
      <c r="I9" s="27" t="n">
        <f aca="false">Settings!$D$19</f>
        <v>0.75</v>
      </c>
      <c r="J9" s="19" t="n">
        <f aca="false">IFERROR(ROUNDUP(D9/(F9*I9),1),"")</f>
        <v>0</v>
      </c>
      <c r="K9" s="17" t="n">
        <f aca="false">IFERROR(MAX(0,ROUNDUP(J9-E9,0)),"")</f>
        <v>0</v>
      </c>
      <c r="L9" s="15" t="n">
        <f aca="false">SUMIF(Test_Times!$G$5:$G$863,A9,Test_Times!$AL$5:$AL$863)+N(C9)*(1+Settings!$B$7)</f>
        <v>0</v>
      </c>
      <c r="M9" s="19" t="n">
        <f aca="false">IFERROR(ROUNDUP(L9/(F9*I9),1),"")</f>
        <v>0</v>
      </c>
      <c r="N9" s="17" t="n">
        <f aca="false">IFERROR(MAX(0,ROUNDUP(M9-E9,0)),"")</f>
        <v>0</v>
      </c>
    </row>
    <row r="10" customFormat="false" ht="15" hidden="false" customHeight="false" outlineLevel="0" collapsed="false">
      <c r="A10" s="29" t="s">
        <v>153</v>
      </c>
      <c r="B10" s="15" t="n">
        <f aca="false">SUM(Test_Times!$AJ$5:$AJ$863)</f>
        <v>0</v>
      </c>
      <c r="C10" s="32"/>
      <c r="D10" s="15" t="n">
        <f aca="false">B10+N(C10)</f>
        <v>0</v>
      </c>
      <c r="E10" s="19" t="n">
        <f aca="false">SUMIF(Instruments!$B$5:$B$104,A10,Instruments!$H$5:$H$104)</f>
        <v>0</v>
      </c>
      <c r="F10" s="15" t="n">
        <f aca="false">Settings!$E$20</f>
        <v>1840</v>
      </c>
      <c r="G10" s="15" t="n">
        <f aca="false">E10*F10</f>
        <v>0</v>
      </c>
      <c r="H10" s="27" t="str">
        <f aca="false">IFERROR(D10/G10,"no capacity")</f>
        <v>no capacity</v>
      </c>
      <c r="I10" s="27" t="n">
        <f aca="false">Settings!$D$20</f>
        <v>0.8</v>
      </c>
      <c r="J10" s="19" t="n">
        <f aca="false">IFERROR(ROUNDUP(D10/(F10*I10),1),"")</f>
        <v>0</v>
      </c>
      <c r="K10" s="17" t="n">
        <f aca="false">IFERROR(MAX(0,ROUNDUP(J10-E10,0)),"")</f>
        <v>0</v>
      </c>
      <c r="L10" s="15" t="n">
        <f aca="false">SUM(Test_Times!$AN$5:$AN$863)+N(C10)*(1+Settings!$B$7)</f>
        <v>0</v>
      </c>
      <c r="M10" s="19" t="n">
        <f aca="false">IFERROR(ROUNDUP(L10/(F10*I10),1),"")</f>
        <v>0</v>
      </c>
      <c r="N10" s="17" t="n">
        <f aca="false">IFERROR(MAX(0,ROUNDUP(M10-E10,0)),"")</f>
        <v>0</v>
      </c>
    </row>
    <row r="11" customFormat="false" ht="15" hidden="false" customHeight="false" outlineLevel="0" collapsed="false">
      <c r="A11" s="29" t="s">
        <v>803</v>
      </c>
      <c r="B11" s="15" t="n">
        <f aca="false">SUM(Test_Times!$AG$5:$AG$863)</f>
        <v>0</v>
      </c>
      <c r="C11" s="32"/>
      <c r="D11" s="15" t="n">
        <f aca="false">B11+N(C11)</f>
        <v>0</v>
      </c>
      <c r="E11" s="33" t="n">
        <f aca="false">SUMPRODUCT((Personnel!$G$5:$G$64&gt;0)*N(+Personnel!$G$5:$G$64))</f>
        <v>0</v>
      </c>
      <c r="F11" s="34" t="n">
        <f aca="false">IFERROR(SUMPRODUCT(N(+Personnel!$I$5:$I$64),N(+Personnel!$G$5:$G$64))/E11,0)</f>
        <v>0</v>
      </c>
      <c r="G11" s="15" t="n">
        <f aca="false">E11*F11</f>
        <v>0</v>
      </c>
      <c r="H11" s="27" t="str">
        <f aca="false">IFERROR(D11/G11,"no capacity")</f>
        <v>no capacity</v>
      </c>
      <c r="I11" s="27" t="n">
        <f aca="false">Settings!$B$10</f>
        <v>0.85</v>
      </c>
      <c r="J11" s="19" t="str">
        <f aca="false">IFERROR(ROUNDUP(D11/(F11*I11),1),"")</f>
        <v/>
      </c>
      <c r="K11" s="17" t="str">
        <f aca="false">IFERROR(MAX(0,ROUNDUP(J11-E11,0)),"")</f>
        <v/>
      </c>
      <c r="L11" s="15" t="n">
        <f aca="false">SUM(Test_Times!$AK$5:$AK$863)+N(C11)*(1+Settings!$B$7)</f>
        <v>0</v>
      </c>
      <c r="M11" s="19" t="str">
        <f aca="false">IFERROR(ROUNDUP(L11/(F11*I11),1),"")</f>
        <v/>
      </c>
      <c r="N11" s="17" t="str">
        <f aca="false">IFERROR(MAX(0,ROUNDUP(M11-E11,0)),"")</f>
        <v/>
      </c>
    </row>
    <row r="12" customFormat="false" ht="15" hidden="false" customHeight="false" outlineLevel="0" collapsed="false">
      <c r="A12" s="29" t="s">
        <v>804</v>
      </c>
      <c r="B12" s="15" t="n">
        <f aca="false">SUM(Test_Times!$AI$5:$AI$863)</f>
        <v>0</v>
      </c>
      <c r="C12" s="32"/>
      <c r="D12" s="15" t="n">
        <f aca="false">B12+N(C12)</f>
        <v>0</v>
      </c>
      <c r="E12" s="33" t="n">
        <f aca="false">SUMPRODUCT((Personnel!$H$5:$H$64&gt;0)*N(+Personnel!$H$5:$H$64))</f>
        <v>0</v>
      </c>
      <c r="F12" s="34" t="n">
        <f aca="false">IFERROR(SUMPRODUCT(N(+Personnel!$I$5:$I$64),N(+Personnel!$H$5:$H$64))/E12,0)</f>
        <v>0</v>
      </c>
      <c r="G12" s="15" t="n">
        <f aca="false">E12*F12</f>
        <v>0</v>
      </c>
      <c r="H12" s="27" t="str">
        <f aca="false">IFERROR(D12/G12,"no capacity")</f>
        <v>no capacity</v>
      </c>
      <c r="I12" s="27" t="n">
        <f aca="false">Settings!$B$11</f>
        <v>0.85</v>
      </c>
      <c r="J12" s="19" t="str">
        <f aca="false">IFERROR(ROUNDUP(D12/(F12*I12),1),"")</f>
        <v/>
      </c>
      <c r="K12" s="17" t="str">
        <f aca="false">IFERROR(MAX(0,ROUNDUP(J12-E12,0)),"")</f>
        <v/>
      </c>
      <c r="L12" s="15" t="n">
        <f aca="false">SUM(Test_Times!$AM$5:$AM$863)+N(C12)*(1+Settings!$B$7)</f>
        <v>0</v>
      </c>
      <c r="M12" s="19" t="str">
        <f aca="false">IFERROR(ROUNDUP(L12/(F12*I12),1),"")</f>
        <v/>
      </c>
      <c r="N12" s="17" t="str">
        <f aca="false">IFERROR(MAX(0,ROUNDUP(M12-E12,0)),"")</f>
        <v/>
      </c>
    </row>
    <row r="14" customFormat="false" ht="15" hidden="false" customHeight="false" outlineLevel="0" collapsed="false">
      <c r="A14" s="20" t="s">
        <v>805</v>
      </c>
    </row>
    <row r="15" customFormat="false" ht="15" hidden="false" customHeight="false" outlineLevel="0" collapsed="false">
      <c r="A15" s="20" t="s">
        <v>806</v>
      </c>
    </row>
    <row r="16" customFormat="false" ht="15" hidden="false" customHeight="false" outlineLevel="0" collapsed="false">
      <c r="A16" s="5" t="s">
        <v>807</v>
      </c>
      <c r="E16" s="17" t="n">
        <f aca="false">COUNTIF(Test_Times!$AO$5:$AO$863,"Missing")</f>
        <v>561</v>
      </c>
    </row>
    <row r="17" customFormat="false" ht="15" hidden="false" customHeight="false" outlineLevel="0" collapsed="false">
      <c r="A17" s="5" t="s">
        <v>808</v>
      </c>
      <c r="E17" s="17" t="n">
        <f aca="false">COUNTIF(Test_Times!$AO$5:$AO$863,"OK")</f>
        <v>0</v>
      </c>
    </row>
    <row r="19" customFormat="false" ht="15" hidden="false" customHeight="false" outlineLevel="0" collapsed="false">
      <c r="A19" s="35" t="s">
        <v>809</v>
      </c>
    </row>
    <row r="20" customFormat="false" ht="30" hidden="false" customHeight="true" outlineLevel="0" collapsed="false">
      <c r="A20" s="7" t="s">
        <v>810</v>
      </c>
      <c r="B20" s="7" t="s">
        <v>782</v>
      </c>
      <c r="C20" s="7" t="s">
        <v>621</v>
      </c>
      <c r="D20" s="7" t="s">
        <v>811</v>
      </c>
      <c r="E20" s="7" t="s">
        <v>812</v>
      </c>
      <c r="F20" s="7" t="s">
        <v>813</v>
      </c>
    </row>
    <row r="21" customFormat="false" ht="15" hidden="false" customHeight="false" outlineLevel="0" collapsed="false">
      <c r="A21" s="10" t="n">
        <v>1</v>
      </c>
      <c r="B21" s="21" t="str">
        <f aca="false">INDEX(Load_by_Item!$A$5:$A$248,MATCH(LARGE(Load_by_Item!$J$5:$J$248,A21),Load_by_Item!$J$5:$J$248,0))</f>
        <v>Sodium Citrate Dihydrate</v>
      </c>
      <c r="C21" s="36" t="str">
        <f aca="false">INDEX(Load_by_Item!$C$5:$C$248,MATCH(B21,Load_by_Item!$A$5:$A$248,0))</f>
        <v>pH Modifier / Buffer</v>
      </c>
      <c r="D21" s="15" t="n">
        <f aca="false">INDEX(Load_by_Item!$D$5:$D$248,MATCH(B21,Load_by_Item!$A$5:$A$248,0))</f>
        <v>0</v>
      </c>
      <c r="E21" s="30" t="n">
        <f aca="false">IFERROR(D21/SUM(Load_by_Item!$D$5:$D$248),0)</f>
        <v>0</v>
      </c>
      <c r="F21" s="30" t="n">
        <f aca="false">E21</f>
        <v>0</v>
      </c>
    </row>
    <row r="22" customFormat="false" ht="15" hidden="false" customHeight="false" outlineLevel="0" collapsed="false">
      <c r="A22" s="10" t="n">
        <v>2</v>
      </c>
      <c r="B22" s="21" t="str">
        <f aca="false">INDEX(Load_by_Item!$A$5:$A$248,MATCH(LARGE(Load_by_Item!$J$5:$J$248,A22),Load_by_Item!$J$5:$J$248,0))</f>
        <v>Sodium Citrate</v>
      </c>
      <c r="C22" s="36" t="str">
        <f aca="false">INDEX(Load_by_Item!$C$5:$C$248,MATCH(B22,Load_by_Item!$A$5:$A$248,0))</f>
        <v>pH Modifier / Buffer</v>
      </c>
      <c r="D22" s="15" t="n">
        <f aca="false">INDEX(Load_by_Item!$D$5:$D$248,MATCH(B22,Load_by_Item!$A$5:$A$248,0))</f>
        <v>0</v>
      </c>
      <c r="E22" s="30" t="n">
        <f aca="false">IFERROR(D22/SUM(Load_by_Item!$D$5:$D$248),0)</f>
        <v>0</v>
      </c>
      <c r="F22" s="30" t="n">
        <f aca="false">F21+E22</f>
        <v>0</v>
      </c>
    </row>
    <row r="23" customFormat="false" ht="15" hidden="false" customHeight="false" outlineLevel="0" collapsed="false">
      <c r="A23" s="10" t="n">
        <v>3</v>
      </c>
      <c r="B23" s="21" t="str">
        <f aca="false">INDEX(Load_by_Item!$A$5:$A$248,MATCH(LARGE(Load_by_Item!$J$5:$J$248,A23),Load_by_Item!$J$5:$J$248,0))</f>
        <v>Sodium Bicarbonate</v>
      </c>
      <c r="C23" s="36" t="str">
        <f aca="false">INDEX(Load_by_Item!$C$5:$C$248,MATCH(B23,Load_by_Item!$A$5:$A$248,0))</f>
        <v>pH Modifier / Buffer</v>
      </c>
      <c r="D23" s="15" t="n">
        <f aca="false">INDEX(Load_by_Item!$D$5:$D$248,MATCH(B23,Load_by_Item!$A$5:$A$248,0))</f>
        <v>0</v>
      </c>
      <c r="E23" s="30" t="n">
        <f aca="false">IFERROR(D23/SUM(Load_by_Item!$D$5:$D$248),0)</f>
        <v>0</v>
      </c>
      <c r="F23" s="30" t="n">
        <f aca="false">F22+E23</f>
        <v>0</v>
      </c>
    </row>
    <row r="24" customFormat="false" ht="15" hidden="false" customHeight="false" outlineLevel="0" collapsed="false">
      <c r="A24" s="10" t="n">
        <v>4</v>
      </c>
      <c r="B24" s="21" t="str">
        <f aca="false">INDEX(Load_by_Item!$A$5:$A$248,MATCH(LARGE(Load_by_Item!$J$5:$J$248,A24),Load_by_Item!$J$5:$J$248,0))</f>
        <v>Hydrochloric Acid Solution 37%</v>
      </c>
      <c r="C24" s="36" t="str">
        <f aca="false">INDEX(Load_by_Item!$C$5:$C$248,MATCH(B24,Load_by_Item!$A$5:$A$248,0))</f>
        <v>pH Modifier / Buffer</v>
      </c>
      <c r="D24" s="15" t="n">
        <f aca="false">INDEX(Load_by_Item!$D$5:$D$248,MATCH(B24,Load_by_Item!$A$5:$A$248,0))</f>
        <v>0</v>
      </c>
      <c r="E24" s="30" t="n">
        <f aca="false">IFERROR(D24/SUM(Load_by_Item!$D$5:$D$248),0)</f>
        <v>0</v>
      </c>
      <c r="F24" s="30" t="n">
        <f aca="false">F23+E24</f>
        <v>0</v>
      </c>
    </row>
    <row r="25" customFormat="false" ht="15" hidden="false" customHeight="false" outlineLevel="0" collapsed="false">
      <c r="A25" s="10" t="n">
        <v>5</v>
      </c>
      <c r="B25" s="21" t="str">
        <f aca="false">INDEX(Load_by_Item!$A$5:$A$248,MATCH(LARGE(Load_by_Item!$J$5:$J$248,A25),Load_by_Item!$J$5:$J$248,0))</f>
        <v>Citric Acid Anhydrous</v>
      </c>
      <c r="C25" s="36" t="str">
        <f aca="false">INDEX(Load_by_Item!$C$5:$C$248,MATCH(B25,Load_by_Item!$A$5:$A$248,0))</f>
        <v>pH Modifier / Buffer</v>
      </c>
      <c r="D25" s="15" t="n">
        <f aca="false">INDEX(Load_by_Item!$D$5:$D$248,MATCH(B25,Load_by_Item!$A$5:$A$248,0))</f>
        <v>0</v>
      </c>
      <c r="E25" s="30" t="n">
        <f aca="false">IFERROR(D25/SUM(Load_by_Item!$D$5:$D$248),0)</f>
        <v>0</v>
      </c>
      <c r="F25" s="30" t="n">
        <f aca="false">F24+E25</f>
        <v>0</v>
      </c>
    </row>
    <row r="26" customFormat="false" ht="15" hidden="false" customHeight="false" outlineLevel="0" collapsed="false">
      <c r="A26" s="10" t="n">
        <v>6</v>
      </c>
      <c r="B26" s="21" t="str">
        <f aca="false">INDEX(Load_by_Item!$A$5:$A$248,MATCH(LARGE(Load_by_Item!$J$5:$J$248,A26),Load_by_Item!$J$5:$J$248,0))</f>
        <v>Citric Acid</v>
      </c>
      <c r="C26" s="36" t="str">
        <f aca="false">INDEX(Load_by_Item!$C$5:$C$248,MATCH(B26,Load_by_Item!$A$5:$A$248,0))</f>
        <v>pH Modifier / Buffer</v>
      </c>
      <c r="D26" s="15" t="n">
        <f aca="false">INDEX(Load_by_Item!$D$5:$D$248,MATCH(B26,Load_by_Item!$A$5:$A$248,0))</f>
        <v>0</v>
      </c>
      <c r="E26" s="30" t="n">
        <f aca="false">IFERROR(D26/SUM(Load_by_Item!$D$5:$D$248),0)</f>
        <v>0</v>
      </c>
      <c r="F26" s="30" t="n">
        <f aca="false">F25+E26</f>
        <v>0</v>
      </c>
    </row>
    <row r="27" customFormat="false" ht="15" hidden="false" customHeight="false" outlineLevel="0" collapsed="false">
      <c r="A27" s="10" t="n">
        <v>7</v>
      </c>
      <c r="B27" s="21" t="str">
        <f aca="false">INDEX(Load_by_Item!$A$5:$A$248,MATCH(LARGE(Load_by_Item!$J$5:$J$248,A27),Load_by_Item!$J$5:$J$248,0))</f>
        <v>Sucrose</v>
      </c>
      <c r="C27" s="36" t="str">
        <f aca="false">INDEX(Load_by_Item!$C$5:$C$248,MATCH(B27,Load_by_Item!$A$5:$A$248,0))</f>
        <v>Sweetener / Filler</v>
      </c>
      <c r="D27" s="15" t="n">
        <f aca="false">INDEX(Load_by_Item!$D$5:$D$248,MATCH(B27,Load_by_Item!$A$5:$A$248,0))</f>
        <v>0</v>
      </c>
      <c r="E27" s="30" t="n">
        <f aca="false">IFERROR(D27/SUM(Load_by_Item!$D$5:$D$248),0)</f>
        <v>0</v>
      </c>
      <c r="F27" s="30" t="n">
        <f aca="false">F26+E27</f>
        <v>0</v>
      </c>
    </row>
    <row r="28" customFormat="false" ht="15" hidden="false" customHeight="false" outlineLevel="0" collapsed="false">
      <c r="A28" s="10" t="n">
        <v>8</v>
      </c>
      <c r="B28" s="21" t="str">
        <f aca="false">INDEX(Load_by_Item!$A$5:$A$248,MATCH(LARGE(Load_by_Item!$J$5:$J$248,A28),Load_by_Item!$J$5:$J$248,0))</f>
        <v>Sorbitol</v>
      </c>
      <c r="C28" s="36" t="str">
        <f aca="false">INDEX(Load_by_Item!$C$5:$C$248,MATCH(B28,Load_by_Item!$A$5:$A$248,0))</f>
        <v>Sweetener / Filler</v>
      </c>
      <c r="D28" s="15" t="n">
        <f aca="false">INDEX(Load_by_Item!$D$5:$D$248,MATCH(B28,Load_by_Item!$A$5:$A$248,0))</f>
        <v>0</v>
      </c>
      <c r="E28" s="30" t="n">
        <f aca="false">IFERROR(D28/SUM(Load_by_Item!$D$5:$D$248),0)</f>
        <v>0</v>
      </c>
      <c r="F28" s="30" t="n">
        <f aca="false">F27+E28</f>
        <v>0</v>
      </c>
    </row>
    <row r="29" customFormat="false" ht="15" hidden="false" customHeight="false" outlineLevel="0" collapsed="false">
      <c r="A29" s="10" t="n">
        <v>9</v>
      </c>
      <c r="B29" s="21" t="str">
        <f aca="false">INDEX(Load_by_Item!$A$5:$A$248,MATCH(LARGE(Load_by_Item!$J$5:$J$248,A29),Load_by_Item!$J$5:$J$248,0))</f>
        <v>Sucralose</v>
      </c>
      <c r="C29" s="36" t="str">
        <f aca="false">INDEX(Load_by_Item!$C$5:$C$248,MATCH(B29,Load_by_Item!$A$5:$A$248,0))</f>
        <v>Sweetener</v>
      </c>
      <c r="D29" s="15" t="n">
        <f aca="false">INDEX(Load_by_Item!$D$5:$D$248,MATCH(B29,Load_by_Item!$A$5:$A$248,0))</f>
        <v>0</v>
      </c>
      <c r="E29" s="30" t="n">
        <f aca="false">IFERROR(D29/SUM(Load_by_Item!$D$5:$D$248),0)</f>
        <v>0</v>
      </c>
      <c r="F29" s="30" t="n">
        <f aca="false">F28+E29</f>
        <v>0</v>
      </c>
    </row>
    <row r="30" customFormat="false" ht="15" hidden="false" customHeight="false" outlineLevel="0" collapsed="false">
      <c r="A30" s="10" t="n">
        <v>10</v>
      </c>
      <c r="B30" s="21" t="str">
        <f aca="false">INDEX(Load_by_Item!$A$5:$A$248,MATCH(LARGE(Load_by_Item!$J$5:$J$248,A30),Load_by_Item!$J$5:$J$248,0))</f>
        <v>Sorbitol Solution 70%</v>
      </c>
      <c r="C30" s="36" t="str">
        <f aca="false">INDEX(Load_by_Item!$C$5:$C$248,MATCH(B30,Load_by_Item!$A$5:$A$248,0))</f>
        <v>Sweetener</v>
      </c>
      <c r="D30" s="15" t="n">
        <f aca="false">INDEX(Load_by_Item!$D$5:$D$248,MATCH(B30,Load_by_Item!$A$5:$A$248,0))</f>
        <v>0</v>
      </c>
      <c r="E30" s="30" t="n">
        <f aca="false">IFERROR(D30/SUM(Load_by_Item!$D$5:$D$248),0)</f>
        <v>0</v>
      </c>
      <c r="F30" s="30" t="n">
        <f aca="false">F29+E30</f>
        <v>0</v>
      </c>
    </row>
    <row r="31" customFormat="false" ht="15" hidden="false" customHeight="false" outlineLevel="0" collapsed="false">
      <c r="A31" s="10" t="n">
        <v>11</v>
      </c>
      <c r="B31" s="21" t="str">
        <f aca="false">INDEX(Load_by_Item!$A$5:$A$248,MATCH(LARGE(Load_by_Item!$J$5:$J$248,A31),Load_by_Item!$J$5:$J$248,0))</f>
        <v>Neotame</v>
      </c>
      <c r="C31" s="36" t="str">
        <f aca="false">INDEX(Load_by_Item!$C$5:$C$248,MATCH(B31,Load_by_Item!$A$5:$A$248,0))</f>
        <v>Sweetener</v>
      </c>
      <c r="D31" s="15" t="n">
        <f aca="false">INDEX(Load_by_Item!$D$5:$D$248,MATCH(B31,Load_by_Item!$A$5:$A$248,0))</f>
        <v>0</v>
      </c>
      <c r="E31" s="30" t="n">
        <f aca="false">IFERROR(D31/SUM(Load_by_Item!$D$5:$D$248),0)</f>
        <v>0</v>
      </c>
      <c r="F31" s="30" t="n">
        <f aca="false">F30+E31</f>
        <v>0</v>
      </c>
    </row>
    <row r="32" customFormat="false" ht="15" hidden="false" customHeight="false" outlineLevel="0" collapsed="false">
      <c r="A32" s="10" t="n">
        <v>12</v>
      </c>
      <c r="B32" s="21" t="str">
        <f aca="false">INDEX(Load_by_Item!$A$5:$A$248,MATCH(LARGE(Load_by_Item!$J$5:$J$248,A32),Load_by_Item!$J$5:$J$248,0))</f>
        <v>Sodium Carboxymethyl Cellulose (Medium Viscosity)</v>
      </c>
      <c r="C32" s="36" t="str">
        <f aca="false">INDEX(Load_by_Item!$C$5:$C$248,MATCH(B32,Load_by_Item!$A$5:$A$248,0))</f>
        <v>Suspending Agent</v>
      </c>
      <c r="D32" s="15" t="n">
        <f aca="false">INDEX(Load_by_Item!$D$5:$D$248,MATCH(B32,Load_by_Item!$A$5:$A$248,0))</f>
        <v>0</v>
      </c>
      <c r="E32" s="30" t="n">
        <f aca="false">IFERROR(D32/SUM(Load_by_Item!$D$5:$D$248),0)</f>
        <v>0</v>
      </c>
      <c r="F32" s="30" t="n">
        <f aca="false">F31+E32</f>
        <v>0</v>
      </c>
    </row>
    <row r="33" customFormat="false" ht="15" hidden="false" customHeight="false" outlineLevel="0" collapsed="false">
      <c r="A33" s="10" t="n">
        <v>13</v>
      </c>
      <c r="B33" s="21" t="str">
        <f aca="false">INDEX(Load_by_Item!$A$5:$A$248,MATCH(LARGE(Load_by_Item!$J$5:$J$248,A33),Load_by_Item!$J$5:$J$248,0))</f>
        <v>Microcrystalline Cellulose RC591</v>
      </c>
      <c r="C33" s="36" t="str">
        <f aca="false">INDEX(Load_by_Item!$C$5:$C$248,MATCH(B33,Load_by_Item!$A$5:$A$248,0))</f>
        <v>Suspending Agent</v>
      </c>
      <c r="D33" s="15" t="n">
        <f aca="false">INDEX(Load_by_Item!$D$5:$D$248,MATCH(B33,Load_by_Item!$A$5:$A$248,0))</f>
        <v>0</v>
      </c>
      <c r="E33" s="30" t="n">
        <f aca="false">IFERROR(D33/SUM(Load_by_Item!$D$5:$D$248),0)</f>
        <v>0</v>
      </c>
      <c r="F33" s="30" t="n">
        <f aca="false">F32+E33</f>
        <v>0</v>
      </c>
    </row>
    <row r="34" customFormat="false" ht="15" hidden="false" customHeight="false" outlineLevel="0" collapsed="false">
      <c r="A34" s="10" t="n">
        <v>14</v>
      </c>
      <c r="B34" s="21" t="str">
        <f aca="false">INDEX(Load_by_Item!$A$5:$A$248,MATCH(LARGE(Load_by_Item!$J$5:$J$248,A34),Load_by_Item!$J$5:$J$248,0))</f>
        <v>Sodium Lauryl Sulfate</v>
      </c>
      <c r="C34" s="36" t="str">
        <f aca="false">INDEX(Load_by_Item!$C$5:$C$248,MATCH(B34,Load_by_Item!$A$5:$A$248,0))</f>
        <v>Surfactant</v>
      </c>
      <c r="D34" s="15" t="n">
        <f aca="false">INDEX(Load_by_Item!$D$5:$D$248,MATCH(B34,Load_by_Item!$A$5:$A$248,0))</f>
        <v>0</v>
      </c>
      <c r="E34" s="30" t="n">
        <f aca="false">IFERROR(D34/SUM(Load_by_Item!$D$5:$D$248),0)</f>
        <v>0</v>
      </c>
      <c r="F34" s="30" t="n">
        <f aca="false">F33+E34</f>
        <v>0</v>
      </c>
    </row>
    <row r="35" customFormat="false" ht="15" hidden="false" customHeight="false" outlineLevel="0" collapsed="false">
      <c r="A35" s="10" t="n">
        <v>15</v>
      </c>
      <c r="B35" s="21" t="str">
        <f aca="false">INDEX(Load_by_Item!$A$5:$A$248,MATCH(LARGE(Load_by_Item!$J$5:$J$248,A35),Load_by_Item!$J$5:$J$248,0))</f>
        <v>Polysorbate 80</v>
      </c>
      <c r="C35" s="36" t="str">
        <f aca="false">INDEX(Load_by_Item!$C$5:$C$248,MATCH(B35,Load_by_Item!$A$5:$A$248,0))</f>
        <v>Surfactant</v>
      </c>
      <c r="D35" s="15" t="n">
        <f aca="false">INDEX(Load_by_Item!$D$5:$D$248,MATCH(B35,Load_by_Item!$A$5:$A$248,0))</f>
        <v>0</v>
      </c>
      <c r="E35" s="30" t="n">
        <f aca="false">IFERROR(D35/SUM(Load_by_Item!$D$5:$D$248),0)</f>
        <v>0</v>
      </c>
      <c r="F35" s="30" t="n">
        <f aca="false">F34+E35</f>
        <v>0</v>
      </c>
    </row>
  </sheetData>
  <conditionalFormatting sqref="H5:H12">
    <cfRule type="expression" priority="2" aboveAverage="0" equalAverage="0" bottom="0" percent="0" rank="0" text="" dxfId="8">
      <formula>AND(ISNUMBER(H5),H5&gt;I5)</formula>
    </cfRule>
  </conditionalFormatting>
  <conditionalFormatting sqref="K5:K12">
    <cfRule type="cellIs" priority="3" operator="greaterThan" aboveAverage="0" equalAverage="0" bottom="0" percent="0" rank="0" text="" dxfId="8">
      <formula>0</formula>
    </cfRule>
  </conditionalFormatting>
  <conditionalFormatting sqref="N5:N12">
    <cfRule type="cellIs" priority="4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814</v>
      </c>
    </row>
    <row r="4" customFormat="false" ht="45" hidden="false" customHeight="true" outlineLevel="0" collapsed="false">
      <c r="A4" s="7" t="s">
        <v>57</v>
      </c>
      <c r="B4" s="7" t="s">
        <v>815</v>
      </c>
      <c r="C4" s="7" t="s">
        <v>816</v>
      </c>
    </row>
    <row r="5" customFormat="false" ht="23.85" hidden="false" customHeight="false" outlineLevel="0" collapsed="false">
      <c r="A5" s="37" t="s">
        <v>817</v>
      </c>
      <c r="B5" s="8" t="s">
        <v>818</v>
      </c>
      <c r="C5" s="8" t="s">
        <v>819</v>
      </c>
    </row>
    <row r="6" customFormat="false" ht="23.85" hidden="false" customHeight="false" outlineLevel="0" collapsed="false">
      <c r="A6" s="37" t="s">
        <v>820</v>
      </c>
      <c r="B6" s="8" t="s">
        <v>821</v>
      </c>
      <c r="C6" s="8" t="s">
        <v>822</v>
      </c>
    </row>
    <row r="7" customFormat="false" ht="15" hidden="false" customHeight="false" outlineLevel="0" collapsed="false">
      <c r="A7" s="37" t="s">
        <v>823</v>
      </c>
      <c r="B7" s="8" t="s">
        <v>824</v>
      </c>
      <c r="C7" s="8" t="s">
        <v>825</v>
      </c>
    </row>
    <row r="8" customFormat="false" ht="23.85" hidden="false" customHeight="false" outlineLevel="0" collapsed="false">
      <c r="A8" s="37" t="s">
        <v>826</v>
      </c>
      <c r="B8" s="8" t="s">
        <v>827</v>
      </c>
      <c r="C8" s="8" t="s">
        <v>828</v>
      </c>
    </row>
    <row r="9" customFormat="false" ht="23.85" hidden="false" customHeight="false" outlineLevel="0" collapsed="false">
      <c r="A9" s="37" t="s">
        <v>829</v>
      </c>
      <c r="B9" s="8" t="s">
        <v>830</v>
      </c>
      <c r="C9" s="8" t="s">
        <v>831</v>
      </c>
    </row>
    <row r="10" customFormat="false" ht="15" hidden="false" customHeight="false" outlineLevel="0" collapsed="false">
      <c r="A10" s="37" t="s">
        <v>832</v>
      </c>
      <c r="B10" s="8" t="s">
        <v>833</v>
      </c>
      <c r="C10" s="8" t="s">
        <v>834</v>
      </c>
    </row>
    <row r="11" customFormat="false" ht="23.85" hidden="false" customHeight="false" outlineLevel="0" collapsed="false">
      <c r="A11" s="37" t="s">
        <v>835</v>
      </c>
      <c r="B11" s="8" t="s">
        <v>836</v>
      </c>
      <c r="C11" s="8" t="s">
        <v>19</v>
      </c>
    </row>
    <row r="12" customFormat="false" ht="15" hidden="false" customHeight="false" outlineLevel="0" collapsed="false">
      <c r="A12" s="37" t="s">
        <v>837</v>
      </c>
      <c r="B12" s="8" t="s">
        <v>838</v>
      </c>
      <c r="C12" s="8" t="s">
        <v>839</v>
      </c>
    </row>
    <row r="13" customFormat="false" ht="35.05" hidden="false" customHeight="false" outlineLevel="0" collapsed="false">
      <c r="A13" s="37" t="s">
        <v>840</v>
      </c>
      <c r="B13" s="8" t="s">
        <v>841</v>
      </c>
      <c r="C13" s="8" t="s">
        <v>23</v>
      </c>
    </row>
    <row r="14" customFormat="false" ht="23.85" hidden="false" customHeight="false" outlineLevel="0" collapsed="false">
      <c r="A14" s="37" t="s">
        <v>842</v>
      </c>
      <c r="B14" s="8" t="s">
        <v>843</v>
      </c>
      <c r="C14" s="8" t="s">
        <v>844</v>
      </c>
    </row>
    <row r="15" customFormat="false" ht="15" hidden="false" customHeight="false" outlineLevel="0" collapsed="false">
      <c r="A15" s="37" t="s">
        <v>845</v>
      </c>
      <c r="B15" s="8" t="s">
        <v>846</v>
      </c>
      <c r="C15" s="8" t="s">
        <v>847</v>
      </c>
    </row>
    <row r="16" customFormat="false" ht="15" hidden="false" customHeight="false" outlineLevel="0" collapsed="false">
      <c r="A16" s="37" t="s">
        <v>848</v>
      </c>
      <c r="B16" s="8" t="s">
        <v>849</v>
      </c>
      <c r="C16" s="8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2026-10-12T10:25:23Z</dcterms:created>
  <dc:creator>openpyxl</dc:creator>
  <dc:description/>
  <dc:language>en-US</dc:language>
  <cp:lastModifiedBy/>
  <dcterms:modified xsi:type="dcterms:W3CDTF">2026-10-12T13:55:29Z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